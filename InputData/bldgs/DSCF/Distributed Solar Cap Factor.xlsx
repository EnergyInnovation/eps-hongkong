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externalLinks/externalLink2.xml" ContentType="application/vnd.openxmlformats-officedocument.spreadsheetml.externalLink+xml"/>
  <Override PartName="/xl/externalLinks/externalLink1.xml" ContentType="application/vnd.openxmlformats-officedocument.spreadsheetml.externalLink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us-3.4.7 working/InputData/bldgs/0 Need to update/DSCF/"/>
    </mc:Choice>
  </mc:AlternateContent>
  <xr:revisionPtr revIDLastSave="10" documentId="13_ncr:1_{ECC99248-7F6A-432D-9171-6394D70FCDE4}" xr6:coauthVersionLast="47" xr6:coauthVersionMax="47" xr10:uidLastSave="{C8FF72BF-A212-0542-89B5-7605701DBEEE}"/>
  <bookViews>
    <workbookView xWindow="2340" yWindow="500" windowWidth="26460" windowHeight="16420" activeTab="3" xr2:uid="{00000000-000D-0000-FFFF-FFFF00000000}"/>
  </bookViews>
  <sheets>
    <sheet name="About" sheetId="1" r:id="rId1"/>
    <sheet name="Solar - PV Dist. Res 2021" sheetId="4" r:id="rId2"/>
    <sheet name="Solar - PV Dist. Res 2022" sheetId="5" r:id="rId3"/>
    <sheet name="DSCF" sheetId="2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C2" i="2"/>
  <c r="S34" i="5"/>
  <c r="O48" i="5" s="1"/>
  <c r="S35" i="5"/>
  <c r="O34" i="5" s="1"/>
  <c r="M42" i="5"/>
  <c r="M43" i="5"/>
  <c r="M44" i="5"/>
  <c r="M48" i="5"/>
  <c r="N48" i="5"/>
  <c r="P48" i="5"/>
  <c r="P52" i="5" s="1"/>
  <c r="Q48" i="5"/>
  <c r="S48" i="5"/>
  <c r="T48" i="5"/>
  <c r="U48" i="5"/>
  <c r="V48" i="5"/>
  <c r="X48" i="5"/>
  <c r="Y48" i="5"/>
  <c r="AA48" i="5"/>
  <c r="AA52" i="5" s="1"/>
  <c r="AB48" i="5"/>
  <c r="AC48" i="5"/>
  <c r="AD48" i="5"/>
  <c r="AF48" i="5"/>
  <c r="AG48" i="5"/>
  <c r="AI48" i="5"/>
  <c r="AJ48" i="5"/>
  <c r="AK48" i="5"/>
  <c r="AL48" i="5"/>
  <c r="AM48" i="5"/>
  <c r="AN48" i="5"/>
  <c r="AO48" i="5"/>
  <c r="AP48" i="5"/>
  <c r="AQ48" i="5"/>
  <c r="M49" i="5"/>
  <c r="N49" i="5"/>
  <c r="O49" i="5"/>
  <c r="O52" i="5" s="1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M52" i="5" s="1"/>
  <c r="AN49" i="5"/>
  <c r="AO49" i="5"/>
  <c r="AP49" i="5"/>
  <c r="AQ49" i="5"/>
  <c r="M50" i="5"/>
  <c r="N50" i="5"/>
  <c r="O50" i="5"/>
  <c r="P50" i="5"/>
  <c r="Q50" i="5"/>
  <c r="R50" i="5"/>
  <c r="S50" i="5"/>
  <c r="T50" i="5"/>
  <c r="U50" i="5"/>
  <c r="V50" i="5"/>
  <c r="W50" i="5"/>
  <c r="X50" i="5"/>
  <c r="X53" i="5" s="1"/>
  <c r="Y50" i="5"/>
  <c r="Z50" i="5"/>
  <c r="AA50" i="5"/>
  <c r="AB50" i="5"/>
  <c r="AC50" i="5"/>
  <c r="AD50" i="5"/>
  <c r="AE50" i="5"/>
  <c r="AF50" i="5"/>
  <c r="AF53" i="5" s="1"/>
  <c r="AG50" i="5"/>
  <c r="AH50" i="5"/>
  <c r="AI50" i="5"/>
  <c r="AJ50" i="5"/>
  <c r="AK50" i="5"/>
  <c r="AL50" i="5"/>
  <c r="AM50" i="5"/>
  <c r="AN50" i="5"/>
  <c r="AN53" i="5" s="1"/>
  <c r="AO50" i="5"/>
  <c r="AP50" i="5"/>
  <c r="AQ50" i="5"/>
  <c r="M51" i="5"/>
  <c r="N51" i="5"/>
  <c r="O51" i="5"/>
  <c r="P51" i="5"/>
  <c r="Q51" i="5"/>
  <c r="Q54" i="5" s="1"/>
  <c r="R51" i="5"/>
  <c r="S51" i="5"/>
  <c r="T51" i="5"/>
  <c r="U51" i="5"/>
  <c r="V51" i="5"/>
  <c r="W51" i="5"/>
  <c r="X51" i="5"/>
  <c r="Y51" i="5"/>
  <c r="Y54" i="5" s="1"/>
  <c r="Z51" i="5"/>
  <c r="AA51" i="5"/>
  <c r="AB51" i="5"/>
  <c r="AC51" i="5"/>
  <c r="AD51" i="5"/>
  <c r="AE51" i="5"/>
  <c r="AF51" i="5"/>
  <c r="AG51" i="5"/>
  <c r="AG54" i="5" s="1"/>
  <c r="AH51" i="5"/>
  <c r="AI51" i="5"/>
  <c r="AJ51" i="5"/>
  <c r="AK51" i="5"/>
  <c r="AL51" i="5"/>
  <c r="AM51" i="5"/>
  <c r="AN51" i="5"/>
  <c r="AO51" i="5"/>
  <c r="AO54" i="5" s="1"/>
  <c r="AP51" i="5"/>
  <c r="AQ51" i="5"/>
  <c r="Q52" i="5"/>
  <c r="S52" i="5"/>
  <c r="X52" i="5"/>
  <c r="Y52" i="5"/>
  <c r="AF52" i="5"/>
  <c r="AG52" i="5"/>
  <c r="AI52" i="5"/>
  <c r="AN52" i="5"/>
  <c r="AO52" i="5"/>
  <c r="AP52" i="5"/>
  <c r="AQ52" i="5"/>
  <c r="Q53" i="5"/>
  <c r="S53" i="5"/>
  <c r="Y53" i="5"/>
  <c r="AG53" i="5"/>
  <c r="AI53" i="5"/>
  <c r="AO53" i="5"/>
  <c r="AP53" i="5"/>
  <c r="AQ53" i="5"/>
  <c r="S54" i="5"/>
  <c r="T54" i="5"/>
  <c r="AB54" i="5"/>
  <c r="AI54" i="5"/>
  <c r="AJ54" i="5"/>
  <c r="AP54" i="5"/>
  <c r="AQ54" i="5"/>
  <c r="M55" i="5"/>
  <c r="N55" i="5"/>
  <c r="O55" i="5"/>
  <c r="P55" i="5"/>
  <c r="Q55" i="5"/>
  <c r="R55" i="5"/>
  <c r="S55" i="5"/>
  <c r="S382" i="5" s="1"/>
  <c r="T55" i="5"/>
  <c r="U55" i="5"/>
  <c r="V55" i="5"/>
  <c r="W55" i="5"/>
  <c r="X55" i="5"/>
  <c r="Y55" i="5"/>
  <c r="Z55" i="5"/>
  <c r="AA55" i="5"/>
  <c r="AA382" i="5" s="1"/>
  <c r="AB55" i="5"/>
  <c r="AC55" i="5"/>
  <c r="AD55" i="5"/>
  <c r="AE55" i="5"/>
  <c r="AF55" i="5"/>
  <c r="AG55" i="5"/>
  <c r="AH55" i="5"/>
  <c r="AI55" i="5"/>
  <c r="AI382" i="5" s="1"/>
  <c r="AJ55" i="5"/>
  <c r="AK55" i="5"/>
  <c r="AL55" i="5"/>
  <c r="AM55" i="5"/>
  <c r="AN55" i="5"/>
  <c r="AO55" i="5"/>
  <c r="AP55" i="5"/>
  <c r="AQ55" i="5"/>
  <c r="AQ382" i="5" s="1"/>
  <c r="M56" i="5"/>
  <c r="M59" i="5" s="1"/>
  <c r="N56" i="5"/>
  <c r="N59" i="5" s="1"/>
  <c r="O56" i="5"/>
  <c r="P56" i="5"/>
  <c r="Q56" i="5"/>
  <c r="R56" i="5"/>
  <c r="S56" i="5"/>
  <c r="T56" i="5"/>
  <c r="T385" i="5" s="1"/>
  <c r="U56" i="5"/>
  <c r="U59" i="5" s="1"/>
  <c r="V56" i="5"/>
  <c r="V59" i="5" s="1"/>
  <c r="W56" i="5"/>
  <c r="X56" i="5"/>
  <c r="Y56" i="5"/>
  <c r="Z56" i="5"/>
  <c r="AA56" i="5"/>
  <c r="AB56" i="5"/>
  <c r="AB59" i="5" s="1"/>
  <c r="AC56" i="5"/>
  <c r="AC59" i="5" s="1"/>
  <c r="AD56" i="5"/>
  <c r="AD59" i="5" s="1"/>
  <c r="AE56" i="5"/>
  <c r="AF56" i="5"/>
  <c r="AG56" i="5"/>
  <c r="AH56" i="5"/>
  <c r="AI56" i="5"/>
  <c r="AJ56" i="5"/>
  <c r="AJ59" i="5" s="1"/>
  <c r="AK56" i="5"/>
  <c r="AL56" i="5"/>
  <c r="AL59" i="5" s="1"/>
  <c r="AM56" i="5"/>
  <c r="AN56" i="5"/>
  <c r="AO56" i="5"/>
  <c r="AP56" i="5"/>
  <c r="AQ56" i="5"/>
  <c r="M57" i="5"/>
  <c r="M60" i="5" s="1"/>
  <c r="N57" i="5"/>
  <c r="N60" i="5" s="1"/>
  <c r="O57" i="5"/>
  <c r="O60" i="5" s="1"/>
  <c r="P57" i="5"/>
  <c r="Q57" i="5"/>
  <c r="R57" i="5"/>
  <c r="S57" i="5"/>
  <c r="T57" i="5"/>
  <c r="U57" i="5"/>
  <c r="U60" i="5" s="1"/>
  <c r="V57" i="5"/>
  <c r="V60" i="5" s="1"/>
  <c r="W57" i="5"/>
  <c r="X57" i="5"/>
  <c r="Y57" i="5"/>
  <c r="Z57" i="5"/>
  <c r="AA57" i="5"/>
  <c r="AB57" i="5"/>
  <c r="AC57" i="5"/>
  <c r="AC60" i="5" s="1"/>
  <c r="AD57" i="5"/>
  <c r="AD60" i="5" s="1"/>
  <c r="AE57" i="5"/>
  <c r="AF57" i="5"/>
  <c r="AG57" i="5"/>
  <c r="AH57" i="5"/>
  <c r="AI57" i="5"/>
  <c r="AJ57" i="5"/>
  <c r="AK57" i="5"/>
  <c r="AK386" i="5" s="1"/>
  <c r="AL57" i="5"/>
  <c r="AL60" i="5" s="1"/>
  <c r="AM57" i="5"/>
  <c r="AM60" i="5" s="1"/>
  <c r="AN57" i="5"/>
  <c r="AO57" i="5"/>
  <c r="AP57" i="5"/>
  <c r="AQ57" i="5"/>
  <c r="M58" i="5"/>
  <c r="N58" i="5"/>
  <c r="N61" i="5" s="1"/>
  <c r="O58" i="5"/>
  <c r="O61" i="5" s="1"/>
  <c r="P58" i="5"/>
  <c r="Q58" i="5"/>
  <c r="R58" i="5"/>
  <c r="S58" i="5"/>
  <c r="T58" i="5"/>
  <c r="U58" i="5"/>
  <c r="V58" i="5"/>
  <c r="V61" i="5" s="1"/>
  <c r="W58" i="5"/>
  <c r="X58" i="5"/>
  <c r="X61" i="5" s="1"/>
  <c r="Y58" i="5"/>
  <c r="Z58" i="5"/>
  <c r="AA58" i="5"/>
  <c r="AB58" i="5"/>
  <c r="AC58" i="5"/>
  <c r="AD58" i="5"/>
  <c r="AD61" i="5" s="1"/>
  <c r="AE58" i="5"/>
  <c r="AF58" i="5"/>
  <c r="AF61" i="5" s="1"/>
  <c r="AG58" i="5"/>
  <c r="AH58" i="5"/>
  <c r="AI58" i="5"/>
  <c r="AJ58" i="5"/>
  <c r="AK58" i="5"/>
  <c r="AL58" i="5"/>
  <c r="AL61" i="5" s="1"/>
  <c r="AM58" i="5"/>
  <c r="AM61" i="5" s="1"/>
  <c r="AN58" i="5"/>
  <c r="AN61" i="5" s="1"/>
  <c r="AO58" i="5"/>
  <c r="AP58" i="5"/>
  <c r="AQ58" i="5"/>
  <c r="O59" i="5"/>
  <c r="Q59" i="5"/>
  <c r="S59" i="5"/>
  <c r="X59" i="5"/>
  <c r="Y59" i="5"/>
  <c r="AF59" i="5"/>
  <c r="AG59" i="5"/>
  <c r="AI59" i="5"/>
  <c r="AM59" i="5"/>
  <c r="AN59" i="5"/>
  <c r="AO59" i="5"/>
  <c r="AP59" i="5"/>
  <c r="AQ59" i="5"/>
  <c r="Q60" i="5"/>
  <c r="S60" i="5"/>
  <c r="X60" i="5"/>
  <c r="Y60" i="5"/>
  <c r="AF60" i="5"/>
  <c r="AG60" i="5"/>
  <c r="AI60" i="5"/>
  <c r="AN60" i="5"/>
  <c r="AO60" i="5"/>
  <c r="AP60" i="5"/>
  <c r="AQ60" i="5"/>
  <c r="Q61" i="5"/>
  <c r="S61" i="5"/>
  <c r="Y61" i="5"/>
  <c r="AG61" i="5"/>
  <c r="AI61" i="5"/>
  <c r="AO61" i="5"/>
  <c r="AP61" i="5"/>
  <c r="AQ61" i="5"/>
  <c r="M62" i="5"/>
  <c r="N62" i="5"/>
  <c r="O62" i="5"/>
  <c r="P62" i="5"/>
  <c r="Q62" i="5"/>
  <c r="R62" i="5"/>
  <c r="R66" i="5" s="1"/>
  <c r="R72" i="5" s="1"/>
  <c r="S62" i="5"/>
  <c r="T62" i="5"/>
  <c r="U62" i="5"/>
  <c r="V62" i="5"/>
  <c r="W62" i="5"/>
  <c r="X62" i="5"/>
  <c r="Y62" i="5"/>
  <c r="Z62" i="5"/>
  <c r="Z66" i="5" s="1"/>
  <c r="Z72" i="5" s="1"/>
  <c r="AA62" i="5"/>
  <c r="AB62" i="5"/>
  <c r="AC62" i="5"/>
  <c r="AD62" i="5"/>
  <c r="AE62" i="5"/>
  <c r="AF62" i="5"/>
  <c r="AG62" i="5"/>
  <c r="AH62" i="5"/>
  <c r="AH66" i="5" s="1"/>
  <c r="AH72" i="5" s="1"/>
  <c r="AI62" i="5"/>
  <c r="AJ62" i="5"/>
  <c r="AK62" i="5"/>
  <c r="AL62" i="5"/>
  <c r="AM62" i="5"/>
  <c r="AN62" i="5"/>
  <c r="AO62" i="5"/>
  <c r="AP62" i="5"/>
  <c r="AP66" i="5" s="1"/>
  <c r="AP72" i="5" s="1"/>
  <c r="AQ62" i="5"/>
  <c r="M63" i="5"/>
  <c r="N63" i="5"/>
  <c r="O63" i="5"/>
  <c r="P63" i="5"/>
  <c r="Q63" i="5"/>
  <c r="R63" i="5"/>
  <c r="S63" i="5"/>
  <c r="S67" i="5" s="1"/>
  <c r="S73" i="5" s="1"/>
  <c r="T63" i="5"/>
  <c r="T67" i="5" s="1"/>
  <c r="U63" i="5"/>
  <c r="V63" i="5"/>
  <c r="W63" i="5"/>
  <c r="X63" i="5"/>
  <c r="Y63" i="5"/>
  <c r="Z63" i="5"/>
  <c r="AA63" i="5"/>
  <c r="AA67" i="5" s="1"/>
  <c r="AA73" i="5" s="1"/>
  <c r="AB63" i="5"/>
  <c r="AB67" i="5" s="1"/>
  <c r="AB73" i="5" s="1"/>
  <c r="AC63" i="5"/>
  <c r="AD63" i="5"/>
  <c r="AE63" i="5"/>
  <c r="AF63" i="5"/>
  <c r="AG63" i="5"/>
  <c r="AH63" i="5"/>
  <c r="AI63" i="5"/>
  <c r="AI67" i="5" s="1"/>
  <c r="AI73" i="5" s="1"/>
  <c r="AJ63" i="5"/>
  <c r="AJ67" i="5" s="1"/>
  <c r="AK63" i="5"/>
  <c r="AL63" i="5"/>
  <c r="AM63" i="5"/>
  <c r="AN63" i="5"/>
  <c r="AO63" i="5"/>
  <c r="AP63" i="5"/>
  <c r="AQ63" i="5"/>
  <c r="AQ67" i="5" s="1"/>
  <c r="AQ73" i="5" s="1"/>
  <c r="M64" i="5"/>
  <c r="N64" i="5"/>
  <c r="O64" i="5"/>
  <c r="P64" i="5"/>
  <c r="Q64" i="5"/>
  <c r="R64" i="5"/>
  <c r="S64" i="5"/>
  <c r="T64" i="5"/>
  <c r="T68" i="5" s="1"/>
  <c r="T74" i="5" s="1"/>
  <c r="U64" i="5"/>
  <c r="V64" i="5"/>
  <c r="W64" i="5"/>
  <c r="X64" i="5"/>
  <c r="Y64" i="5"/>
  <c r="Z64" i="5"/>
  <c r="AA64" i="5"/>
  <c r="AB64" i="5"/>
  <c r="AB68" i="5" s="1"/>
  <c r="AC64" i="5"/>
  <c r="AD64" i="5"/>
  <c r="AE64" i="5"/>
  <c r="AF64" i="5"/>
  <c r="AG64" i="5"/>
  <c r="AH64" i="5"/>
  <c r="AI64" i="5"/>
  <c r="AJ64" i="5"/>
  <c r="AJ68" i="5" s="1"/>
  <c r="AK64" i="5"/>
  <c r="AL64" i="5"/>
  <c r="AM64" i="5"/>
  <c r="AN64" i="5"/>
  <c r="AO64" i="5"/>
  <c r="AP64" i="5"/>
  <c r="AQ64" i="5"/>
  <c r="M65" i="5"/>
  <c r="N65" i="5"/>
  <c r="O65" i="5"/>
  <c r="O66" i="5" s="1"/>
  <c r="P65" i="5"/>
  <c r="Q65" i="5"/>
  <c r="R65" i="5"/>
  <c r="S65" i="5"/>
  <c r="T65" i="5"/>
  <c r="U65" i="5"/>
  <c r="V65" i="5"/>
  <c r="W65" i="5"/>
  <c r="W66" i="5" s="1"/>
  <c r="X65" i="5"/>
  <c r="Y65" i="5"/>
  <c r="Y66" i="5" s="1"/>
  <c r="Y69" i="5" s="1"/>
  <c r="Z65" i="5"/>
  <c r="AA65" i="5"/>
  <c r="AB65" i="5"/>
  <c r="AC65" i="5"/>
  <c r="AD65" i="5"/>
  <c r="AE65" i="5"/>
  <c r="AE66" i="5" s="1"/>
  <c r="AF65" i="5"/>
  <c r="AG65" i="5"/>
  <c r="AG66" i="5" s="1"/>
  <c r="AG69" i="5" s="1"/>
  <c r="AH65" i="5"/>
  <c r="AI65" i="5"/>
  <c r="AJ65" i="5"/>
  <c r="AK65" i="5"/>
  <c r="AL65" i="5"/>
  <c r="AM65" i="5"/>
  <c r="AM66" i="5" s="1"/>
  <c r="AN65" i="5"/>
  <c r="AO65" i="5"/>
  <c r="AP65" i="5"/>
  <c r="AQ65" i="5"/>
  <c r="P66" i="5"/>
  <c r="Q66" i="5"/>
  <c r="X66" i="5"/>
  <c r="AF66" i="5"/>
  <c r="AN66" i="5"/>
  <c r="AO66" i="5"/>
  <c r="AO69" i="5" s="1"/>
  <c r="P67" i="5"/>
  <c r="Q67" i="5"/>
  <c r="R67" i="5"/>
  <c r="X67" i="5"/>
  <c r="Y67" i="5"/>
  <c r="Z67" i="5"/>
  <c r="AF67" i="5"/>
  <c r="AG67" i="5"/>
  <c r="AH67" i="5"/>
  <c r="AN67" i="5"/>
  <c r="AO67" i="5"/>
  <c r="AP67" i="5"/>
  <c r="Q68" i="5"/>
  <c r="R68" i="5"/>
  <c r="S68" i="5"/>
  <c r="Y68" i="5"/>
  <c r="Z68" i="5"/>
  <c r="AA68" i="5"/>
  <c r="AA71" i="5" s="1"/>
  <c r="AG68" i="5"/>
  <c r="AH68" i="5"/>
  <c r="AI68" i="5"/>
  <c r="AP68" i="5"/>
  <c r="AQ68" i="5"/>
  <c r="Q69" i="5"/>
  <c r="Q356" i="5" s="1"/>
  <c r="AA70" i="5"/>
  <c r="AA76" i="5" s="1"/>
  <c r="AB70" i="5"/>
  <c r="AB76" i="5" s="1"/>
  <c r="AP70" i="5"/>
  <c r="AP76" i="5" s="1"/>
  <c r="S71" i="5"/>
  <c r="S77" i="5" s="1"/>
  <c r="AI71" i="5"/>
  <c r="AQ71" i="5"/>
  <c r="AQ77" i="5" s="1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AG117" i="5"/>
  <c r="AH117" i="5"/>
  <c r="AI117" i="5"/>
  <c r="AJ117" i="5"/>
  <c r="AK117" i="5"/>
  <c r="AL117" i="5"/>
  <c r="AM117" i="5"/>
  <c r="AN117" i="5"/>
  <c r="AO117" i="5"/>
  <c r="AP117" i="5"/>
  <c r="AQ117" i="5"/>
  <c r="M118" i="5"/>
  <c r="N118" i="5"/>
  <c r="O118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AG118" i="5"/>
  <c r="AH118" i="5"/>
  <c r="AI118" i="5"/>
  <c r="AJ118" i="5"/>
  <c r="AK118" i="5"/>
  <c r="AL118" i="5"/>
  <c r="AM118" i="5"/>
  <c r="AN118" i="5"/>
  <c r="AO118" i="5"/>
  <c r="AP118" i="5"/>
  <c r="AQ118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AG119" i="5"/>
  <c r="AH119" i="5"/>
  <c r="AI119" i="5"/>
  <c r="AJ119" i="5"/>
  <c r="AK119" i="5"/>
  <c r="AL119" i="5"/>
  <c r="AM119" i="5"/>
  <c r="AN119" i="5"/>
  <c r="AO119" i="5"/>
  <c r="AP119" i="5"/>
  <c r="AQ119" i="5"/>
  <c r="M120" i="5"/>
  <c r="N120" i="5"/>
  <c r="O120" i="5"/>
  <c r="P120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AG120" i="5"/>
  <c r="AH120" i="5"/>
  <c r="AI120" i="5"/>
  <c r="AJ120" i="5"/>
  <c r="AK120" i="5"/>
  <c r="AL120" i="5"/>
  <c r="AM120" i="5"/>
  <c r="AN120" i="5"/>
  <c r="AO120" i="5"/>
  <c r="AP120" i="5"/>
  <c r="AQ120" i="5"/>
  <c r="M121" i="5"/>
  <c r="N121" i="5"/>
  <c r="O121" i="5"/>
  <c r="P121" i="5"/>
  <c r="Q121" i="5"/>
  <c r="R121" i="5"/>
  <c r="S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AG121" i="5"/>
  <c r="AH121" i="5"/>
  <c r="AI121" i="5"/>
  <c r="AJ121" i="5"/>
  <c r="AK121" i="5"/>
  <c r="AL121" i="5"/>
  <c r="AM121" i="5"/>
  <c r="AN121" i="5"/>
  <c r="AO121" i="5"/>
  <c r="AP121" i="5"/>
  <c r="AQ121" i="5"/>
  <c r="M122" i="5"/>
  <c r="N122" i="5"/>
  <c r="O122" i="5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AG122" i="5"/>
  <c r="AH122" i="5"/>
  <c r="AI122" i="5"/>
  <c r="AJ122" i="5"/>
  <c r="AK122" i="5"/>
  <c r="AL122" i="5"/>
  <c r="AM122" i="5"/>
  <c r="AN122" i="5"/>
  <c r="AO122" i="5"/>
  <c r="AP122" i="5"/>
  <c r="AQ122" i="5"/>
  <c r="M123" i="5"/>
  <c r="N123" i="5"/>
  <c r="O123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AG123" i="5"/>
  <c r="AH123" i="5"/>
  <c r="AI123" i="5"/>
  <c r="AJ123" i="5"/>
  <c r="AK123" i="5"/>
  <c r="AL123" i="5"/>
  <c r="AM123" i="5"/>
  <c r="AN123" i="5"/>
  <c r="AO123" i="5"/>
  <c r="AP123" i="5"/>
  <c r="AQ123" i="5"/>
  <c r="M124" i="5"/>
  <c r="N124" i="5"/>
  <c r="O124" i="5"/>
  <c r="P124" i="5"/>
  <c r="Q124" i="5"/>
  <c r="R124" i="5"/>
  <c r="S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AG124" i="5"/>
  <c r="AH124" i="5"/>
  <c r="AI124" i="5"/>
  <c r="AJ124" i="5"/>
  <c r="AK124" i="5"/>
  <c r="AL124" i="5"/>
  <c r="AM124" i="5"/>
  <c r="AN124" i="5"/>
  <c r="AO124" i="5"/>
  <c r="AP124" i="5"/>
  <c r="AQ124" i="5"/>
  <c r="M125" i="5"/>
  <c r="N125" i="5"/>
  <c r="O125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AG125" i="5"/>
  <c r="AH125" i="5"/>
  <c r="AI125" i="5"/>
  <c r="AJ125" i="5"/>
  <c r="AK125" i="5"/>
  <c r="AL125" i="5"/>
  <c r="AM125" i="5"/>
  <c r="AN125" i="5"/>
  <c r="AO125" i="5"/>
  <c r="AP125" i="5"/>
  <c r="AQ125" i="5"/>
  <c r="M126" i="5"/>
  <c r="N126" i="5"/>
  <c r="O126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AG126" i="5"/>
  <c r="AH126" i="5"/>
  <c r="AI126" i="5"/>
  <c r="AJ126" i="5"/>
  <c r="AK126" i="5"/>
  <c r="AL126" i="5"/>
  <c r="AM126" i="5"/>
  <c r="AN126" i="5"/>
  <c r="AO126" i="5"/>
  <c r="AP126" i="5"/>
  <c r="AQ126" i="5"/>
  <c r="M127" i="5"/>
  <c r="N127" i="5"/>
  <c r="O127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AG127" i="5"/>
  <c r="AH127" i="5"/>
  <c r="AI127" i="5"/>
  <c r="AJ127" i="5"/>
  <c r="AK127" i="5"/>
  <c r="AL127" i="5"/>
  <c r="AM127" i="5"/>
  <c r="AN127" i="5"/>
  <c r="AO127" i="5"/>
  <c r="AP127" i="5"/>
  <c r="AQ127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AG128" i="5"/>
  <c r="AH128" i="5"/>
  <c r="AI128" i="5"/>
  <c r="AJ128" i="5"/>
  <c r="AK128" i="5"/>
  <c r="AL128" i="5"/>
  <c r="AM128" i="5"/>
  <c r="AN128" i="5"/>
  <c r="AO128" i="5"/>
  <c r="AP128" i="5"/>
  <c r="AQ128" i="5"/>
  <c r="M129" i="5"/>
  <c r="N129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AG129" i="5"/>
  <c r="AH129" i="5"/>
  <c r="AI129" i="5"/>
  <c r="AJ129" i="5"/>
  <c r="AK129" i="5"/>
  <c r="AL129" i="5"/>
  <c r="AM129" i="5"/>
  <c r="AN129" i="5"/>
  <c r="AO129" i="5"/>
  <c r="AP129" i="5"/>
  <c r="AQ129" i="5"/>
  <c r="M130" i="5"/>
  <c r="N130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AG130" i="5"/>
  <c r="AH130" i="5"/>
  <c r="AI130" i="5"/>
  <c r="AJ130" i="5"/>
  <c r="AK130" i="5"/>
  <c r="AL130" i="5"/>
  <c r="AM130" i="5"/>
  <c r="AN130" i="5"/>
  <c r="AO130" i="5"/>
  <c r="AP130" i="5"/>
  <c r="AQ130" i="5"/>
  <c r="M131" i="5"/>
  <c r="N131" i="5"/>
  <c r="O131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AG131" i="5"/>
  <c r="AH131" i="5"/>
  <c r="AI131" i="5"/>
  <c r="AJ131" i="5"/>
  <c r="AK131" i="5"/>
  <c r="AL131" i="5"/>
  <c r="AM131" i="5"/>
  <c r="AN131" i="5"/>
  <c r="AO131" i="5"/>
  <c r="AP131" i="5"/>
  <c r="AQ131" i="5"/>
  <c r="M132" i="5"/>
  <c r="N132" i="5"/>
  <c r="O132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AG132" i="5"/>
  <c r="AH132" i="5"/>
  <c r="AI132" i="5"/>
  <c r="AJ132" i="5"/>
  <c r="AK132" i="5"/>
  <c r="AL132" i="5"/>
  <c r="AM132" i="5"/>
  <c r="AN132" i="5"/>
  <c r="AO132" i="5"/>
  <c r="AP132" i="5"/>
  <c r="AQ132" i="5"/>
  <c r="M133" i="5"/>
  <c r="N133" i="5"/>
  <c r="O133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AG133" i="5"/>
  <c r="AH133" i="5"/>
  <c r="AI133" i="5"/>
  <c r="AJ133" i="5"/>
  <c r="AK133" i="5"/>
  <c r="AL133" i="5"/>
  <c r="AM133" i="5"/>
  <c r="AN133" i="5"/>
  <c r="AO133" i="5"/>
  <c r="AP133" i="5"/>
  <c r="AQ133" i="5"/>
  <c r="M134" i="5"/>
  <c r="N134" i="5"/>
  <c r="O134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AG134" i="5"/>
  <c r="AH134" i="5"/>
  <c r="AI134" i="5"/>
  <c r="AJ134" i="5"/>
  <c r="AK134" i="5"/>
  <c r="AL134" i="5"/>
  <c r="AM134" i="5"/>
  <c r="AN134" i="5"/>
  <c r="AO134" i="5"/>
  <c r="AP134" i="5"/>
  <c r="AQ134" i="5"/>
  <c r="M135" i="5"/>
  <c r="N135" i="5"/>
  <c r="O135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AG135" i="5"/>
  <c r="AH135" i="5"/>
  <c r="AI135" i="5"/>
  <c r="AJ135" i="5"/>
  <c r="AK135" i="5"/>
  <c r="AL135" i="5"/>
  <c r="AM135" i="5"/>
  <c r="AN135" i="5"/>
  <c r="AO135" i="5"/>
  <c r="AP135" i="5"/>
  <c r="AQ135" i="5"/>
  <c r="M136" i="5"/>
  <c r="N136" i="5"/>
  <c r="O136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AG136" i="5"/>
  <c r="AH136" i="5"/>
  <c r="AI136" i="5"/>
  <c r="AJ136" i="5"/>
  <c r="AK136" i="5"/>
  <c r="AL136" i="5"/>
  <c r="AM136" i="5"/>
  <c r="AN136" i="5"/>
  <c r="AO136" i="5"/>
  <c r="AP136" i="5"/>
  <c r="AQ136" i="5"/>
  <c r="M137" i="5"/>
  <c r="N137" i="5"/>
  <c r="O137" i="5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AG137" i="5"/>
  <c r="AH137" i="5"/>
  <c r="AI137" i="5"/>
  <c r="AJ137" i="5"/>
  <c r="AK137" i="5"/>
  <c r="AL137" i="5"/>
  <c r="AM137" i="5"/>
  <c r="AN137" i="5"/>
  <c r="AO137" i="5"/>
  <c r="AP137" i="5"/>
  <c r="AQ137" i="5"/>
  <c r="M138" i="5"/>
  <c r="N138" i="5"/>
  <c r="O138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AG138" i="5"/>
  <c r="AH138" i="5"/>
  <c r="AI138" i="5"/>
  <c r="AJ138" i="5"/>
  <c r="AK138" i="5"/>
  <c r="AL138" i="5"/>
  <c r="AM138" i="5"/>
  <c r="AN138" i="5"/>
  <c r="AO138" i="5"/>
  <c r="AP138" i="5"/>
  <c r="AQ138" i="5"/>
  <c r="M139" i="5"/>
  <c r="N139" i="5"/>
  <c r="O139" i="5"/>
  <c r="P139" i="5"/>
  <c r="Q139" i="5"/>
  <c r="R139" i="5"/>
  <c r="S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AG139" i="5"/>
  <c r="AH139" i="5"/>
  <c r="AI139" i="5"/>
  <c r="AJ139" i="5"/>
  <c r="AK139" i="5"/>
  <c r="AL139" i="5"/>
  <c r="AM139" i="5"/>
  <c r="AN139" i="5"/>
  <c r="AO139" i="5"/>
  <c r="AP139" i="5"/>
  <c r="AQ139" i="5"/>
  <c r="M140" i="5"/>
  <c r="N140" i="5"/>
  <c r="O140" i="5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AG140" i="5"/>
  <c r="AH140" i="5"/>
  <c r="AI140" i="5"/>
  <c r="AJ140" i="5"/>
  <c r="AK140" i="5"/>
  <c r="AL140" i="5"/>
  <c r="AM140" i="5"/>
  <c r="AN140" i="5"/>
  <c r="AO140" i="5"/>
  <c r="AP140" i="5"/>
  <c r="AQ140" i="5"/>
  <c r="M141" i="5"/>
  <c r="N141" i="5"/>
  <c r="O141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AG141" i="5"/>
  <c r="AH141" i="5"/>
  <c r="AI141" i="5"/>
  <c r="AJ141" i="5"/>
  <c r="AK141" i="5"/>
  <c r="AL141" i="5"/>
  <c r="AM141" i="5"/>
  <c r="AN141" i="5"/>
  <c r="AO141" i="5"/>
  <c r="AP141" i="5"/>
  <c r="AQ141" i="5"/>
  <c r="M142" i="5"/>
  <c r="N142" i="5"/>
  <c r="O142" i="5"/>
  <c r="P142" i="5"/>
  <c r="Q142" i="5"/>
  <c r="R142" i="5"/>
  <c r="S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AG142" i="5"/>
  <c r="AH142" i="5"/>
  <c r="AI142" i="5"/>
  <c r="AJ142" i="5"/>
  <c r="AK142" i="5"/>
  <c r="AL142" i="5"/>
  <c r="AM142" i="5"/>
  <c r="AN142" i="5"/>
  <c r="AO142" i="5"/>
  <c r="AP142" i="5"/>
  <c r="AQ142" i="5"/>
  <c r="M143" i="5"/>
  <c r="N143" i="5"/>
  <c r="O143" i="5"/>
  <c r="P143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AG143" i="5"/>
  <c r="AH143" i="5"/>
  <c r="AI143" i="5"/>
  <c r="AJ143" i="5"/>
  <c r="AK143" i="5"/>
  <c r="AL143" i="5"/>
  <c r="AM143" i="5"/>
  <c r="AN143" i="5"/>
  <c r="AO143" i="5"/>
  <c r="AP143" i="5"/>
  <c r="AQ143" i="5"/>
  <c r="M144" i="5"/>
  <c r="N144" i="5"/>
  <c r="O144" i="5"/>
  <c r="P144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AG144" i="5"/>
  <c r="AH144" i="5"/>
  <c r="AI144" i="5"/>
  <c r="AJ144" i="5"/>
  <c r="AK144" i="5"/>
  <c r="AL144" i="5"/>
  <c r="AM144" i="5"/>
  <c r="AN144" i="5"/>
  <c r="AO144" i="5"/>
  <c r="AP144" i="5"/>
  <c r="AQ144" i="5"/>
  <c r="M145" i="5"/>
  <c r="N145" i="5"/>
  <c r="O145" i="5"/>
  <c r="P145" i="5"/>
  <c r="Q145" i="5"/>
  <c r="R145" i="5"/>
  <c r="S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AG145" i="5"/>
  <c r="AH145" i="5"/>
  <c r="AI145" i="5"/>
  <c r="AJ145" i="5"/>
  <c r="AK145" i="5"/>
  <c r="AL145" i="5"/>
  <c r="AM145" i="5"/>
  <c r="AN145" i="5"/>
  <c r="AO145" i="5"/>
  <c r="AP145" i="5"/>
  <c r="AQ145" i="5"/>
  <c r="M146" i="5"/>
  <c r="N146" i="5"/>
  <c r="O146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AG146" i="5"/>
  <c r="AH146" i="5"/>
  <c r="AI146" i="5"/>
  <c r="AJ146" i="5"/>
  <c r="AK146" i="5"/>
  <c r="AL146" i="5"/>
  <c r="AM146" i="5"/>
  <c r="AN146" i="5"/>
  <c r="AO146" i="5"/>
  <c r="AP146" i="5"/>
  <c r="AQ146" i="5"/>
  <c r="M149" i="5"/>
  <c r="N149" i="5"/>
  <c r="O149" i="5"/>
  <c r="P149" i="5"/>
  <c r="Q149" i="5"/>
  <c r="R149" i="5"/>
  <c r="S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AG149" i="5"/>
  <c r="AH149" i="5"/>
  <c r="AI149" i="5"/>
  <c r="AJ149" i="5"/>
  <c r="AK149" i="5"/>
  <c r="AL149" i="5"/>
  <c r="AM149" i="5"/>
  <c r="AN149" i="5"/>
  <c r="AO149" i="5"/>
  <c r="AP149" i="5"/>
  <c r="AQ149" i="5"/>
  <c r="M150" i="5"/>
  <c r="N150" i="5"/>
  <c r="O150" i="5"/>
  <c r="P150" i="5"/>
  <c r="Q150" i="5"/>
  <c r="R150" i="5"/>
  <c r="S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AG150" i="5"/>
  <c r="AH150" i="5"/>
  <c r="AI150" i="5"/>
  <c r="AJ150" i="5"/>
  <c r="AK150" i="5"/>
  <c r="AL150" i="5"/>
  <c r="AM150" i="5"/>
  <c r="AN150" i="5"/>
  <c r="AO150" i="5"/>
  <c r="AP150" i="5"/>
  <c r="AQ150" i="5"/>
  <c r="M151" i="5"/>
  <c r="N151" i="5"/>
  <c r="O151" i="5"/>
  <c r="P151" i="5"/>
  <c r="Q151" i="5"/>
  <c r="R151" i="5"/>
  <c r="S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AG151" i="5"/>
  <c r="AH151" i="5"/>
  <c r="AI151" i="5"/>
  <c r="AJ151" i="5"/>
  <c r="AK151" i="5"/>
  <c r="AL151" i="5"/>
  <c r="AM151" i="5"/>
  <c r="AN151" i="5"/>
  <c r="AO151" i="5"/>
  <c r="AP151" i="5"/>
  <c r="AQ151" i="5"/>
  <c r="M184" i="5"/>
  <c r="M152" i="5" s="1"/>
  <c r="N184" i="5"/>
  <c r="O184" i="5"/>
  <c r="O152" i="5" s="1"/>
  <c r="P184" i="5"/>
  <c r="P152" i="5" s="1"/>
  <c r="Q184" i="5"/>
  <c r="Q152" i="5" s="1"/>
  <c r="R184" i="5"/>
  <c r="S184" i="5"/>
  <c r="T184" i="5"/>
  <c r="U184" i="5"/>
  <c r="U152" i="5" s="1"/>
  <c r="V184" i="5"/>
  <c r="W184" i="5"/>
  <c r="W152" i="5" s="1"/>
  <c r="X184" i="5"/>
  <c r="X152" i="5" s="1"/>
  <c r="Y184" i="5"/>
  <c r="Y152" i="5" s="1"/>
  <c r="Z184" i="5"/>
  <c r="AA184" i="5"/>
  <c r="AB184" i="5"/>
  <c r="AC184" i="5"/>
  <c r="AC152" i="5" s="1"/>
  <c r="AD184" i="5"/>
  <c r="AE184" i="5"/>
  <c r="AE152" i="5" s="1"/>
  <c r="AF184" i="5"/>
  <c r="AF152" i="5" s="1"/>
  <c r="AG184" i="5"/>
  <c r="AG152" i="5" s="1"/>
  <c r="AH184" i="5"/>
  <c r="AI184" i="5"/>
  <c r="AJ184" i="5"/>
  <c r="AK184" i="5"/>
  <c r="AK152" i="5" s="1"/>
  <c r="AL184" i="5"/>
  <c r="AL152" i="5" s="1"/>
  <c r="AM184" i="5"/>
  <c r="AM152" i="5" s="1"/>
  <c r="AN184" i="5"/>
  <c r="AN152" i="5" s="1"/>
  <c r="AO184" i="5"/>
  <c r="AO152" i="5" s="1"/>
  <c r="AP184" i="5"/>
  <c r="AQ184" i="5"/>
  <c r="M185" i="5"/>
  <c r="N185" i="5"/>
  <c r="N153" i="5" s="1"/>
  <c r="O185" i="5"/>
  <c r="P185" i="5"/>
  <c r="P153" i="5" s="1"/>
  <c r="Q185" i="5"/>
  <c r="Q153" i="5" s="1"/>
  <c r="R185" i="5"/>
  <c r="R153" i="5" s="1"/>
  <c r="S185" i="5"/>
  <c r="T185" i="5"/>
  <c r="U185" i="5"/>
  <c r="V185" i="5"/>
  <c r="V153" i="5" s="1"/>
  <c r="W185" i="5"/>
  <c r="X185" i="5"/>
  <c r="X153" i="5" s="1"/>
  <c r="Y185" i="5"/>
  <c r="Y153" i="5" s="1"/>
  <c r="Z185" i="5"/>
  <c r="Z153" i="5" s="1"/>
  <c r="AA185" i="5"/>
  <c r="AB185" i="5"/>
  <c r="AC185" i="5"/>
  <c r="AC153" i="5" s="1"/>
  <c r="AD185" i="5"/>
  <c r="AD153" i="5" s="1"/>
  <c r="AE185" i="5"/>
  <c r="AF185" i="5"/>
  <c r="AF153" i="5" s="1"/>
  <c r="AG185" i="5"/>
  <c r="AG153" i="5" s="1"/>
  <c r="AH185" i="5"/>
  <c r="AH153" i="5" s="1"/>
  <c r="AI185" i="5"/>
  <c r="AJ185" i="5"/>
  <c r="AJ188" i="5" s="1"/>
  <c r="AJ156" i="5" s="1"/>
  <c r="AK185" i="5"/>
  <c r="AL185" i="5"/>
  <c r="AL153" i="5" s="1"/>
  <c r="AM185" i="5"/>
  <c r="AM153" i="5" s="1"/>
  <c r="AN185" i="5"/>
  <c r="AN153" i="5" s="1"/>
  <c r="AO185" i="5"/>
  <c r="AO153" i="5" s="1"/>
  <c r="AP185" i="5"/>
  <c r="AP153" i="5" s="1"/>
  <c r="AQ185" i="5"/>
  <c r="M186" i="5"/>
  <c r="N186" i="5"/>
  <c r="O186" i="5"/>
  <c r="O154" i="5" s="1"/>
  <c r="P186" i="5"/>
  <c r="Q186" i="5"/>
  <c r="Q154" i="5" s="1"/>
  <c r="R186" i="5"/>
  <c r="R154" i="5" s="1"/>
  <c r="S186" i="5"/>
  <c r="S154" i="5" s="1"/>
  <c r="T186" i="5"/>
  <c r="U186" i="5"/>
  <c r="V186" i="5"/>
  <c r="W186" i="5"/>
  <c r="W189" i="5" s="1"/>
  <c r="X186" i="5"/>
  <c r="Y186" i="5"/>
  <c r="Y154" i="5" s="1"/>
  <c r="Z186" i="5"/>
  <c r="Z154" i="5" s="1"/>
  <c r="AA186" i="5"/>
  <c r="AA154" i="5" s="1"/>
  <c r="AB186" i="5"/>
  <c r="AC186" i="5"/>
  <c r="AD186" i="5"/>
  <c r="AD154" i="5" s="1"/>
  <c r="AE186" i="5"/>
  <c r="AE154" i="5" s="1"/>
  <c r="AF186" i="5"/>
  <c r="AG186" i="5"/>
  <c r="AG154" i="5" s="1"/>
  <c r="AH186" i="5"/>
  <c r="AH154" i="5" s="1"/>
  <c r="AI186" i="5"/>
  <c r="AI154" i="5" s="1"/>
  <c r="AJ186" i="5"/>
  <c r="AK186" i="5"/>
  <c r="AL186" i="5"/>
  <c r="AM186" i="5"/>
  <c r="AM189" i="5" s="1"/>
  <c r="AN186" i="5"/>
  <c r="AN154" i="5" s="1"/>
  <c r="AO186" i="5"/>
  <c r="AO154" i="5" s="1"/>
  <c r="AP186" i="5"/>
  <c r="AP154" i="5" s="1"/>
  <c r="AQ186" i="5"/>
  <c r="AQ154" i="5" s="1"/>
  <c r="O187" i="5"/>
  <c r="P187" i="5"/>
  <c r="P155" i="5" s="1"/>
  <c r="Q187" i="5"/>
  <c r="W187" i="5"/>
  <c r="X187" i="5"/>
  <c r="X155" i="5" s="1"/>
  <c r="Y187" i="5"/>
  <c r="AE187" i="5"/>
  <c r="AE155" i="5" s="1"/>
  <c r="AF187" i="5"/>
  <c r="AF155" i="5" s="1"/>
  <c r="AG187" i="5"/>
  <c r="AL187" i="5"/>
  <c r="AM187" i="5"/>
  <c r="AN187" i="5"/>
  <c r="AN155" i="5" s="1"/>
  <c r="P188" i="5"/>
  <c r="Q188" i="5"/>
  <c r="R188" i="5"/>
  <c r="X188" i="5"/>
  <c r="Y188" i="5"/>
  <c r="Y156" i="5" s="1"/>
  <c r="Z188" i="5"/>
  <c r="AF188" i="5"/>
  <c r="AF156" i="5" s="1"/>
  <c r="AG188" i="5"/>
  <c r="AG156" i="5" s="1"/>
  <c r="AH188" i="5"/>
  <c r="AH191" i="5" s="1"/>
  <c r="AM188" i="5"/>
  <c r="AN188" i="5"/>
  <c r="AO188" i="5"/>
  <c r="AO156" i="5" s="1"/>
  <c r="Q189" i="5"/>
  <c r="R189" i="5"/>
  <c r="R157" i="5" s="1"/>
  <c r="S189" i="5"/>
  <c r="Y189" i="5"/>
  <c r="Z189" i="5"/>
  <c r="Z157" i="5" s="1"/>
  <c r="AA189" i="5"/>
  <c r="AD189" i="5"/>
  <c r="AG189" i="5"/>
  <c r="AG157" i="5" s="1"/>
  <c r="AH189" i="5"/>
  <c r="AH192" i="5" s="1"/>
  <c r="AI189" i="5"/>
  <c r="AN189" i="5"/>
  <c r="AO189" i="5"/>
  <c r="AP189" i="5"/>
  <c r="AP157" i="5" s="1"/>
  <c r="P190" i="5"/>
  <c r="X190" i="5"/>
  <c r="AE190" i="5"/>
  <c r="AF190" i="5"/>
  <c r="Y191" i="5"/>
  <c r="AF191" i="5"/>
  <c r="AF159" i="5" s="1"/>
  <c r="AG191" i="5"/>
  <c r="AJ191" i="5"/>
  <c r="AJ159" i="5" s="1"/>
  <c r="R192" i="5"/>
  <c r="AG192" i="5"/>
  <c r="AP192" i="5"/>
  <c r="AJ194" i="5"/>
  <c r="M216" i="5"/>
  <c r="M219" i="5" s="1"/>
  <c r="M222" i="5" s="1"/>
  <c r="N216" i="5"/>
  <c r="O216" i="5"/>
  <c r="O219" i="5" s="1"/>
  <c r="O222" i="5" s="1"/>
  <c r="O225" i="5" s="1"/>
  <c r="O228" i="5" s="1"/>
  <c r="O231" i="5" s="1"/>
  <c r="O234" i="5" s="1"/>
  <c r="O237" i="5" s="1"/>
  <c r="O240" i="5" s="1"/>
  <c r="P216" i="5"/>
  <c r="Q216" i="5"/>
  <c r="Q219" i="5" s="1"/>
  <c r="R216" i="5"/>
  <c r="S216" i="5"/>
  <c r="S219" i="5" s="1"/>
  <c r="T216" i="5"/>
  <c r="T219" i="5" s="1"/>
  <c r="T222" i="5" s="1"/>
  <c r="T225" i="5" s="1"/>
  <c r="T228" i="5" s="1"/>
  <c r="T231" i="5" s="1"/>
  <c r="T234" i="5" s="1"/>
  <c r="T237" i="5" s="1"/>
  <c r="U216" i="5"/>
  <c r="U219" i="5" s="1"/>
  <c r="U222" i="5" s="1"/>
  <c r="U225" i="5" s="1"/>
  <c r="V216" i="5"/>
  <c r="W216" i="5"/>
  <c r="X216" i="5"/>
  <c r="Y216" i="5"/>
  <c r="Y219" i="5" s="1"/>
  <c r="Z216" i="5"/>
  <c r="AA216" i="5"/>
  <c r="AA219" i="5" s="1"/>
  <c r="AB216" i="5"/>
  <c r="AB219" i="5" s="1"/>
  <c r="AB222" i="5" s="1"/>
  <c r="AB225" i="5" s="1"/>
  <c r="AB228" i="5" s="1"/>
  <c r="AB231" i="5" s="1"/>
  <c r="AB234" i="5" s="1"/>
  <c r="AB237" i="5" s="1"/>
  <c r="AB240" i="5" s="1"/>
  <c r="AC216" i="5"/>
  <c r="AC219" i="5" s="1"/>
  <c r="AC222" i="5" s="1"/>
  <c r="AC225" i="5" s="1"/>
  <c r="AD216" i="5"/>
  <c r="AE216" i="5"/>
  <c r="AE219" i="5" s="1"/>
  <c r="AE222" i="5" s="1"/>
  <c r="AE225" i="5" s="1"/>
  <c r="AE228" i="5" s="1"/>
  <c r="AE231" i="5" s="1"/>
  <c r="AE234" i="5" s="1"/>
  <c r="AE237" i="5" s="1"/>
  <c r="AE240" i="5" s="1"/>
  <c r="AF216" i="5"/>
  <c r="AG216" i="5"/>
  <c r="AG219" i="5" s="1"/>
  <c r="AH216" i="5"/>
  <c r="AI216" i="5"/>
  <c r="AI219" i="5" s="1"/>
  <c r="AJ216" i="5"/>
  <c r="AJ219" i="5" s="1"/>
  <c r="AJ222" i="5" s="1"/>
  <c r="AJ225" i="5" s="1"/>
  <c r="AJ228" i="5" s="1"/>
  <c r="AJ231" i="5" s="1"/>
  <c r="AJ234" i="5" s="1"/>
  <c r="AK216" i="5"/>
  <c r="AK219" i="5" s="1"/>
  <c r="AK222" i="5" s="1"/>
  <c r="AK225" i="5" s="1"/>
  <c r="AK228" i="5" s="1"/>
  <c r="AK231" i="5" s="1"/>
  <c r="AK234" i="5" s="1"/>
  <c r="AL216" i="5"/>
  <c r="AM216" i="5"/>
  <c r="AN216" i="5"/>
  <c r="AO216" i="5"/>
  <c r="AO219" i="5" s="1"/>
  <c r="AP216" i="5"/>
  <c r="AQ216" i="5"/>
  <c r="AQ219" i="5" s="1"/>
  <c r="M217" i="5"/>
  <c r="M220" i="5" s="1"/>
  <c r="M223" i="5" s="1"/>
  <c r="M226" i="5" s="1"/>
  <c r="N217" i="5"/>
  <c r="N220" i="5" s="1"/>
  <c r="N223" i="5" s="1"/>
  <c r="O217" i="5"/>
  <c r="P217" i="5"/>
  <c r="P220" i="5" s="1"/>
  <c r="P223" i="5" s="1"/>
  <c r="P226" i="5" s="1"/>
  <c r="P229" i="5" s="1"/>
  <c r="P232" i="5" s="1"/>
  <c r="P235" i="5" s="1"/>
  <c r="P238" i="5" s="1"/>
  <c r="P241" i="5" s="1"/>
  <c r="Q217" i="5"/>
  <c r="R217" i="5"/>
  <c r="R220" i="5" s="1"/>
  <c r="S217" i="5"/>
  <c r="T217" i="5"/>
  <c r="T220" i="5" s="1"/>
  <c r="U217" i="5"/>
  <c r="U220" i="5" s="1"/>
  <c r="U223" i="5" s="1"/>
  <c r="U226" i="5" s="1"/>
  <c r="U229" i="5" s="1"/>
  <c r="U232" i="5" s="1"/>
  <c r="U235" i="5" s="1"/>
  <c r="U238" i="5" s="1"/>
  <c r="U241" i="5" s="1"/>
  <c r="V217" i="5"/>
  <c r="V220" i="5" s="1"/>
  <c r="V223" i="5" s="1"/>
  <c r="V226" i="5" s="1"/>
  <c r="V229" i="5" s="1"/>
  <c r="V232" i="5" s="1"/>
  <c r="V235" i="5" s="1"/>
  <c r="W217" i="5"/>
  <c r="X217" i="5"/>
  <c r="X220" i="5" s="1"/>
  <c r="X223" i="5" s="1"/>
  <c r="X226" i="5" s="1"/>
  <c r="X229" i="5" s="1"/>
  <c r="X232" i="5" s="1"/>
  <c r="X235" i="5" s="1"/>
  <c r="X238" i="5" s="1"/>
  <c r="X241" i="5" s="1"/>
  <c r="Y217" i="5"/>
  <c r="Z217" i="5"/>
  <c r="Z220" i="5" s="1"/>
  <c r="AA217" i="5"/>
  <c r="AB217" i="5"/>
  <c r="AB220" i="5" s="1"/>
  <c r="AC217" i="5"/>
  <c r="AC220" i="5" s="1"/>
  <c r="AC223" i="5" s="1"/>
  <c r="AC226" i="5" s="1"/>
  <c r="AC229" i="5" s="1"/>
  <c r="AC232" i="5" s="1"/>
  <c r="AC235" i="5" s="1"/>
  <c r="AC238" i="5" s="1"/>
  <c r="AD217" i="5"/>
  <c r="AD220" i="5" s="1"/>
  <c r="AD223" i="5" s="1"/>
  <c r="AD226" i="5" s="1"/>
  <c r="AE217" i="5"/>
  <c r="AF217" i="5"/>
  <c r="AF220" i="5" s="1"/>
  <c r="AF223" i="5" s="1"/>
  <c r="AF226" i="5" s="1"/>
  <c r="AF229" i="5" s="1"/>
  <c r="AF232" i="5" s="1"/>
  <c r="AF235" i="5" s="1"/>
  <c r="AF238" i="5" s="1"/>
  <c r="AF241" i="5" s="1"/>
  <c r="AG217" i="5"/>
  <c r="AH217" i="5"/>
  <c r="AH220" i="5" s="1"/>
  <c r="AI217" i="5"/>
  <c r="AJ217" i="5"/>
  <c r="AJ220" i="5" s="1"/>
  <c r="AK217" i="5"/>
  <c r="AK220" i="5" s="1"/>
  <c r="AK223" i="5" s="1"/>
  <c r="AK226" i="5" s="1"/>
  <c r="AK229" i="5" s="1"/>
  <c r="AK232" i="5" s="1"/>
  <c r="AK235" i="5" s="1"/>
  <c r="AL217" i="5"/>
  <c r="AL220" i="5" s="1"/>
  <c r="AL223" i="5" s="1"/>
  <c r="AL226" i="5" s="1"/>
  <c r="AL229" i="5" s="1"/>
  <c r="AL232" i="5" s="1"/>
  <c r="AL235" i="5" s="1"/>
  <c r="AM217" i="5"/>
  <c r="AN217" i="5"/>
  <c r="AO217" i="5"/>
  <c r="AP217" i="5"/>
  <c r="AP220" i="5" s="1"/>
  <c r="AQ217" i="5"/>
  <c r="M218" i="5"/>
  <c r="M221" i="5" s="1"/>
  <c r="N218" i="5"/>
  <c r="N221" i="5" s="1"/>
  <c r="N224" i="5" s="1"/>
  <c r="N227" i="5" s="1"/>
  <c r="N230" i="5" s="1"/>
  <c r="N233" i="5" s="1"/>
  <c r="N236" i="5" s="1"/>
  <c r="N239" i="5" s="1"/>
  <c r="N242" i="5" s="1"/>
  <c r="O218" i="5"/>
  <c r="O221" i="5" s="1"/>
  <c r="O224" i="5" s="1"/>
  <c r="P218" i="5"/>
  <c r="Q218" i="5"/>
  <c r="Q221" i="5" s="1"/>
  <c r="Q224" i="5" s="1"/>
  <c r="Q227" i="5" s="1"/>
  <c r="Q230" i="5" s="1"/>
  <c r="Q233" i="5" s="1"/>
  <c r="Q236" i="5" s="1"/>
  <c r="Q239" i="5" s="1"/>
  <c r="Q242" i="5" s="1"/>
  <c r="R218" i="5"/>
  <c r="S218" i="5"/>
  <c r="S221" i="5" s="1"/>
  <c r="T218" i="5"/>
  <c r="U218" i="5"/>
  <c r="U221" i="5" s="1"/>
  <c r="V218" i="5"/>
  <c r="V221" i="5" s="1"/>
  <c r="V224" i="5" s="1"/>
  <c r="V227" i="5" s="1"/>
  <c r="V230" i="5" s="1"/>
  <c r="V233" i="5" s="1"/>
  <c r="V236" i="5" s="1"/>
  <c r="V239" i="5" s="1"/>
  <c r="W218" i="5"/>
  <c r="W221" i="5" s="1"/>
  <c r="W224" i="5" s="1"/>
  <c r="W227" i="5" s="1"/>
  <c r="W230" i="5" s="1"/>
  <c r="W233" i="5" s="1"/>
  <c r="W236" i="5" s="1"/>
  <c r="X218" i="5"/>
  <c r="Y218" i="5"/>
  <c r="Z218" i="5"/>
  <c r="AA218" i="5"/>
  <c r="AA221" i="5" s="1"/>
  <c r="AB218" i="5"/>
  <c r="AC218" i="5"/>
  <c r="AC221" i="5" s="1"/>
  <c r="AD218" i="5"/>
  <c r="AD221" i="5" s="1"/>
  <c r="AD224" i="5" s="1"/>
  <c r="AD227" i="5" s="1"/>
  <c r="AD230" i="5" s="1"/>
  <c r="AD233" i="5" s="1"/>
  <c r="AD236" i="5" s="1"/>
  <c r="AD239" i="5" s="1"/>
  <c r="AD242" i="5" s="1"/>
  <c r="AE218" i="5"/>
  <c r="AE221" i="5" s="1"/>
  <c r="AE224" i="5" s="1"/>
  <c r="AE227" i="5" s="1"/>
  <c r="AE230" i="5" s="1"/>
  <c r="AE233" i="5" s="1"/>
  <c r="AE236" i="5" s="1"/>
  <c r="AE239" i="5" s="1"/>
  <c r="AE242" i="5" s="1"/>
  <c r="AF218" i="5"/>
  <c r="AG218" i="5"/>
  <c r="AG221" i="5" s="1"/>
  <c r="AG224" i="5" s="1"/>
  <c r="AG227" i="5" s="1"/>
  <c r="AG230" i="5" s="1"/>
  <c r="AG233" i="5" s="1"/>
  <c r="AG236" i="5" s="1"/>
  <c r="AG239" i="5" s="1"/>
  <c r="AG242" i="5" s="1"/>
  <c r="AH218" i="5"/>
  <c r="AI218" i="5"/>
  <c r="AI221" i="5" s="1"/>
  <c r="AJ218" i="5"/>
  <c r="AK218" i="5"/>
  <c r="AK221" i="5" s="1"/>
  <c r="AL218" i="5"/>
  <c r="AL221" i="5" s="1"/>
  <c r="AL224" i="5" s="1"/>
  <c r="AL227" i="5" s="1"/>
  <c r="AL230" i="5" s="1"/>
  <c r="AL233" i="5" s="1"/>
  <c r="AL236" i="5" s="1"/>
  <c r="AL239" i="5" s="1"/>
  <c r="AL242" i="5" s="1"/>
  <c r="AM218" i="5"/>
  <c r="AM221" i="5" s="1"/>
  <c r="AM224" i="5" s="1"/>
  <c r="AM227" i="5" s="1"/>
  <c r="AN218" i="5"/>
  <c r="AO218" i="5"/>
  <c r="AP218" i="5"/>
  <c r="AQ218" i="5"/>
  <c r="AQ221" i="5" s="1"/>
  <c r="N219" i="5"/>
  <c r="N222" i="5" s="1"/>
  <c r="N225" i="5" s="1"/>
  <c r="N228" i="5" s="1"/>
  <c r="N231" i="5" s="1"/>
  <c r="N234" i="5" s="1"/>
  <c r="N237" i="5" s="1"/>
  <c r="N240" i="5" s="1"/>
  <c r="P219" i="5"/>
  <c r="P222" i="5" s="1"/>
  <c r="P225" i="5" s="1"/>
  <c r="P228" i="5" s="1"/>
  <c r="P231" i="5" s="1"/>
  <c r="P234" i="5" s="1"/>
  <c r="P237" i="5" s="1"/>
  <c r="P240" i="5" s="1"/>
  <c r="R219" i="5"/>
  <c r="R222" i="5" s="1"/>
  <c r="R225" i="5" s="1"/>
  <c r="R228" i="5" s="1"/>
  <c r="R231" i="5" s="1"/>
  <c r="R234" i="5" s="1"/>
  <c r="R237" i="5" s="1"/>
  <c r="R240" i="5" s="1"/>
  <c r="V219" i="5"/>
  <c r="V222" i="5" s="1"/>
  <c r="W219" i="5"/>
  <c r="W222" i="5" s="1"/>
  <c r="W225" i="5" s="1"/>
  <c r="W228" i="5" s="1"/>
  <c r="W231" i="5" s="1"/>
  <c r="W234" i="5" s="1"/>
  <c r="W237" i="5" s="1"/>
  <c r="W240" i="5" s="1"/>
  <c r="X219" i="5"/>
  <c r="X222" i="5" s="1"/>
  <c r="X225" i="5" s="1"/>
  <c r="X228" i="5" s="1"/>
  <c r="X231" i="5" s="1"/>
  <c r="Z219" i="5"/>
  <c r="AD219" i="5"/>
  <c r="AD222" i="5" s="1"/>
  <c r="AD225" i="5" s="1"/>
  <c r="AD228" i="5" s="1"/>
  <c r="AD231" i="5" s="1"/>
  <c r="AD234" i="5" s="1"/>
  <c r="AD237" i="5" s="1"/>
  <c r="AD240" i="5" s="1"/>
  <c r="AF219" i="5"/>
  <c r="AF222" i="5" s="1"/>
  <c r="AF225" i="5" s="1"/>
  <c r="AF228" i="5" s="1"/>
  <c r="AF231" i="5" s="1"/>
  <c r="AF234" i="5" s="1"/>
  <c r="AF237" i="5" s="1"/>
  <c r="AF240" i="5" s="1"/>
  <c r="AH219" i="5"/>
  <c r="AH222" i="5" s="1"/>
  <c r="AH225" i="5" s="1"/>
  <c r="AH228" i="5" s="1"/>
  <c r="AH231" i="5" s="1"/>
  <c r="AH234" i="5" s="1"/>
  <c r="AH237" i="5" s="1"/>
  <c r="AH240" i="5" s="1"/>
  <c r="AL219" i="5"/>
  <c r="AL222" i="5" s="1"/>
  <c r="AL225" i="5" s="1"/>
  <c r="AL228" i="5" s="1"/>
  <c r="AL231" i="5" s="1"/>
  <c r="AM219" i="5"/>
  <c r="AM222" i="5" s="1"/>
  <c r="AM225" i="5" s="1"/>
  <c r="AM228" i="5" s="1"/>
  <c r="AM231" i="5" s="1"/>
  <c r="AM234" i="5" s="1"/>
  <c r="AM237" i="5" s="1"/>
  <c r="AM240" i="5" s="1"/>
  <c r="AN219" i="5"/>
  <c r="AN222" i="5" s="1"/>
  <c r="AN225" i="5" s="1"/>
  <c r="AP219" i="5"/>
  <c r="O220" i="5"/>
  <c r="O223" i="5" s="1"/>
  <c r="Q220" i="5"/>
  <c r="Q223" i="5" s="1"/>
  <c r="Q226" i="5" s="1"/>
  <c r="Q229" i="5" s="1"/>
  <c r="Q232" i="5" s="1"/>
  <c r="Q235" i="5" s="1"/>
  <c r="Q238" i="5" s="1"/>
  <c r="Q241" i="5" s="1"/>
  <c r="S220" i="5"/>
  <c r="S223" i="5" s="1"/>
  <c r="S226" i="5" s="1"/>
  <c r="S229" i="5" s="1"/>
  <c r="S232" i="5" s="1"/>
  <c r="S235" i="5" s="1"/>
  <c r="S238" i="5" s="1"/>
  <c r="S241" i="5" s="1"/>
  <c r="W220" i="5"/>
  <c r="W223" i="5" s="1"/>
  <c r="Y220" i="5"/>
  <c r="Y223" i="5" s="1"/>
  <c r="Y226" i="5" s="1"/>
  <c r="AA220" i="5"/>
  <c r="AE220" i="5"/>
  <c r="AE223" i="5" s="1"/>
  <c r="AE226" i="5" s="1"/>
  <c r="AE229" i="5" s="1"/>
  <c r="AE232" i="5" s="1"/>
  <c r="AG220" i="5"/>
  <c r="AG223" i="5" s="1"/>
  <c r="AG226" i="5" s="1"/>
  <c r="AG229" i="5" s="1"/>
  <c r="AG232" i="5" s="1"/>
  <c r="AG235" i="5" s="1"/>
  <c r="AG238" i="5" s="1"/>
  <c r="AG241" i="5" s="1"/>
  <c r="AI220" i="5"/>
  <c r="AI223" i="5" s="1"/>
  <c r="AI226" i="5" s="1"/>
  <c r="AI229" i="5" s="1"/>
  <c r="AI232" i="5" s="1"/>
  <c r="AI235" i="5" s="1"/>
  <c r="AI238" i="5" s="1"/>
  <c r="AI241" i="5" s="1"/>
  <c r="AM220" i="5"/>
  <c r="AM223" i="5" s="1"/>
  <c r="AM226" i="5" s="1"/>
  <c r="AM229" i="5" s="1"/>
  <c r="AM232" i="5" s="1"/>
  <c r="AN220" i="5"/>
  <c r="AN223" i="5" s="1"/>
  <c r="AN226" i="5" s="1"/>
  <c r="AN229" i="5" s="1"/>
  <c r="AN232" i="5" s="1"/>
  <c r="AN235" i="5" s="1"/>
  <c r="AN238" i="5" s="1"/>
  <c r="AN241" i="5" s="1"/>
  <c r="AO220" i="5"/>
  <c r="AO223" i="5" s="1"/>
  <c r="AO226" i="5" s="1"/>
  <c r="AQ220" i="5"/>
  <c r="P221" i="5"/>
  <c r="P224" i="5" s="1"/>
  <c r="P227" i="5" s="1"/>
  <c r="P230" i="5" s="1"/>
  <c r="R221" i="5"/>
  <c r="R224" i="5" s="1"/>
  <c r="R227" i="5" s="1"/>
  <c r="R230" i="5" s="1"/>
  <c r="R233" i="5" s="1"/>
  <c r="R236" i="5" s="1"/>
  <c r="R239" i="5" s="1"/>
  <c r="R242" i="5" s="1"/>
  <c r="T221" i="5"/>
  <c r="T224" i="5" s="1"/>
  <c r="T227" i="5" s="1"/>
  <c r="T230" i="5" s="1"/>
  <c r="T233" i="5" s="1"/>
  <c r="T236" i="5" s="1"/>
  <c r="T239" i="5" s="1"/>
  <c r="T242" i="5" s="1"/>
  <c r="X221" i="5"/>
  <c r="X224" i="5" s="1"/>
  <c r="Y221" i="5"/>
  <c r="Y224" i="5" s="1"/>
  <c r="Y227" i="5" s="1"/>
  <c r="Y230" i="5" s="1"/>
  <c r="Y233" i="5" s="1"/>
  <c r="Y236" i="5" s="1"/>
  <c r="Y239" i="5" s="1"/>
  <c r="Y242" i="5" s="1"/>
  <c r="Z221" i="5"/>
  <c r="Z224" i="5" s="1"/>
  <c r="Z227" i="5" s="1"/>
  <c r="AB221" i="5"/>
  <c r="AF221" i="5"/>
  <c r="AF224" i="5" s="1"/>
  <c r="AF227" i="5" s="1"/>
  <c r="AF230" i="5" s="1"/>
  <c r="AH221" i="5"/>
  <c r="AH224" i="5" s="1"/>
  <c r="AH227" i="5" s="1"/>
  <c r="AH230" i="5" s="1"/>
  <c r="AH233" i="5" s="1"/>
  <c r="AH236" i="5" s="1"/>
  <c r="AH239" i="5" s="1"/>
  <c r="AH242" i="5" s="1"/>
  <c r="AJ221" i="5"/>
  <c r="AJ224" i="5" s="1"/>
  <c r="AJ227" i="5" s="1"/>
  <c r="AJ230" i="5" s="1"/>
  <c r="AJ233" i="5" s="1"/>
  <c r="AJ236" i="5" s="1"/>
  <c r="AJ239" i="5" s="1"/>
  <c r="AJ242" i="5" s="1"/>
  <c r="AN221" i="5"/>
  <c r="AN224" i="5" s="1"/>
  <c r="AN227" i="5" s="1"/>
  <c r="AN230" i="5" s="1"/>
  <c r="AO221" i="5"/>
  <c r="AO224" i="5" s="1"/>
  <c r="AO227" i="5" s="1"/>
  <c r="AO230" i="5" s="1"/>
  <c r="AO233" i="5" s="1"/>
  <c r="AO236" i="5" s="1"/>
  <c r="AO239" i="5" s="1"/>
  <c r="AO242" i="5" s="1"/>
  <c r="AP221" i="5"/>
  <c r="AP224" i="5" s="1"/>
  <c r="AP227" i="5" s="1"/>
  <c r="Q222" i="5"/>
  <c r="Q225" i="5" s="1"/>
  <c r="Q228" i="5" s="1"/>
  <c r="Q231" i="5" s="1"/>
  <c r="Q234" i="5" s="1"/>
  <c r="Q237" i="5" s="1"/>
  <c r="Q240" i="5" s="1"/>
  <c r="S222" i="5"/>
  <c r="S225" i="5" s="1"/>
  <c r="S228" i="5" s="1"/>
  <c r="S231" i="5" s="1"/>
  <c r="S234" i="5" s="1"/>
  <c r="S237" i="5" s="1"/>
  <c r="S240" i="5" s="1"/>
  <c r="Y222" i="5"/>
  <c r="Y225" i="5" s="1"/>
  <c r="Y228" i="5" s="1"/>
  <c r="Y231" i="5" s="1"/>
  <c r="Y234" i="5" s="1"/>
  <c r="Z222" i="5"/>
  <c r="Z225" i="5" s="1"/>
  <c r="Z228" i="5" s="1"/>
  <c r="Z231" i="5" s="1"/>
  <c r="Z234" i="5" s="1"/>
  <c r="Z237" i="5" s="1"/>
  <c r="Z240" i="5" s="1"/>
  <c r="AA222" i="5"/>
  <c r="AA225" i="5" s="1"/>
  <c r="AA228" i="5" s="1"/>
  <c r="AG222" i="5"/>
  <c r="AG225" i="5" s="1"/>
  <c r="AG228" i="5" s="1"/>
  <c r="AG231" i="5" s="1"/>
  <c r="AG234" i="5" s="1"/>
  <c r="AG237" i="5" s="1"/>
  <c r="AG240" i="5" s="1"/>
  <c r="AI222" i="5"/>
  <c r="AI225" i="5" s="1"/>
  <c r="AI228" i="5" s="1"/>
  <c r="AO222" i="5"/>
  <c r="AO225" i="5" s="1"/>
  <c r="AO228" i="5" s="1"/>
  <c r="AO231" i="5" s="1"/>
  <c r="AO234" i="5" s="1"/>
  <c r="AO237" i="5" s="1"/>
  <c r="AO240" i="5" s="1"/>
  <c r="AP222" i="5"/>
  <c r="AP225" i="5" s="1"/>
  <c r="AP228" i="5" s="1"/>
  <c r="AQ222" i="5"/>
  <c r="AQ225" i="5" s="1"/>
  <c r="AQ228" i="5" s="1"/>
  <c r="R223" i="5"/>
  <c r="R226" i="5" s="1"/>
  <c r="R229" i="5" s="1"/>
  <c r="R232" i="5" s="1"/>
  <c r="T223" i="5"/>
  <c r="T226" i="5" s="1"/>
  <c r="T229" i="5" s="1"/>
  <c r="Z223" i="5"/>
  <c r="Z226" i="5" s="1"/>
  <c r="Z229" i="5" s="1"/>
  <c r="Z232" i="5" s="1"/>
  <c r="Z235" i="5" s="1"/>
  <c r="AA223" i="5"/>
  <c r="AB223" i="5"/>
  <c r="AB226" i="5" s="1"/>
  <c r="AB229" i="5" s="1"/>
  <c r="AH223" i="5"/>
  <c r="AH226" i="5" s="1"/>
  <c r="AH229" i="5" s="1"/>
  <c r="AH232" i="5" s="1"/>
  <c r="AJ223" i="5"/>
  <c r="AJ226" i="5" s="1"/>
  <c r="AJ229" i="5" s="1"/>
  <c r="AP223" i="5"/>
  <c r="AP226" i="5" s="1"/>
  <c r="AP229" i="5" s="1"/>
  <c r="AP232" i="5" s="1"/>
  <c r="AP235" i="5" s="1"/>
  <c r="AQ223" i="5"/>
  <c r="M224" i="5"/>
  <c r="M227" i="5" s="1"/>
  <c r="M230" i="5" s="1"/>
  <c r="M233" i="5" s="1"/>
  <c r="M236" i="5" s="1"/>
  <c r="M239" i="5" s="1"/>
  <c r="M242" i="5" s="1"/>
  <c r="S224" i="5"/>
  <c r="S227" i="5" s="1"/>
  <c r="S230" i="5" s="1"/>
  <c r="S233" i="5" s="1"/>
  <c r="S236" i="5" s="1"/>
  <c r="S239" i="5" s="1"/>
  <c r="S242" i="5" s="1"/>
  <c r="U224" i="5"/>
  <c r="U227" i="5" s="1"/>
  <c r="U230" i="5" s="1"/>
  <c r="AA224" i="5"/>
  <c r="AA227" i="5" s="1"/>
  <c r="AA230" i="5" s="1"/>
  <c r="AB224" i="5"/>
  <c r="AC224" i="5"/>
  <c r="AC227" i="5" s="1"/>
  <c r="AC230" i="5" s="1"/>
  <c r="AC233" i="5" s="1"/>
  <c r="AC236" i="5" s="1"/>
  <c r="AC239" i="5" s="1"/>
  <c r="AC242" i="5" s="1"/>
  <c r="AI224" i="5"/>
  <c r="AI227" i="5" s="1"/>
  <c r="AI230" i="5" s="1"/>
  <c r="AI233" i="5" s="1"/>
  <c r="AK224" i="5"/>
  <c r="AK227" i="5" s="1"/>
  <c r="AK230" i="5" s="1"/>
  <c r="AK233" i="5" s="1"/>
  <c r="AK236" i="5" s="1"/>
  <c r="AK239" i="5" s="1"/>
  <c r="AK242" i="5" s="1"/>
  <c r="AQ224" i="5"/>
  <c r="AQ227" i="5" s="1"/>
  <c r="AQ230" i="5" s="1"/>
  <c r="AQ233" i="5" s="1"/>
  <c r="M225" i="5"/>
  <c r="V225" i="5"/>
  <c r="V228" i="5" s="1"/>
  <c r="V231" i="5" s="1"/>
  <c r="N226" i="5"/>
  <c r="O226" i="5"/>
  <c r="O229" i="5" s="1"/>
  <c r="O232" i="5" s="1"/>
  <c r="W226" i="5"/>
  <c r="W229" i="5" s="1"/>
  <c r="W232" i="5" s="1"/>
  <c r="AA226" i="5"/>
  <c r="AA229" i="5" s="1"/>
  <c r="AA232" i="5" s="1"/>
  <c r="AA235" i="5" s="1"/>
  <c r="AQ226" i="5"/>
  <c r="AQ229" i="5" s="1"/>
  <c r="AQ232" i="5" s="1"/>
  <c r="AQ235" i="5" s="1"/>
  <c r="AQ238" i="5" s="1"/>
  <c r="AQ241" i="5" s="1"/>
  <c r="O227" i="5"/>
  <c r="O230" i="5" s="1"/>
  <c r="X227" i="5"/>
  <c r="X230" i="5" s="1"/>
  <c r="X233" i="5" s="1"/>
  <c r="X236" i="5" s="1"/>
  <c r="X239" i="5" s="1"/>
  <c r="X242" i="5" s="1"/>
  <c r="AB227" i="5"/>
  <c r="AB230" i="5" s="1"/>
  <c r="AB233" i="5" s="1"/>
  <c r="AB236" i="5" s="1"/>
  <c r="M228" i="5"/>
  <c r="M231" i="5" s="1"/>
  <c r="U228" i="5"/>
  <c r="U231" i="5" s="1"/>
  <c r="AC228" i="5"/>
  <c r="AC231" i="5" s="1"/>
  <c r="AC234" i="5" s="1"/>
  <c r="AC237" i="5" s="1"/>
  <c r="AC240" i="5" s="1"/>
  <c r="AN228" i="5"/>
  <c r="M229" i="5"/>
  <c r="M232" i="5" s="1"/>
  <c r="M235" i="5" s="1"/>
  <c r="M238" i="5" s="1"/>
  <c r="M241" i="5" s="1"/>
  <c r="N229" i="5"/>
  <c r="N232" i="5" s="1"/>
  <c r="N235" i="5" s="1"/>
  <c r="Y229" i="5"/>
  <c r="Y232" i="5" s="1"/>
  <c r="AD229" i="5"/>
  <c r="AD232" i="5" s="1"/>
  <c r="AD235" i="5" s="1"/>
  <c r="AD238" i="5" s="1"/>
  <c r="AD241" i="5" s="1"/>
  <c r="AO229" i="5"/>
  <c r="AO232" i="5" s="1"/>
  <c r="Z230" i="5"/>
  <c r="Z233" i="5" s="1"/>
  <c r="Z236" i="5" s="1"/>
  <c r="Z239" i="5" s="1"/>
  <c r="Z242" i="5" s="1"/>
  <c r="AM230" i="5"/>
  <c r="AP230" i="5"/>
  <c r="AP233" i="5" s="1"/>
  <c r="AP236" i="5" s="1"/>
  <c r="AP239" i="5" s="1"/>
  <c r="AP242" i="5" s="1"/>
  <c r="AA231" i="5"/>
  <c r="AA234" i="5" s="1"/>
  <c r="AA237" i="5" s="1"/>
  <c r="AI231" i="5"/>
  <c r="AI234" i="5" s="1"/>
  <c r="AI237" i="5" s="1"/>
  <c r="AI240" i="5" s="1"/>
  <c r="AN231" i="5"/>
  <c r="AN234" i="5" s="1"/>
  <c r="AN237" i="5" s="1"/>
  <c r="AN240" i="5" s="1"/>
  <c r="AP231" i="5"/>
  <c r="AP234" i="5" s="1"/>
  <c r="AP237" i="5" s="1"/>
  <c r="AP240" i="5" s="1"/>
  <c r="AQ231" i="5"/>
  <c r="AQ234" i="5" s="1"/>
  <c r="AQ237" i="5" s="1"/>
  <c r="AQ240" i="5" s="1"/>
  <c r="T232" i="5"/>
  <c r="T235" i="5" s="1"/>
  <c r="T238" i="5" s="1"/>
  <c r="AB232" i="5"/>
  <c r="AB235" i="5" s="1"/>
  <c r="AB238" i="5" s="1"/>
  <c r="AJ232" i="5"/>
  <c r="AJ235" i="5" s="1"/>
  <c r="AJ238" i="5" s="1"/>
  <c r="AJ241" i="5" s="1"/>
  <c r="O233" i="5"/>
  <c r="O236" i="5" s="1"/>
  <c r="O239" i="5" s="1"/>
  <c r="O242" i="5" s="1"/>
  <c r="P233" i="5"/>
  <c r="U233" i="5"/>
  <c r="U236" i="5" s="1"/>
  <c r="AA233" i="5"/>
  <c r="AA236" i="5" s="1"/>
  <c r="AA239" i="5" s="1"/>
  <c r="AA242" i="5" s="1"/>
  <c r="AF233" i="5"/>
  <c r="AM233" i="5"/>
  <c r="AM236" i="5" s="1"/>
  <c r="AN233" i="5"/>
  <c r="AN236" i="5" s="1"/>
  <c r="AN239" i="5" s="1"/>
  <c r="AN242" i="5" s="1"/>
  <c r="M234" i="5"/>
  <c r="M237" i="5" s="1"/>
  <c r="M240" i="5" s="1"/>
  <c r="U234" i="5"/>
  <c r="U237" i="5" s="1"/>
  <c r="V234" i="5"/>
  <c r="X234" i="5"/>
  <c r="AL234" i="5"/>
  <c r="AL237" i="5" s="1"/>
  <c r="AL240" i="5" s="1"/>
  <c r="O235" i="5"/>
  <c r="O238" i="5" s="1"/>
  <c r="O241" i="5" s="1"/>
  <c r="R235" i="5"/>
  <c r="R238" i="5" s="1"/>
  <c r="R241" i="5" s="1"/>
  <c r="W235" i="5"/>
  <c r="W238" i="5" s="1"/>
  <c r="W241" i="5" s="1"/>
  <c r="Y235" i="5"/>
  <c r="Y238" i="5" s="1"/>
  <c r="Y241" i="5" s="1"/>
  <c r="AE235" i="5"/>
  <c r="AE238" i="5" s="1"/>
  <c r="AE241" i="5" s="1"/>
  <c r="AH235" i="5"/>
  <c r="AH238" i="5" s="1"/>
  <c r="AH241" i="5" s="1"/>
  <c r="AM235" i="5"/>
  <c r="AM238" i="5" s="1"/>
  <c r="AM241" i="5" s="1"/>
  <c r="AO235" i="5"/>
  <c r="AO238" i="5" s="1"/>
  <c r="AO241" i="5" s="1"/>
  <c r="P236" i="5"/>
  <c r="AF236" i="5"/>
  <c r="AF239" i="5" s="1"/>
  <c r="AF242" i="5" s="1"/>
  <c r="AI236" i="5"/>
  <c r="AQ236" i="5"/>
  <c r="AQ239" i="5" s="1"/>
  <c r="AQ242" i="5" s="1"/>
  <c r="V237" i="5"/>
  <c r="V240" i="5" s="1"/>
  <c r="X237" i="5"/>
  <c r="X240" i="5" s="1"/>
  <c r="Y237" i="5"/>
  <c r="Y240" i="5" s="1"/>
  <c r="AJ237" i="5"/>
  <c r="AK237" i="5"/>
  <c r="AK240" i="5" s="1"/>
  <c r="N238" i="5"/>
  <c r="N241" i="5" s="1"/>
  <c r="V238" i="5"/>
  <c r="V241" i="5" s="1"/>
  <c r="Z238" i="5"/>
  <c r="Z241" i="5" s="1"/>
  <c r="AA238" i="5"/>
  <c r="AA241" i="5" s="1"/>
  <c r="AK238" i="5"/>
  <c r="AK241" i="5" s="1"/>
  <c r="AL238" i="5"/>
  <c r="AL241" i="5" s="1"/>
  <c r="AP238" i="5"/>
  <c r="AP241" i="5" s="1"/>
  <c r="P239" i="5"/>
  <c r="P242" i="5" s="1"/>
  <c r="U239" i="5"/>
  <c r="W239" i="5"/>
  <c r="AB239" i="5"/>
  <c r="AB242" i="5" s="1"/>
  <c r="AI239" i="5"/>
  <c r="AI242" i="5" s="1"/>
  <c r="AM239" i="5"/>
  <c r="AM242" i="5" s="1"/>
  <c r="T240" i="5"/>
  <c r="U240" i="5"/>
  <c r="AA240" i="5"/>
  <c r="AJ240" i="5"/>
  <c r="T241" i="5"/>
  <c r="AB241" i="5"/>
  <c r="AC241" i="5"/>
  <c r="U242" i="5"/>
  <c r="V242" i="5"/>
  <c r="W242" i="5"/>
  <c r="M346" i="5"/>
  <c r="N346" i="5"/>
  <c r="O346" i="5"/>
  <c r="P346" i="5"/>
  <c r="Q346" i="5"/>
  <c r="R346" i="5"/>
  <c r="S346" i="5"/>
  <c r="T346" i="5"/>
  <c r="U346" i="5"/>
  <c r="V346" i="5"/>
  <c r="W346" i="5"/>
  <c r="X346" i="5"/>
  <c r="Y346" i="5"/>
  <c r="Z346" i="5"/>
  <c r="AA346" i="5"/>
  <c r="AB346" i="5"/>
  <c r="AC346" i="5"/>
  <c r="AD346" i="5"/>
  <c r="AE346" i="5"/>
  <c r="AF346" i="5"/>
  <c r="AG346" i="5"/>
  <c r="AH346" i="5"/>
  <c r="AI346" i="5"/>
  <c r="AJ346" i="5"/>
  <c r="AK346" i="5"/>
  <c r="AL346" i="5"/>
  <c r="AM346" i="5"/>
  <c r="AN346" i="5"/>
  <c r="AO346" i="5"/>
  <c r="AP346" i="5"/>
  <c r="AQ346" i="5"/>
  <c r="AB361" i="5"/>
  <c r="AP361" i="5"/>
  <c r="AB362" i="5"/>
  <c r="AP362" i="5"/>
  <c r="AB363" i="5"/>
  <c r="AP363" i="5"/>
  <c r="AB364" i="5"/>
  <c r="AP364" i="5"/>
  <c r="AB365" i="5"/>
  <c r="AP365" i="5"/>
  <c r="AB366" i="5"/>
  <c r="AP366" i="5"/>
  <c r="S368" i="5"/>
  <c r="AI368" i="5"/>
  <c r="AQ368" i="5"/>
  <c r="S369" i="5"/>
  <c r="S349" i="5" s="1"/>
  <c r="S352" i="5" s="1"/>
  <c r="AI369" i="5"/>
  <c r="AQ369" i="5"/>
  <c r="S370" i="5"/>
  <c r="AI370" i="5"/>
  <c r="AQ370" i="5"/>
  <c r="S371" i="5"/>
  <c r="AI371" i="5"/>
  <c r="AQ371" i="5"/>
  <c r="S372" i="5"/>
  <c r="AI372" i="5"/>
  <c r="AQ372" i="5"/>
  <c r="S373" i="5"/>
  <c r="AI373" i="5"/>
  <c r="AQ373" i="5"/>
  <c r="M380" i="5"/>
  <c r="N380" i="5"/>
  <c r="O380" i="5"/>
  <c r="P380" i="5"/>
  <c r="Q380" i="5"/>
  <c r="R380" i="5"/>
  <c r="T380" i="5"/>
  <c r="U380" i="5"/>
  <c r="V380" i="5"/>
  <c r="W380" i="5"/>
  <c r="X380" i="5"/>
  <c r="Y380" i="5"/>
  <c r="Z380" i="5"/>
  <c r="AB380" i="5"/>
  <c r="AC380" i="5"/>
  <c r="AD380" i="5"/>
  <c r="AE380" i="5"/>
  <c r="AF380" i="5"/>
  <c r="AG380" i="5"/>
  <c r="AH380" i="5"/>
  <c r="AJ380" i="5"/>
  <c r="AK380" i="5"/>
  <c r="AL380" i="5"/>
  <c r="AM380" i="5"/>
  <c r="AN380" i="5"/>
  <c r="AO380" i="5"/>
  <c r="AP380" i="5"/>
  <c r="M381" i="5"/>
  <c r="N381" i="5"/>
  <c r="O381" i="5"/>
  <c r="P381" i="5"/>
  <c r="Q381" i="5"/>
  <c r="R381" i="5"/>
  <c r="T381" i="5"/>
  <c r="U381" i="5"/>
  <c r="V381" i="5"/>
  <c r="W381" i="5"/>
  <c r="X381" i="5"/>
  <c r="Y381" i="5"/>
  <c r="Z381" i="5"/>
  <c r="AB381" i="5"/>
  <c r="AC381" i="5"/>
  <c r="AD381" i="5"/>
  <c r="AE381" i="5"/>
  <c r="AF381" i="5"/>
  <c r="AG381" i="5"/>
  <c r="AH381" i="5"/>
  <c r="AJ381" i="5"/>
  <c r="AK381" i="5"/>
  <c r="AL381" i="5"/>
  <c r="AM381" i="5"/>
  <c r="AN381" i="5"/>
  <c r="AO381" i="5"/>
  <c r="AP381" i="5"/>
  <c r="M382" i="5"/>
  <c r="N382" i="5"/>
  <c r="O382" i="5"/>
  <c r="P382" i="5"/>
  <c r="Q382" i="5"/>
  <c r="R382" i="5"/>
  <c r="T382" i="5"/>
  <c r="U382" i="5"/>
  <c r="V382" i="5"/>
  <c r="W382" i="5"/>
  <c r="X382" i="5"/>
  <c r="Y382" i="5"/>
  <c r="Z382" i="5"/>
  <c r="AB382" i="5"/>
  <c r="AC382" i="5"/>
  <c r="AD382" i="5"/>
  <c r="AE382" i="5"/>
  <c r="AF382" i="5"/>
  <c r="AG382" i="5"/>
  <c r="AH382" i="5"/>
  <c r="AJ382" i="5"/>
  <c r="AK382" i="5"/>
  <c r="AL382" i="5"/>
  <c r="AM382" i="5"/>
  <c r="AN382" i="5"/>
  <c r="AO382" i="5"/>
  <c r="AP382" i="5"/>
  <c r="M383" i="5"/>
  <c r="N383" i="5"/>
  <c r="O383" i="5"/>
  <c r="P383" i="5"/>
  <c r="Q383" i="5"/>
  <c r="R383" i="5"/>
  <c r="S383" i="5"/>
  <c r="U383" i="5"/>
  <c r="V383" i="5"/>
  <c r="W383" i="5"/>
  <c r="X383" i="5"/>
  <c r="Y383" i="5"/>
  <c r="Z383" i="5"/>
  <c r="AA383" i="5"/>
  <c r="AC383" i="5"/>
  <c r="AD383" i="5"/>
  <c r="AE383" i="5"/>
  <c r="AF383" i="5"/>
  <c r="AG383" i="5"/>
  <c r="AH383" i="5"/>
  <c r="AI383" i="5"/>
  <c r="AK383" i="5"/>
  <c r="AL383" i="5"/>
  <c r="AM383" i="5"/>
  <c r="AN383" i="5"/>
  <c r="AO383" i="5"/>
  <c r="AP383" i="5"/>
  <c r="AQ383" i="5"/>
  <c r="M384" i="5"/>
  <c r="N384" i="5"/>
  <c r="O384" i="5"/>
  <c r="P384" i="5"/>
  <c r="Q384" i="5"/>
  <c r="R384" i="5"/>
  <c r="S384" i="5"/>
  <c r="U384" i="5"/>
  <c r="V384" i="5"/>
  <c r="W384" i="5"/>
  <c r="X384" i="5"/>
  <c r="Y384" i="5"/>
  <c r="Z384" i="5"/>
  <c r="AA384" i="5"/>
  <c r="AC384" i="5"/>
  <c r="AD384" i="5"/>
  <c r="AE384" i="5"/>
  <c r="AF384" i="5"/>
  <c r="AG384" i="5"/>
  <c r="AH384" i="5"/>
  <c r="AI384" i="5"/>
  <c r="AK384" i="5"/>
  <c r="AL384" i="5"/>
  <c r="AM384" i="5"/>
  <c r="AN384" i="5"/>
  <c r="AO384" i="5"/>
  <c r="AP384" i="5"/>
  <c r="AQ384" i="5"/>
  <c r="M385" i="5"/>
  <c r="N385" i="5"/>
  <c r="O385" i="5"/>
  <c r="P385" i="5"/>
  <c r="Q385" i="5"/>
  <c r="R385" i="5"/>
  <c r="S385" i="5"/>
  <c r="U385" i="5"/>
  <c r="V385" i="5"/>
  <c r="W385" i="5"/>
  <c r="X385" i="5"/>
  <c r="Y385" i="5"/>
  <c r="Z385" i="5"/>
  <c r="AA385" i="5"/>
  <c r="AC385" i="5"/>
  <c r="AD385" i="5"/>
  <c r="AE385" i="5"/>
  <c r="AF385" i="5"/>
  <c r="AG385" i="5"/>
  <c r="AH385" i="5"/>
  <c r="AI385" i="5"/>
  <c r="AK385" i="5"/>
  <c r="AL385" i="5"/>
  <c r="AM385" i="5"/>
  <c r="AN385" i="5"/>
  <c r="AO385" i="5"/>
  <c r="AP385" i="5"/>
  <c r="AQ385" i="5"/>
  <c r="N386" i="5"/>
  <c r="O386" i="5"/>
  <c r="P386" i="5"/>
  <c r="Q386" i="5"/>
  <c r="R386" i="5"/>
  <c r="S386" i="5"/>
  <c r="T386" i="5"/>
  <c r="V386" i="5"/>
  <c r="W386" i="5"/>
  <c r="X386" i="5"/>
  <c r="Y386" i="5"/>
  <c r="Z386" i="5"/>
  <c r="AA386" i="5"/>
  <c r="AB386" i="5"/>
  <c r="AD386" i="5"/>
  <c r="AE386" i="5"/>
  <c r="AF386" i="5"/>
  <c r="AG386" i="5"/>
  <c r="AH386" i="5"/>
  <c r="AI386" i="5"/>
  <c r="AJ386" i="5"/>
  <c r="AL386" i="5"/>
  <c r="AM386" i="5"/>
  <c r="AN386" i="5"/>
  <c r="AO386" i="5"/>
  <c r="AP386" i="5"/>
  <c r="AQ386" i="5"/>
  <c r="M387" i="5"/>
  <c r="N387" i="5"/>
  <c r="O387" i="5"/>
  <c r="P387" i="5"/>
  <c r="Q387" i="5"/>
  <c r="R387" i="5"/>
  <c r="S387" i="5"/>
  <c r="T387" i="5"/>
  <c r="U387" i="5"/>
  <c r="V387" i="5"/>
  <c r="W387" i="5"/>
  <c r="X387" i="5"/>
  <c r="Y387" i="5"/>
  <c r="Z387" i="5"/>
  <c r="AA387" i="5"/>
  <c r="AB387" i="5"/>
  <c r="AC387" i="5"/>
  <c r="AD387" i="5"/>
  <c r="AE387" i="5"/>
  <c r="AF387" i="5"/>
  <c r="AG387" i="5"/>
  <c r="AH387" i="5"/>
  <c r="AI387" i="5"/>
  <c r="AJ387" i="5"/>
  <c r="AK387" i="5"/>
  <c r="AL387" i="5"/>
  <c r="AM387" i="5"/>
  <c r="AN387" i="5"/>
  <c r="AO387" i="5"/>
  <c r="AP387" i="5"/>
  <c r="AQ387" i="5"/>
  <c r="N388" i="5"/>
  <c r="O388" i="5"/>
  <c r="P388" i="5"/>
  <c r="Q388" i="5"/>
  <c r="R388" i="5"/>
  <c r="S388" i="5"/>
  <c r="T388" i="5"/>
  <c r="V388" i="5"/>
  <c r="W388" i="5"/>
  <c r="X388" i="5"/>
  <c r="Y388" i="5"/>
  <c r="Z388" i="5"/>
  <c r="AA388" i="5"/>
  <c r="AB388" i="5"/>
  <c r="AD388" i="5"/>
  <c r="AE388" i="5"/>
  <c r="AF388" i="5"/>
  <c r="AG388" i="5"/>
  <c r="AH388" i="5"/>
  <c r="AI388" i="5"/>
  <c r="AJ388" i="5"/>
  <c r="AL388" i="5"/>
  <c r="AM388" i="5"/>
  <c r="AN388" i="5"/>
  <c r="AO388" i="5"/>
  <c r="AP388" i="5"/>
  <c r="AQ388" i="5"/>
  <c r="M389" i="5"/>
  <c r="O389" i="5"/>
  <c r="P389" i="5"/>
  <c r="Q389" i="5"/>
  <c r="R389" i="5"/>
  <c r="S389" i="5"/>
  <c r="T389" i="5"/>
  <c r="U389" i="5"/>
  <c r="W389" i="5"/>
  <c r="X389" i="5"/>
  <c r="Y389" i="5"/>
  <c r="Z389" i="5"/>
  <c r="AA389" i="5"/>
  <c r="AB389" i="5"/>
  <c r="AC389" i="5"/>
  <c r="AE389" i="5"/>
  <c r="AF389" i="5"/>
  <c r="AG389" i="5"/>
  <c r="AH389" i="5"/>
  <c r="AI389" i="5"/>
  <c r="AJ389" i="5"/>
  <c r="AK389" i="5"/>
  <c r="AM389" i="5"/>
  <c r="AN389" i="5"/>
  <c r="AO389" i="5"/>
  <c r="AP389" i="5"/>
  <c r="AQ389" i="5"/>
  <c r="M390" i="5"/>
  <c r="O390" i="5"/>
  <c r="P390" i="5"/>
  <c r="Q390" i="5"/>
  <c r="R390" i="5"/>
  <c r="S390" i="5"/>
  <c r="T390" i="5"/>
  <c r="U390" i="5"/>
  <c r="W390" i="5"/>
  <c r="X390" i="5"/>
  <c r="Y390" i="5"/>
  <c r="Z390" i="5"/>
  <c r="AA390" i="5"/>
  <c r="AB390" i="5"/>
  <c r="AC390" i="5"/>
  <c r="AE390" i="5"/>
  <c r="AF390" i="5"/>
  <c r="AG390" i="5"/>
  <c r="AH390" i="5"/>
  <c r="AI390" i="5"/>
  <c r="AJ390" i="5"/>
  <c r="AK390" i="5"/>
  <c r="AM390" i="5"/>
  <c r="AN390" i="5"/>
  <c r="AO390" i="5"/>
  <c r="AP390" i="5"/>
  <c r="AQ390" i="5"/>
  <c r="M391" i="5"/>
  <c r="O391" i="5"/>
  <c r="P391" i="5"/>
  <c r="Q391" i="5"/>
  <c r="R391" i="5"/>
  <c r="S391" i="5"/>
  <c r="T391" i="5"/>
  <c r="U391" i="5"/>
  <c r="W391" i="5"/>
  <c r="X391" i="5"/>
  <c r="Y391" i="5"/>
  <c r="Z391" i="5"/>
  <c r="AA391" i="5"/>
  <c r="AB391" i="5"/>
  <c r="AC391" i="5"/>
  <c r="AE391" i="5"/>
  <c r="AF391" i="5"/>
  <c r="AG391" i="5"/>
  <c r="AH391" i="5"/>
  <c r="AI391" i="5"/>
  <c r="AJ391" i="5"/>
  <c r="AK391" i="5"/>
  <c r="AM391" i="5"/>
  <c r="AN391" i="5"/>
  <c r="AO391" i="5"/>
  <c r="AP391" i="5"/>
  <c r="AQ391" i="5"/>
  <c r="B2" i="2"/>
  <c r="AO191" i="5" l="1"/>
  <c r="AE189" i="5"/>
  <c r="AH157" i="5"/>
  <c r="O189" i="5"/>
  <c r="AD188" i="5"/>
  <c r="N188" i="5"/>
  <c r="AC187" i="5"/>
  <c r="AC155" i="5" s="1"/>
  <c r="M187" i="5"/>
  <c r="M155" i="5" s="1"/>
  <c r="AH156" i="5"/>
  <c r="AI349" i="5"/>
  <c r="AI352" i="5" s="1"/>
  <c r="AM154" i="5"/>
  <c r="W154" i="5"/>
  <c r="AN190" i="5"/>
  <c r="AJ153" i="5"/>
  <c r="Z192" i="5"/>
  <c r="Z160" i="5" s="1"/>
  <c r="AL188" i="5"/>
  <c r="AL156" i="5" s="1"/>
  <c r="V188" i="5"/>
  <c r="AK187" i="5"/>
  <c r="U187" i="5"/>
  <c r="AA372" i="5"/>
  <c r="AA77" i="5"/>
  <c r="AA368" i="5"/>
  <c r="AA369" i="5"/>
  <c r="AA371" i="5"/>
  <c r="AA373" i="5"/>
  <c r="AA370" i="5"/>
  <c r="AO75" i="5"/>
  <c r="AO354" i="5"/>
  <c r="AO358" i="5"/>
  <c r="AO357" i="5"/>
  <c r="AO355" i="5"/>
  <c r="AO359" i="5"/>
  <c r="AO356" i="5"/>
  <c r="AG355" i="5"/>
  <c r="AG359" i="5"/>
  <c r="AG356" i="5"/>
  <c r="AG357" i="5"/>
  <c r="AG354" i="5"/>
  <c r="AG358" i="5"/>
  <c r="Y75" i="5"/>
  <c r="Y356" i="5"/>
  <c r="Y357" i="5"/>
  <c r="Y354" i="5"/>
  <c r="Y358" i="5"/>
  <c r="Y355" i="5"/>
  <c r="Y359" i="5"/>
  <c r="AL389" i="5"/>
  <c r="AD389" i="5"/>
  <c r="V389" i="5"/>
  <c r="N389" i="5"/>
  <c r="AK388" i="5"/>
  <c r="AC388" i="5"/>
  <c r="U388" i="5"/>
  <c r="M388" i="5"/>
  <c r="AA365" i="5"/>
  <c r="AA363" i="5"/>
  <c r="AA348" i="5" s="1"/>
  <c r="AA351" i="5" s="1"/>
  <c r="AA361" i="5"/>
  <c r="P59" i="5"/>
  <c r="N54" i="5"/>
  <c r="AL390" i="5"/>
  <c r="AD390" i="5"/>
  <c r="V390" i="5"/>
  <c r="N390" i="5"/>
  <c r="AP348" i="5"/>
  <c r="AP351" i="5" s="1"/>
  <c r="AP311" i="5" s="1"/>
  <c r="AP69" i="5"/>
  <c r="AL391" i="5"/>
  <c r="AD391" i="5"/>
  <c r="V391" i="5"/>
  <c r="N391" i="5"/>
  <c r="AQ380" i="5"/>
  <c r="AI380" i="5"/>
  <c r="AA380" i="5"/>
  <c r="S380" i="5"/>
  <c r="AA61" i="5"/>
  <c r="P60" i="5"/>
  <c r="V54" i="5"/>
  <c r="AQ381" i="5"/>
  <c r="AI381" i="5"/>
  <c r="AA381" i="5"/>
  <c r="S381" i="5"/>
  <c r="AA59" i="5"/>
  <c r="AA54" i="5"/>
  <c r="AA53" i="5"/>
  <c r="AJ383" i="5"/>
  <c r="AB383" i="5"/>
  <c r="T383" i="5"/>
  <c r="AA366" i="5"/>
  <c r="AA364" i="5"/>
  <c r="AA362" i="5"/>
  <c r="AD54" i="5"/>
  <c r="AJ384" i="5"/>
  <c r="AB384" i="5"/>
  <c r="T384" i="5"/>
  <c r="AI70" i="5"/>
  <c r="AJ66" i="5"/>
  <c r="AB66" i="5"/>
  <c r="AB69" i="5" s="1"/>
  <c r="T66" i="5"/>
  <c r="T69" i="5" s="1"/>
  <c r="AA60" i="5"/>
  <c r="P61" i="5"/>
  <c r="AG75" i="5"/>
  <c r="AC386" i="5"/>
  <c r="U386" i="5"/>
  <c r="M386" i="5"/>
  <c r="AJ385" i="5"/>
  <c r="AB385" i="5"/>
  <c r="AQ66" i="5"/>
  <c r="AI66" i="5"/>
  <c r="AA66" i="5"/>
  <c r="AA72" i="5" s="1"/>
  <c r="S66" i="5"/>
  <c r="P53" i="5"/>
  <c r="AL54" i="5"/>
  <c r="AG73" i="5"/>
  <c r="AG70" i="5"/>
  <c r="AE67" i="5"/>
  <c r="AD52" i="5"/>
  <c r="AD66" i="5"/>
  <c r="AQ349" i="5"/>
  <c r="AQ352" i="5" s="1"/>
  <c r="AQ312" i="5" s="1"/>
  <c r="Q358" i="5"/>
  <c r="AP314" i="5"/>
  <c r="AF54" i="5"/>
  <c r="AF68" i="5"/>
  <c r="O53" i="5"/>
  <c r="O67" i="5"/>
  <c r="AK54" i="5"/>
  <c r="AK53" i="5"/>
  <c r="AK61" i="5"/>
  <c r="X54" i="5"/>
  <c r="X68" i="5"/>
  <c r="AL52" i="5"/>
  <c r="AL66" i="5"/>
  <c r="AB348" i="5"/>
  <c r="AB351" i="5" s="1"/>
  <c r="Q75" i="5"/>
  <c r="Q355" i="5"/>
  <c r="Q354" i="5"/>
  <c r="Q359" i="5"/>
  <c r="Q357" i="5"/>
  <c r="AM53" i="5"/>
  <c r="AM67" i="5"/>
  <c r="V52" i="5"/>
  <c r="V66" i="5"/>
  <c r="AN54" i="5"/>
  <c r="AN68" i="5"/>
  <c r="W67" i="5"/>
  <c r="N52" i="5"/>
  <c r="N66" i="5"/>
  <c r="P54" i="5"/>
  <c r="P68" i="5"/>
  <c r="S312" i="5"/>
  <c r="S315" i="5"/>
  <c r="S321" i="5"/>
  <c r="S318" i="5"/>
  <c r="AE158" i="5"/>
  <c r="AE193" i="5"/>
  <c r="P156" i="5"/>
  <c r="P191" i="5"/>
  <c r="O155" i="5"/>
  <c r="O190" i="5"/>
  <c r="AD157" i="5"/>
  <c r="AD192" i="5"/>
  <c r="O157" i="5"/>
  <c r="O192" i="5"/>
  <c r="AD156" i="5"/>
  <c r="AD191" i="5"/>
  <c r="AF158" i="5"/>
  <c r="AF193" i="5"/>
  <c r="W155" i="5"/>
  <c r="W190" i="5"/>
  <c r="S157" i="5"/>
  <c r="S192" i="5"/>
  <c r="AH194" i="5"/>
  <c r="AH159" i="5"/>
  <c r="AK155" i="5"/>
  <c r="AK190" i="5"/>
  <c r="Q155" i="5"/>
  <c r="Q190" i="5"/>
  <c r="AO159" i="5"/>
  <c r="AO194" i="5"/>
  <c r="P158" i="5"/>
  <c r="P193" i="5"/>
  <c r="AE157" i="5"/>
  <c r="AE192" i="5"/>
  <c r="Q157" i="5"/>
  <c r="Q192" i="5"/>
  <c r="Q156" i="5"/>
  <c r="Q191" i="5"/>
  <c r="AL154" i="5"/>
  <c r="AL189" i="5"/>
  <c r="V154" i="5"/>
  <c r="V189" i="5"/>
  <c r="N154" i="5"/>
  <c r="N189" i="5"/>
  <c r="AK153" i="5"/>
  <c r="AK188" i="5"/>
  <c r="U153" i="5"/>
  <c r="U188" i="5"/>
  <c r="M153" i="5"/>
  <c r="M188" i="5"/>
  <c r="AJ152" i="5"/>
  <c r="AJ187" i="5"/>
  <c r="AB152" i="5"/>
  <c r="AB187" i="5"/>
  <c r="T152" i="5"/>
  <c r="T187" i="5"/>
  <c r="AG160" i="5"/>
  <c r="AG195" i="5"/>
  <c r="AN158" i="5"/>
  <c r="AN193" i="5"/>
  <c r="AO157" i="5"/>
  <c r="AO192" i="5"/>
  <c r="AA157" i="5"/>
  <c r="AA192" i="5"/>
  <c r="AC188" i="5"/>
  <c r="N156" i="5"/>
  <c r="N191" i="5"/>
  <c r="AP160" i="5"/>
  <c r="AP195" i="5"/>
  <c r="AG159" i="5"/>
  <c r="AG194" i="5"/>
  <c r="AN157" i="5"/>
  <c r="AN192" i="5"/>
  <c r="AN156" i="5"/>
  <c r="AN191" i="5"/>
  <c r="Z156" i="5"/>
  <c r="Z191" i="5"/>
  <c r="M190" i="5"/>
  <c r="AJ154" i="5"/>
  <c r="AJ189" i="5"/>
  <c r="AB154" i="5"/>
  <c r="AB189" i="5"/>
  <c r="T154" i="5"/>
  <c r="T189" i="5"/>
  <c r="AQ153" i="5"/>
  <c r="AQ188" i="5"/>
  <c r="AI153" i="5"/>
  <c r="AI188" i="5"/>
  <c r="AA153" i="5"/>
  <c r="AA188" i="5"/>
  <c r="S153" i="5"/>
  <c r="S188" i="5"/>
  <c r="AP152" i="5"/>
  <c r="AP187" i="5"/>
  <c r="AH152" i="5"/>
  <c r="AH187" i="5"/>
  <c r="Z152" i="5"/>
  <c r="Z187" i="5"/>
  <c r="R152" i="5"/>
  <c r="R187" i="5"/>
  <c r="AM157" i="5"/>
  <c r="AM192" i="5"/>
  <c r="Y157" i="5"/>
  <c r="Y192" i="5"/>
  <c r="AM156" i="5"/>
  <c r="AM191" i="5"/>
  <c r="AM155" i="5"/>
  <c r="AM190" i="5"/>
  <c r="Y155" i="5"/>
  <c r="Y190" i="5"/>
  <c r="AJ162" i="5"/>
  <c r="AJ197" i="5"/>
  <c r="AH160" i="5"/>
  <c r="AH195" i="5"/>
  <c r="R160" i="5"/>
  <c r="R195" i="5"/>
  <c r="AI157" i="5"/>
  <c r="AI192" i="5"/>
  <c r="X156" i="5"/>
  <c r="X191" i="5"/>
  <c r="AL155" i="5"/>
  <c r="AL190" i="5"/>
  <c r="AF194" i="5"/>
  <c r="R156" i="5"/>
  <c r="R191" i="5"/>
  <c r="AG190" i="5"/>
  <c r="AG155" i="5"/>
  <c r="AF154" i="5"/>
  <c r="AF189" i="5"/>
  <c r="X154" i="5"/>
  <c r="X189" i="5"/>
  <c r="P154" i="5"/>
  <c r="P189" i="5"/>
  <c r="AE153" i="5"/>
  <c r="AE188" i="5"/>
  <c r="W153" i="5"/>
  <c r="W188" i="5"/>
  <c r="O153" i="5"/>
  <c r="O188" i="5"/>
  <c r="AD152" i="5"/>
  <c r="AD187" i="5"/>
  <c r="V152" i="5"/>
  <c r="V187" i="5"/>
  <c r="N152" i="5"/>
  <c r="N187" i="5"/>
  <c r="AK154" i="5"/>
  <c r="AK189" i="5"/>
  <c r="AC154" i="5"/>
  <c r="AC189" i="5"/>
  <c r="U154" i="5"/>
  <c r="U189" i="5"/>
  <c r="M154" i="5"/>
  <c r="M189" i="5"/>
  <c r="AB153" i="5"/>
  <c r="AB188" i="5"/>
  <c r="T153" i="5"/>
  <c r="T188" i="5"/>
  <c r="AQ152" i="5"/>
  <c r="AQ187" i="5"/>
  <c r="AI152" i="5"/>
  <c r="AI187" i="5"/>
  <c r="AA152" i="5"/>
  <c r="AA187" i="5"/>
  <c r="S152" i="5"/>
  <c r="S187" i="5"/>
  <c r="Y159" i="5"/>
  <c r="Y194" i="5"/>
  <c r="X158" i="5"/>
  <c r="X193" i="5"/>
  <c r="AQ189" i="5"/>
  <c r="W157" i="5"/>
  <c r="W192" i="5"/>
  <c r="AP188" i="5"/>
  <c r="V156" i="5"/>
  <c r="V191" i="5"/>
  <c r="AO187" i="5"/>
  <c r="U155" i="5"/>
  <c r="U190" i="5"/>
  <c r="AE72" i="5"/>
  <c r="P73" i="5"/>
  <c r="P70" i="5"/>
  <c r="T71" i="5"/>
  <c r="Q73" i="5"/>
  <c r="Q70" i="5"/>
  <c r="R74" i="5"/>
  <c r="AF73" i="5"/>
  <c r="AF70" i="5"/>
  <c r="AH74" i="5"/>
  <c r="Q74" i="5"/>
  <c r="Q71" i="5"/>
  <c r="AM72" i="5"/>
  <c r="AM69" i="5"/>
  <c r="W72" i="5"/>
  <c r="AL68" i="5"/>
  <c r="AD68" i="5"/>
  <c r="V68" i="5"/>
  <c r="N68" i="5"/>
  <c r="AK67" i="5"/>
  <c r="AC67" i="5"/>
  <c r="U67" i="5"/>
  <c r="M67" i="5"/>
  <c r="AG74" i="5"/>
  <c r="AG71" i="5"/>
  <c r="P72" i="5"/>
  <c r="P69" i="5"/>
  <c r="AK68" i="5"/>
  <c r="AC68" i="5"/>
  <c r="U68" i="5"/>
  <c r="M68" i="5"/>
  <c r="AJ73" i="5"/>
  <c r="AJ70" i="5"/>
  <c r="T73" i="5"/>
  <c r="T70" i="5"/>
  <c r="O72" i="5"/>
  <c r="O69" i="5"/>
  <c r="AJ74" i="5"/>
  <c r="AJ71" i="5"/>
  <c r="AB74" i="5"/>
  <c r="AB71" i="5"/>
  <c r="AF72" i="5"/>
  <c r="AF69" i="5"/>
  <c r="AB72" i="5"/>
  <c r="AM54" i="5"/>
  <c r="AM68" i="5"/>
  <c r="AE68" i="5"/>
  <c r="W68" i="5"/>
  <c r="O54" i="5"/>
  <c r="O68" i="5"/>
  <c r="AL53" i="5"/>
  <c r="AL67" i="5"/>
  <c r="AD53" i="5"/>
  <c r="AD67" i="5"/>
  <c r="V53" i="5"/>
  <c r="V67" i="5"/>
  <c r="N53" i="5"/>
  <c r="N67" i="5"/>
  <c r="AK52" i="5"/>
  <c r="AK66" i="5"/>
  <c r="AC52" i="5"/>
  <c r="AC66" i="5"/>
  <c r="U52" i="5"/>
  <c r="U66" i="5"/>
  <c r="M52" i="5"/>
  <c r="M66" i="5"/>
  <c r="AJ53" i="5"/>
  <c r="AJ61" i="5"/>
  <c r="AJ52" i="5"/>
  <c r="AJ60" i="5"/>
  <c r="AQ70" i="5"/>
  <c r="AP74" i="5"/>
  <c r="AP71" i="5"/>
  <c r="Z74" i="5"/>
  <c r="AO73" i="5"/>
  <c r="AO70" i="5"/>
  <c r="Y73" i="5"/>
  <c r="Y70" i="5"/>
  <c r="AN72" i="5"/>
  <c r="AN69" i="5"/>
  <c r="X72" i="5"/>
  <c r="X69" i="5"/>
  <c r="M54" i="5"/>
  <c r="M53" i="5"/>
  <c r="M61" i="5"/>
  <c r="AI77" i="5"/>
  <c r="S70" i="5"/>
  <c r="AA69" i="5"/>
  <c r="AO68" i="5"/>
  <c r="Y74" i="5"/>
  <c r="Y71" i="5"/>
  <c r="AN73" i="5"/>
  <c r="AN70" i="5"/>
  <c r="X73" i="5"/>
  <c r="X70" i="5"/>
  <c r="U54" i="5"/>
  <c r="U53" i="5"/>
  <c r="U61" i="5"/>
  <c r="T53" i="5"/>
  <c r="T61" i="5"/>
  <c r="T52" i="5"/>
  <c r="T60" i="5"/>
  <c r="AK59" i="5"/>
  <c r="AC54" i="5"/>
  <c r="AC53" i="5"/>
  <c r="AC61" i="5"/>
  <c r="Q72" i="5"/>
  <c r="Y72" i="5"/>
  <c r="AG72" i="5"/>
  <c r="AO72" i="5"/>
  <c r="R73" i="5"/>
  <c r="Z73" i="5"/>
  <c r="AH73" i="5"/>
  <c r="AP73" i="5"/>
  <c r="S74" i="5"/>
  <c r="AA74" i="5"/>
  <c r="AI74" i="5"/>
  <c r="AQ74" i="5"/>
  <c r="AK60" i="5"/>
  <c r="T59" i="5"/>
  <c r="AB53" i="5"/>
  <c r="AB61" i="5"/>
  <c r="AB52" i="5"/>
  <c r="AB60" i="5"/>
  <c r="AH48" i="5"/>
  <c r="Z48" i="5"/>
  <c r="R48" i="5"/>
  <c r="AE48" i="5"/>
  <c r="AE59" i="5" s="1"/>
  <c r="W48" i="5"/>
  <c r="W59" i="5" s="1"/>
  <c r="AC190" i="5" l="1"/>
  <c r="Z195" i="5"/>
  <c r="AQ315" i="5"/>
  <c r="Y347" i="5"/>
  <c r="Y350" i="5" s="1"/>
  <c r="Y313" i="5" s="1"/>
  <c r="AL191" i="5"/>
  <c r="AA349" i="5"/>
  <c r="AA352" i="5" s="1"/>
  <c r="AB75" i="5"/>
  <c r="AB356" i="5"/>
  <c r="AB355" i="5"/>
  <c r="AB359" i="5"/>
  <c r="AB357" i="5"/>
  <c r="AB354" i="5"/>
  <c r="AB358" i="5"/>
  <c r="T72" i="5"/>
  <c r="AJ69" i="5"/>
  <c r="AJ72" i="5"/>
  <c r="W60" i="5"/>
  <c r="AI72" i="5"/>
  <c r="AI69" i="5"/>
  <c r="W52" i="5"/>
  <c r="W54" i="5"/>
  <c r="AI76" i="5"/>
  <c r="AI361" i="5"/>
  <c r="AI363" i="5"/>
  <c r="AI365" i="5"/>
  <c r="AI362" i="5"/>
  <c r="AI364" i="5"/>
  <c r="AI366" i="5"/>
  <c r="AG347" i="5"/>
  <c r="AG350" i="5" s="1"/>
  <c r="S72" i="5"/>
  <c r="S69" i="5"/>
  <c r="AQ72" i="5"/>
  <c r="AQ69" i="5"/>
  <c r="T75" i="5"/>
  <c r="T356" i="5"/>
  <c r="T357" i="5"/>
  <c r="T354" i="5"/>
  <c r="T358" i="5"/>
  <c r="T355" i="5"/>
  <c r="T359" i="5"/>
  <c r="AP75" i="5"/>
  <c r="AP357" i="5"/>
  <c r="AP354" i="5"/>
  <c r="AP358" i="5"/>
  <c r="AP355" i="5"/>
  <c r="AP359" i="5"/>
  <c r="AP356" i="5"/>
  <c r="AO347" i="5"/>
  <c r="AO350" i="5" s="1"/>
  <c r="AO313" i="5" s="1"/>
  <c r="R59" i="5"/>
  <c r="R61" i="5"/>
  <c r="R60" i="5"/>
  <c r="R70" i="5"/>
  <c r="R53" i="5"/>
  <c r="R52" i="5"/>
  <c r="R69" i="5"/>
  <c r="R54" i="5"/>
  <c r="AE52" i="5"/>
  <c r="X76" i="5"/>
  <c r="X363" i="5"/>
  <c r="X361" i="5"/>
  <c r="X365" i="5"/>
  <c r="X366" i="5"/>
  <c r="X362" i="5"/>
  <c r="X364" i="5"/>
  <c r="S76" i="5"/>
  <c r="S364" i="5"/>
  <c r="S363" i="5"/>
  <c r="S362" i="5"/>
  <c r="S365" i="5"/>
  <c r="S366" i="5"/>
  <c r="S361" i="5"/>
  <c r="U69" i="5"/>
  <c r="U72" i="5"/>
  <c r="V70" i="5"/>
  <c r="V73" i="5"/>
  <c r="W71" i="5"/>
  <c r="W74" i="5"/>
  <c r="AF75" i="5"/>
  <c r="AF354" i="5"/>
  <c r="AF359" i="5"/>
  <c r="AF358" i="5"/>
  <c r="AF356" i="5"/>
  <c r="AF355" i="5"/>
  <c r="AF357" i="5"/>
  <c r="T76" i="5"/>
  <c r="T365" i="5"/>
  <c r="T364" i="5"/>
  <c r="T363" i="5"/>
  <c r="T361" i="5"/>
  <c r="T366" i="5"/>
  <c r="T362" i="5"/>
  <c r="P75" i="5"/>
  <c r="P354" i="5"/>
  <c r="P359" i="5"/>
  <c r="P358" i="5"/>
  <c r="P356" i="5"/>
  <c r="P355" i="5"/>
  <c r="P357" i="5"/>
  <c r="N71" i="5"/>
  <c r="N74" i="5"/>
  <c r="Q77" i="5"/>
  <c r="Q371" i="5"/>
  <c r="Q370" i="5"/>
  <c r="Q369" i="5"/>
  <c r="Q368" i="5"/>
  <c r="Q373" i="5"/>
  <c r="Q372" i="5"/>
  <c r="Q76" i="5"/>
  <c r="Q364" i="5"/>
  <c r="Q362" i="5"/>
  <c r="Q361" i="5"/>
  <c r="Q366" i="5"/>
  <c r="Q365" i="5"/>
  <c r="Q363" i="5"/>
  <c r="X196" i="5"/>
  <c r="X161" i="5"/>
  <c r="AA155" i="5"/>
  <c r="AA190" i="5"/>
  <c r="AB156" i="5"/>
  <c r="AB191" i="5"/>
  <c r="AK157" i="5"/>
  <c r="AK192" i="5"/>
  <c r="O156" i="5"/>
  <c r="O191" i="5"/>
  <c r="X157" i="5"/>
  <c r="X192" i="5"/>
  <c r="AF162" i="5"/>
  <c r="AF197" i="5"/>
  <c r="AA195" i="5"/>
  <c r="AA160" i="5"/>
  <c r="T155" i="5"/>
  <c r="T190" i="5"/>
  <c r="U156" i="5"/>
  <c r="U191" i="5"/>
  <c r="AL157" i="5"/>
  <c r="AL192" i="5"/>
  <c r="P161" i="5"/>
  <c r="P196" i="5"/>
  <c r="AD159" i="5"/>
  <c r="AD194" i="5"/>
  <c r="P159" i="5"/>
  <c r="P194" i="5"/>
  <c r="AM70" i="5"/>
  <c r="AM73" i="5"/>
  <c r="AL69" i="5"/>
  <c r="AL72" i="5"/>
  <c r="AQ318" i="5"/>
  <c r="AA312" i="5"/>
  <c r="AA324" i="5"/>
  <c r="AA315" i="5"/>
  <c r="AA321" i="5"/>
  <c r="AA318" i="5"/>
  <c r="Z59" i="5"/>
  <c r="Z52" i="5"/>
  <c r="Z54" i="5"/>
  <c r="Z61" i="5"/>
  <c r="Z60" i="5"/>
  <c r="Z70" i="5"/>
  <c r="Z53" i="5"/>
  <c r="AI312" i="5"/>
  <c r="AI315" i="5"/>
  <c r="AI321" i="5"/>
  <c r="AI318" i="5"/>
  <c r="Y76" i="5"/>
  <c r="Y364" i="5"/>
  <c r="Y362" i="5"/>
  <c r="Y361" i="5"/>
  <c r="Y366" i="5"/>
  <c r="Y363" i="5"/>
  <c r="Y365" i="5"/>
  <c r="AQ76" i="5"/>
  <c r="AQ364" i="5"/>
  <c r="AQ363" i="5"/>
  <c r="AQ362" i="5"/>
  <c r="AQ361" i="5"/>
  <c r="AQ366" i="5"/>
  <c r="AQ365" i="5"/>
  <c r="V71" i="5"/>
  <c r="V74" i="5"/>
  <c r="AO155" i="5"/>
  <c r="AO190" i="5"/>
  <c r="AL193" i="5"/>
  <c r="AL158" i="5"/>
  <c r="R198" i="5"/>
  <c r="R163" i="5"/>
  <c r="AM158" i="5"/>
  <c r="AM193" i="5"/>
  <c r="R155" i="5"/>
  <c r="R190" i="5"/>
  <c r="S156" i="5"/>
  <c r="S191" i="5"/>
  <c r="T157" i="5"/>
  <c r="T192" i="5"/>
  <c r="Z159" i="5"/>
  <c r="Z194" i="5"/>
  <c r="AP163" i="5"/>
  <c r="AP198" i="5"/>
  <c r="AH162" i="5"/>
  <c r="AH197" i="5"/>
  <c r="P71" i="5"/>
  <c r="P74" i="5"/>
  <c r="W70" i="5"/>
  <c r="W73" i="5"/>
  <c r="AP77" i="5"/>
  <c r="AP372" i="5"/>
  <c r="AP371" i="5"/>
  <c r="AP370" i="5"/>
  <c r="AP368" i="5"/>
  <c r="AP373" i="5"/>
  <c r="AP369" i="5"/>
  <c r="AI195" i="5"/>
  <c r="AI160" i="5"/>
  <c r="AB311" i="5"/>
  <c r="AB317" i="5"/>
  <c r="AB314" i="5"/>
  <c r="AH59" i="5"/>
  <c r="AH60" i="5"/>
  <c r="AH53" i="5"/>
  <c r="AH52" i="5"/>
  <c r="AH54" i="5"/>
  <c r="AH61" i="5"/>
  <c r="AH70" i="5"/>
  <c r="AE60" i="5"/>
  <c r="AN76" i="5"/>
  <c r="AN363" i="5"/>
  <c r="AN361" i="5"/>
  <c r="AN365" i="5"/>
  <c r="AN362" i="5"/>
  <c r="AN364" i="5"/>
  <c r="AN366" i="5"/>
  <c r="AC69" i="5"/>
  <c r="AC72" i="5"/>
  <c r="AD70" i="5"/>
  <c r="AD73" i="5"/>
  <c r="AE71" i="5"/>
  <c r="AE74" i="5"/>
  <c r="AB77" i="5"/>
  <c r="AB373" i="5"/>
  <c r="AB372" i="5"/>
  <c r="AB370" i="5"/>
  <c r="AB371" i="5"/>
  <c r="AB369" i="5"/>
  <c r="AB368" i="5"/>
  <c r="AJ76" i="5"/>
  <c r="AJ365" i="5"/>
  <c r="AJ364" i="5"/>
  <c r="AJ363" i="5"/>
  <c r="AJ361" i="5"/>
  <c r="AJ366" i="5"/>
  <c r="AJ362" i="5"/>
  <c r="AG77" i="5"/>
  <c r="AG371" i="5"/>
  <c r="AG370" i="5"/>
  <c r="AG369" i="5"/>
  <c r="AG368" i="5"/>
  <c r="AG372" i="5"/>
  <c r="AG373" i="5"/>
  <c r="AD71" i="5"/>
  <c r="AD74" i="5"/>
  <c r="AH71" i="5"/>
  <c r="T77" i="5"/>
  <c r="T373" i="5"/>
  <c r="T372" i="5"/>
  <c r="T370" i="5"/>
  <c r="T368" i="5"/>
  <c r="T369" i="5"/>
  <c r="T371" i="5"/>
  <c r="V159" i="5"/>
  <c r="V194" i="5"/>
  <c r="Y197" i="5"/>
  <c r="Y162" i="5"/>
  <c r="AI155" i="5"/>
  <c r="AI190" i="5"/>
  <c r="M192" i="5"/>
  <c r="M157" i="5"/>
  <c r="N155" i="5"/>
  <c r="N190" i="5"/>
  <c r="W156" i="5"/>
  <c r="W191" i="5"/>
  <c r="AF192" i="5"/>
  <c r="AF157" i="5"/>
  <c r="AO160" i="5"/>
  <c r="AO195" i="5"/>
  <c r="AB155" i="5"/>
  <c r="AB190" i="5"/>
  <c r="AK156" i="5"/>
  <c r="AK191" i="5"/>
  <c r="Q159" i="5"/>
  <c r="Q194" i="5"/>
  <c r="AO162" i="5"/>
  <c r="AO197" i="5"/>
  <c r="S160" i="5"/>
  <c r="S195" i="5"/>
  <c r="O160" i="5"/>
  <c r="O195" i="5"/>
  <c r="AE196" i="5"/>
  <c r="AE161" i="5"/>
  <c r="W53" i="5"/>
  <c r="X71" i="5"/>
  <c r="X74" i="5"/>
  <c r="O70" i="5"/>
  <c r="O73" i="5"/>
  <c r="AD69" i="5"/>
  <c r="AD72" i="5"/>
  <c r="AN75" i="5"/>
  <c r="AN354" i="5"/>
  <c r="AN359" i="5"/>
  <c r="AN358" i="5"/>
  <c r="AN356" i="5"/>
  <c r="AN355" i="5"/>
  <c r="AN357" i="5"/>
  <c r="AK74" i="5"/>
  <c r="AK71" i="5"/>
  <c r="Y158" i="5"/>
  <c r="Y193" i="5"/>
  <c r="W61" i="5"/>
  <c r="AO76" i="5"/>
  <c r="AO364" i="5"/>
  <c r="AO362" i="5"/>
  <c r="AO361" i="5"/>
  <c r="AO366" i="5"/>
  <c r="AO363" i="5"/>
  <c r="AO365" i="5"/>
  <c r="AE54" i="5"/>
  <c r="AL71" i="5"/>
  <c r="AL74" i="5"/>
  <c r="P76" i="5"/>
  <c r="P363" i="5"/>
  <c r="P361" i="5"/>
  <c r="P365" i="5"/>
  <c r="P366" i="5"/>
  <c r="P364" i="5"/>
  <c r="P362" i="5"/>
  <c r="X159" i="5"/>
  <c r="X194" i="5"/>
  <c r="AH163" i="5"/>
  <c r="AH198" i="5"/>
  <c r="AM159" i="5"/>
  <c r="AM194" i="5"/>
  <c r="Z155" i="5"/>
  <c r="Z190" i="5"/>
  <c r="AA156" i="5"/>
  <c r="AA191" i="5"/>
  <c r="AB157" i="5"/>
  <c r="AB192" i="5"/>
  <c r="AN159" i="5"/>
  <c r="AN194" i="5"/>
  <c r="AC158" i="5"/>
  <c r="AC193" i="5"/>
  <c r="AN71" i="5"/>
  <c r="AN74" i="5"/>
  <c r="AE61" i="5"/>
  <c r="Y77" i="5"/>
  <c r="Y371" i="5"/>
  <c r="Y370" i="5"/>
  <c r="Y369" i="5"/>
  <c r="Y368" i="5"/>
  <c r="Y372" i="5"/>
  <c r="Y373" i="5"/>
  <c r="AK69" i="5"/>
  <c r="AK72" i="5"/>
  <c r="AL70" i="5"/>
  <c r="AL73" i="5"/>
  <c r="AM71" i="5"/>
  <c r="AM74" i="5"/>
  <c r="AJ77" i="5"/>
  <c r="AJ373" i="5"/>
  <c r="AJ372" i="5"/>
  <c r="AJ370" i="5"/>
  <c r="AJ368" i="5"/>
  <c r="AJ371" i="5"/>
  <c r="AJ369" i="5"/>
  <c r="M74" i="5"/>
  <c r="M71" i="5"/>
  <c r="M70" i="5"/>
  <c r="M73" i="5"/>
  <c r="W69" i="5"/>
  <c r="AF76" i="5"/>
  <c r="AF363" i="5"/>
  <c r="AF361" i="5"/>
  <c r="AF365" i="5"/>
  <c r="AF366" i="5"/>
  <c r="AF364" i="5"/>
  <c r="AF362" i="5"/>
  <c r="AP156" i="5"/>
  <c r="AP191" i="5"/>
  <c r="Z198" i="5"/>
  <c r="Z163" i="5"/>
  <c r="AQ155" i="5"/>
  <c r="AQ190" i="5"/>
  <c r="U157" i="5"/>
  <c r="U192" i="5"/>
  <c r="V155" i="5"/>
  <c r="V190" i="5"/>
  <c r="AE156" i="5"/>
  <c r="AE191" i="5"/>
  <c r="AN161" i="5"/>
  <c r="AN196" i="5"/>
  <c r="AJ155" i="5"/>
  <c r="AJ190" i="5"/>
  <c r="N157" i="5"/>
  <c r="N192" i="5"/>
  <c r="Q160" i="5"/>
  <c r="Q195" i="5"/>
  <c r="Q158" i="5"/>
  <c r="Q193" i="5"/>
  <c r="W158" i="5"/>
  <c r="W193" i="5"/>
  <c r="AD160" i="5"/>
  <c r="AD195" i="5"/>
  <c r="Q347" i="5"/>
  <c r="Q350" i="5" s="1"/>
  <c r="AP317" i="5"/>
  <c r="AF71" i="5"/>
  <c r="AF74" i="5"/>
  <c r="AE70" i="5"/>
  <c r="AE73" i="5"/>
  <c r="U158" i="5"/>
  <c r="U193" i="5"/>
  <c r="AP155" i="5"/>
  <c r="AP190" i="5"/>
  <c r="M158" i="5"/>
  <c r="M193" i="5"/>
  <c r="AC156" i="5"/>
  <c r="AC191" i="5"/>
  <c r="N69" i="5"/>
  <c r="N72" i="5"/>
  <c r="X75" i="5"/>
  <c r="X354" i="5"/>
  <c r="X359" i="5"/>
  <c r="X358" i="5"/>
  <c r="X356" i="5"/>
  <c r="X357" i="5"/>
  <c r="X355" i="5"/>
  <c r="Z71" i="5"/>
  <c r="U74" i="5"/>
  <c r="U71" i="5"/>
  <c r="U70" i="5"/>
  <c r="U73" i="5"/>
  <c r="AE69" i="5"/>
  <c r="W195" i="5"/>
  <c r="W160" i="5"/>
  <c r="AG193" i="5"/>
  <c r="AG158" i="5"/>
  <c r="AL159" i="5"/>
  <c r="AL194" i="5"/>
  <c r="AJ200" i="5"/>
  <c r="AJ165" i="5"/>
  <c r="Y160" i="5"/>
  <c r="Y195" i="5"/>
  <c r="AH155" i="5"/>
  <c r="AH190" i="5"/>
  <c r="AI156" i="5"/>
  <c r="AI191" i="5"/>
  <c r="AJ157" i="5"/>
  <c r="AJ192" i="5"/>
  <c r="AN160" i="5"/>
  <c r="AN195" i="5"/>
  <c r="N159" i="5"/>
  <c r="N194" i="5"/>
  <c r="AO316" i="5"/>
  <c r="Y319" i="5"/>
  <c r="AE53" i="5"/>
  <c r="AA75" i="5"/>
  <c r="AA357" i="5"/>
  <c r="AA356" i="5"/>
  <c r="AA355" i="5"/>
  <c r="AA354" i="5"/>
  <c r="AA359" i="5"/>
  <c r="AA358" i="5"/>
  <c r="AK70" i="5"/>
  <c r="AK73" i="5"/>
  <c r="AQ157" i="5"/>
  <c r="AQ192" i="5"/>
  <c r="AM160" i="5"/>
  <c r="AM195" i="5"/>
  <c r="AQ156" i="5"/>
  <c r="AQ191" i="5"/>
  <c r="AG162" i="5"/>
  <c r="AG197" i="5"/>
  <c r="Z69" i="5"/>
  <c r="AO74" i="5"/>
  <c r="AO71" i="5"/>
  <c r="M69" i="5"/>
  <c r="M72" i="5"/>
  <c r="N70" i="5"/>
  <c r="N73" i="5"/>
  <c r="O71" i="5"/>
  <c r="O74" i="5"/>
  <c r="AH69" i="5"/>
  <c r="O75" i="5"/>
  <c r="O359" i="5"/>
  <c r="O358" i="5"/>
  <c r="O357" i="5"/>
  <c r="O355" i="5"/>
  <c r="O354" i="5"/>
  <c r="O356" i="5"/>
  <c r="AC74" i="5"/>
  <c r="AC71" i="5"/>
  <c r="AC70" i="5"/>
  <c r="AC73" i="5"/>
  <c r="AM75" i="5"/>
  <c r="AM359" i="5"/>
  <c r="AM358" i="5"/>
  <c r="AM357" i="5"/>
  <c r="AM355" i="5"/>
  <c r="AM356" i="5"/>
  <c r="AM354" i="5"/>
  <c r="R71" i="5"/>
  <c r="S155" i="5"/>
  <c r="S190" i="5"/>
  <c r="T191" i="5"/>
  <c r="T156" i="5"/>
  <c r="AC157" i="5"/>
  <c r="AC192" i="5"/>
  <c r="AD155" i="5"/>
  <c r="AD190" i="5"/>
  <c r="P157" i="5"/>
  <c r="P192" i="5"/>
  <c r="R159" i="5"/>
  <c r="R194" i="5"/>
  <c r="AG198" i="5"/>
  <c r="AG163" i="5"/>
  <c r="M156" i="5"/>
  <c r="M191" i="5"/>
  <c r="V157" i="5"/>
  <c r="V192" i="5"/>
  <c r="AE160" i="5"/>
  <c r="AE195" i="5"/>
  <c r="AK158" i="5"/>
  <c r="AK193" i="5"/>
  <c r="AF161" i="5"/>
  <c r="AF196" i="5"/>
  <c r="O158" i="5"/>
  <c r="O193" i="5"/>
  <c r="AA311" i="5"/>
  <c r="AA317" i="5"/>
  <c r="AA314" i="5"/>
  <c r="AA320" i="5"/>
  <c r="V69" i="5"/>
  <c r="V72" i="5"/>
  <c r="Q310" i="5"/>
  <c r="Q322" i="5"/>
  <c r="Q319" i="5"/>
  <c r="Q316" i="5"/>
  <c r="Q313" i="5"/>
  <c r="AG76" i="5"/>
  <c r="AG364" i="5"/>
  <c r="AG362" i="5"/>
  <c r="AG361" i="5"/>
  <c r="AG366" i="5"/>
  <c r="AG365" i="5"/>
  <c r="AG363" i="5"/>
  <c r="Y310" i="5" l="1"/>
  <c r="Y316" i="5"/>
  <c r="AI75" i="5"/>
  <c r="AI355" i="5"/>
  <c r="AI359" i="5"/>
  <c r="AI354" i="5"/>
  <c r="AI356" i="5"/>
  <c r="AI357" i="5"/>
  <c r="AI358" i="5"/>
  <c r="AJ348" i="5"/>
  <c r="AJ351" i="5" s="1"/>
  <c r="AB347" i="5"/>
  <c r="AB350" i="5" s="1"/>
  <c r="AQ348" i="5"/>
  <c r="AQ351" i="5" s="1"/>
  <c r="S75" i="5"/>
  <c r="S357" i="5"/>
  <c r="S354" i="5"/>
  <c r="S358" i="5"/>
  <c r="S355" i="5"/>
  <c r="S359" i="5"/>
  <c r="S356" i="5"/>
  <c r="AI348" i="5"/>
  <c r="AI351" i="5" s="1"/>
  <c r="AI317" i="5" s="1"/>
  <c r="AQ75" i="5"/>
  <c r="AQ357" i="5"/>
  <c r="AQ354" i="5"/>
  <c r="AQ358" i="5"/>
  <c r="AQ355" i="5"/>
  <c r="AQ359" i="5"/>
  <c r="AQ356" i="5"/>
  <c r="T347" i="5"/>
  <c r="T350" i="5" s="1"/>
  <c r="AG319" i="5"/>
  <c r="AG316" i="5"/>
  <c r="AG310" i="5"/>
  <c r="AG313" i="5"/>
  <c r="AJ75" i="5"/>
  <c r="AJ354" i="5"/>
  <c r="AJ358" i="5"/>
  <c r="AJ355" i="5"/>
  <c r="AJ359" i="5"/>
  <c r="AJ356" i="5"/>
  <c r="AJ357" i="5"/>
  <c r="AB349" i="5"/>
  <c r="AB352" i="5" s="1"/>
  <c r="AP347" i="5"/>
  <c r="AP350" i="5" s="1"/>
  <c r="AP316" i="5" s="1"/>
  <c r="AO310" i="5"/>
  <c r="N76" i="5"/>
  <c r="N361" i="5"/>
  <c r="N366" i="5"/>
  <c r="N365" i="5"/>
  <c r="N363" i="5"/>
  <c r="N364" i="5"/>
  <c r="N362" i="5"/>
  <c r="AQ159" i="5"/>
  <c r="AQ194" i="5"/>
  <c r="AJ195" i="5"/>
  <c r="AJ160" i="5"/>
  <c r="AE75" i="5"/>
  <c r="AE359" i="5"/>
  <c r="AE358" i="5"/>
  <c r="AE357" i="5"/>
  <c r="AE355" i="5"/>
  <c r="AE354" i="5"/>
  <c r="AE356" i="5"/>
  <c r="AM162" i="5"/>
  <c r="AM197" i="5"/>
  <c r="X77" i="5"/>
  <c r="X370" i="5"/>
  <c r="X369" i="5"/>
  <c r="X368" i="5"/>
  <c r="X371" i="5"/>
  <c r="X372" i="5"/>
  <c r="X373" i="5"/>
  <c r="AO165" i="5"/>
  <c r="AO200" i="5"/>
  <c r="AO163" i="5"/>
  <c r="AO198" i="5"/>
  <c r="AE77" i="5"/>
  <c r="AE369" i="5"/>
  <c r="AE368" i="5"/>
  <c r="AE373" i="5"/>
  <c r="AE370" i="5"/>
  <c r="AE372" i="5"/>
  <c r="AE371" i="5"/>
  <c r="W76" i="5"/>
  <c r="W362" i="5"/>
  <c r="W366" i="5"/>
  <c r="W364" i="5"/>
  <c r="W361" i="5"/>
  <c r="W365" i="5"/>
  <c r="W363" i="5"/>
  <c r="AL160" i="5"/>
  <c r="AL195" i="5"/>
  <c r="AB159" i="5"/>
  <c r="AB194" i="5"/>
  <c r="U75" i="5"/>
  <c r="U359" i="5"/>
  <c r="U357" i="5"/>
  <c r="U356" i="5"/>
  <c r="U355" i="5"/>
  <c r="U358" i="5"/>
  <c r="U354" i="5"/>
  <c r="AF164" i="5"/>
  <c r="AF199" i="5"/>
  <c r="M159" i="5"/>
  <c r="M194" i="5"/>
  <c r="AD158" i="5"/>
  <c r="AD193" i="5"/>
  <c r="R77" i="5"/>
  <c r="R372" i="5"/>
  <c r="R371" i="5"/>
  <c r="R370" i="5"/>
  <c r="R368" i="5"/>
  <c r="R369" i="5"/>
  <c r="R373" i="5"/>
  <c r="AJ168" i="5"/>
  <c r="AJ203" i="5"/>
  <c r="M161" i="5"/>
  <c r="M196" i="5"/>
  <c r="AD163" i="5"/>
  <c r="AD198" i="5"/>
  <c r="N160" i="5"/>
  <c r="N195" i="5"/>
  <c r="V158" i="5"/>
  <c r="V193" i="5"/>
  <c r="AP194" i="5"/>
  <c r="AP159" i="5"/>
  <c r="AP320" i="5"/>
  <c r="AJ349" i="5"/>
  <c r="AJ352" i="5" s="1"/>
  <c r="AL76" i="5"/>
  <c r="AL361" i="5"/>
  <c r="AL366" i="5"/>
  <c r="AL365" i="5"/>
  <c r="AL363" i="5"/>
  <c r="AL364" i="5"/>
  <c r="AL362" i="5"/>
  <c r="AN347" i="5"/>
  <c r="AN350" i="5" s="1"/>
  <c r="M160" i="5"/>
  <c r="M195" i="5"/>
  <c r="AD77" i="5"/>
  <c r="AD368" i="5"/>
  <c r="AD372" i="5"/>
  <c r="AD369" i="5"/>
  <c r="AD370" i="5"/>
  <c r="AD373" i="5"/>
  <c r="AD371" i="5"/>
  <c r="AN348" i="5"/>
  <c r="AN351" i="5" s="1"/>
  <c r="AN314" i="5" s="1"/>
  <c r="T160" i="5"/>
  <c r="T195" i="5"/>
  <c r="AM76" i="5"/>
  <c r="AM362" i="5"/>
  <c r="AM366" i="5"/>
  <c r="AM364" i="5"/>
  <c r="AM361" i="5"/>
  <c r="AM363" i="5"/>
  <c r="AM365" i="5"/>
  <c r="Q348" i="5"/>
  <c r="Q351" i="5" s="1"/>
  <c r="AF347" i="5"/>
  <c r="AF350" i="5" s="1"/>
  <c r="S348" i="5"/>
  <c r="S351" i="5" s="1"/>
  <c r="R75" i="5"/>
  <c r="R356" i="5"/>
  <c r="R355" i="5"/>
  <c r="R354" i="5"/>
  <c r="R358" i="5"/>
  <c r="R357" i="5"/>
  <c r="R359" i="5"/>
  <c r="AE76" i="5"/>
  <c r="AE362" i="5"/>
  <c r="AE366" i="5"/>
  <c r="AE364" i="5"/>
  <c r="AE365" i="5"/>
  <c r="AE363" i="5"/>
  <c r="AE361" i="5"/>
  <c r="Z166" i="5"/>
  <c r="Z201" i="5"/>
  <c r="AN162" i="5"/>
  <c r="AN197" i="5"/>
  <c r="Y196" i="5"/>
  <c r="Y161" i="5"/>
  <c r="Y322" i="5"/>
  <c r="V77" i="5"/>
  <c r="V368" i="5"/>
  <c r="V372" i="5"/>
  <c r="V369" i="5"/>
  <c r="V373" i="5"/>
  <c r="V370" i="5"/>
  <c r="V371" i="5"/>
  <c r="AF165" i="5"/>
  <c r="AF200" i="5"/>
  <c r="AG348" i="5"/>
  <c r="AG351" i="5" s="1"/>
  <c r="V75" i="5"/>
  <c r="V358" i="5"/>
  <c r="V357" i="5"/>
  <c r="V356" i="5"/>
  <c r="V354" i="5"/>
  <c r="V359" i="5"/>
  <c r="V355" i="5"/>
  <c r="AM347" i="5"/>
  <c r="AM350" i="5" s="1"/>
  <c r="AM310" i="5" s="1"/>
  <c r="AC76" i="5"/>
  <c r="AC366" i="5"/>
  <c r="AC365" i="5"/>
  <c r="AC364" i="5"/>
  <c r="AC362" i="5"/>
  <c r="AC363" i="5"/>
  <c r="AC361" i="5"/>
  <c r="M75" i="5"/>
  <c r="M359" i="5"/>
  <c r="M357" i="5"/>
  <c r="M356" i="5"/>
  <c r="M355" i="5"/>
  <c r="M354" i="5"/>
  <c r="M358" i="5"/>
  <c r="AM163" i="5"/>
  <c r="AM198" i="5"/>
  <c r="AA347" i="5"/>
  <c r="AA350" i="5" s="1"/>
  <c r="AI159" i="5"/>
  <c r="AI194" i="5"/>
  <c r="AI320" i="5"/>
  <c r="AL162" i="5"/>
  <c r="AL197" i="5"/>
  <c r="U76" i="5"/>
  <c r="U366" i="5"/>
  <c r="U365" i="5"/>
  <c r="U364" i="5"/>
  <c r="U362" i="5"/>
  <c r="U361" i="5"/>
  <c r="U363" i="5"/>
  <c r="AF77" i="5"/>
  <c r="AF370" i="5"/>
  <c r="AF369" i="5"/>
  <c r="AF368" i="5"/>
  <c r="AF372" i="5"/>
  <c r="AF373" i="5"/>
  <c r="AF371" i="5"/>
  <c r="W75" i="5"/>
  <c r="W359" i="5"/>
  <c r="W358" i="5"/>
  <c r="W357" i="5"/>
  <c r="W355" i="5"/>
  <c r="W356" i="5"/>
  <c r="W354" i="5"/>
  <c r="AB160" i="5"/>
  <c r="AB195" i="5"/>
  <c r="AB324" i="5" s="1"/>
  <c r="AH166" i="5"/>
  <c r="AH201" i="5"/>
  <c r="P348" i="5"/>
  <c r="P351" i="5" s="1"/>
  <c r="AK77" i="5"/>
  <c r="AK373" i="5"/>
  <c r="AK371" i="5"/>
  <c r="AK368" i="5"/>
  <c r="AK372" i="5"/>
  <c r="AK369" i="5"/>
  <c r="AK370" i="5"/>
  <c r="AN322" i="5"/>
  <c r="AN313" i="5"/>
  <c r="AN319" i="5"/>
  <c r="AN310" i="5"/>
  <c r="AN325" i="5"/>
  <c r="AN316" i="5"/>
  <c r="Q162" i="5"/>
  <c r="Q197" i="5"/>
  <c r="AI158" i="5"/>
  <c r="AI193" i="5"/>
  <c r="T349" i="5"/>
  <c r="T352" i="5" s="1"/>
  <c r="AD76" i="5"/>
  <c r="AD361" i="5"/>
  <c r="AD366" i="5"/>
  <c r="AD365" i="5"/>
  <c r="AD363" i="5"/>
  <c r="AD364" i="5"/>
  <c r="AD362" i="5"/>
  <c r="AP349" i="5"/>
  <c r="AP352" i="5" s="1"/>
  <c r="P77" i="5"/>
  <c r="P370" i="5"/>
  <c r="P369" i="5"/>
  <c r="P368" i="5"/>
  <c r="P373" i="5"/>
  <c r="P371" i="5"/>
  <c r="P372" i="5"/>
  <c r="R166" i="5"/>
  <c r="R201" i="5"/>
  <c r="Z76" i="5"/>
  <c r="Z363" i="5"/>
  <c r="Z362" i="5"/>
  <c r="Z361" i="5"/>
  <c r="Z364" i="5"/>
  <c r="Z365" i="5"/>
  <c r="Z366" i="5"/>
  <c r="P197" i="5"/>
  <c r="P326" i="5" s="1"/>
  <c r="P162" i="5"/>
  <c r="U159" i="5"/>
  <c r="U194" i="5"/>
  <c r="X160" i="5"/>
  <c r="X195" i="5"/>
  <c r="AA158" i="5"/>
  <c r="AA193" i="5"/>
  <c r="AF313" i="5"/>
  <c r="AF310" i="5"/>
  <c r="AF322" i="5"/>
  <c r="AF319" i="5"/>
  <c r="AF325" i="5"/>
  <c r="AF316" i="5"/>
  <c r="AF328" i="5"/>
  <c r="P347" i="5"/>
  <c r="P350" i="5" s="1"/>
  <c r="AC77" i="5"/>
  <c r="AC373" i="5"/>
  <c r="AC371" i="5"/>
  <c r="AC369" i="5"/>
  <c r="AC370" i="5"/>
  <c r="AC372" i="5"/>
  <c r="AC368" i="5"/>
  <c r="U160" i="5"/>
  <c r="U195" i="5"/>
  <c r="AO348" i="5"/>
  <c r="AO351" i="5" s="1"/>
  <c r="AO314" i="5" s="1"/>
  <c r="AE164" i="5"/>
  <c r="AE199" i="5"/>
  <c r="AF160" i="5"/>
  <c r="AF195" i="5"/>
  <c r="AN323" i="5"/>
  <c r="AH165" i="5"/>
  <c r="AH200" i="5"/>
  <c r="S159" i="5"/>
  <c r="S194" i="5"/>
  <c r="AG166" i="5"/>
  <c r="AG201" i="5"/>
  <c r="AH75" i="5"/>
  <c r="AH356" i="5"/>
  <c r="AH355" i="5"/>
  <c r="AH354" i="5"/>
  <c r="AH358" i="5"/>
  <c r="AH359" i="5"/>
  <c r="AH357" i="5"/>
  <c r="AQ160" i="5"/>
  <c r="AQ195" i="5"/>
  <c r="AQ321" i="5"/>
  <c r="N162" i="5"/>
  <c r="N197" i="5"/>
  <c r="AH158" i="5"/>
  <c r="AH193" i="5"/>
  <c r="M76" i="5"/>
  <c r="M366" i="5"/>
  <c r="M365" i="5"/>
  <c r="M364" i="5"/>
  <c r="M362" i="5"/>
  <c r="M363" i="5"/>
  <c r="M361" i="5"/>
  <c r="AA159" i="5"/>
  <c r="AA194" i="5"/>
  <c r="X162" i="5"/>
  <c r="X197" i="5"/>
  <c r="P314" i="5"/>
  <c r="P311" i="5"/>
  <c r="P320" i="5"/>
  <c r="P317" i="5"/>
  <c r="P323" i="5"/>
  <c r="AD75" i="5"/>
  <c r="AD358" i="5"/>
  <c r="AD357" i="5"/>
  <c r="AD356" i="5"/>
  <c r="AD354" i="5"/>
  <c r="AD355" i="5"/>
  <c r="AD359" i="5"/>
  <c r="O163" i="5"/>
  <c r="O198" i="5"/>
  <c r="AK159" i="5"/>
  <c r="AK194" i="5"/>
  <c r="W159" i="5"/>
  <c r="W194" i="5"/>
  <c r="AG349" i="5"/>
  <c r="AG352" i="5" s="1"/>
  <c r="AG330" i="5" s="1"/>
  <c r="AC75" i="5"/>
  <c r="AC359" i="5"/>
  <c r="AC357" i="5"/>
  <c r="AC356" i="5"/>
  <c r="AC355" i="5"/>
  <c r="AC354" i="5"/>
  <c r="AC358" i="5"/>
  <c r="AL161" i="5"/>
  <c r="AL196" i="5"/>
  <c r="AD162" i="5"/>
  <c r="AD197" i="5"/>
  <c r="T158" i="5"/>
  <c r="T193" i="5"/>
  <c r="O159" i="5"/>
  <c r="O194" i="5"/>
  <c r="Q323" i="5"/>
  <c r="Q314" i="5"/>
  <c r="Q311" i="5"/>
  <c r="Q320" i="5"/>
  <c r="Q326" i="5"/>
  <c r="Q317" i="5"/>
  <c r="P313" i="5"/>
  <c r="P322" i="5"/>
  <c r="P319" i="5"/>
  <c r="P325" i="5"/>
  <c r="P310" i="5"/>
  <c r="W77" i="5"/>
  <c r="W369" i="5"/>
  <c r="W368" i="5"/>
  <c r="W373" i="5"/>
  <c r="W372" i="5"/>
  <c r="W370" i="5"/>
  <c r="W371" i="5"/>
  <c r="X348" i="5"/>
  <c r="X351" i="5" s="1"/>
  <c r="X317" i="5" s="1"/>
  <c r="R76" i="5"/>
  <c r="R365" i="5"/>
  <c r="R363" i="5"/>
  <c r="R362" i="5"/>
  <c r="R361" i="5"/>
  <c r="R366" i="5"/>
  <c r="R364" i="5"/>
  <c r="U77" i="5"/>
  <c r="U373" i="5"/>
  <c r="U371" i="5"/>
  <c r="U372" i="5"/>
  <c r="U368" i="5"/>
  <c r="U369" i="5"/>
  <c r="U370" i="5"/>
  <c r="AP158" i="5"/>
  <c r="AP193" i="5"/>
  <c r="AP319" i="5"/>
  <c r="Y348" i="5"/>
  <c r="Y351" i="5" s="1"/>
  <c r="Y317" i="5" s="1"/>
  <c r="AG323" i="5"/>
  <c r="AG314" i="5"/>
  <c r="AG320" i="5"/>
  <c r="AG311" i="5"/>
  <c r="AG326" i="5"/>
  <c r="AG317" i="5"/>
  <c r="AE163" i="5"/>
  <c r="AE198" i="5"/>
  <c r="R162" i="5"/>
  <c r="R197" i="5"/>
  <c r="Z75" i="5"/>
  <c r="Z356" i="5"/>
  <c r="Z355" i="5"/>
  <c r="Z354" i="5"/>
  <c r="Z358" i="5"/>
  <c r="Z357" i="5"/>
  <c r="Z359" i="5"/>
  <c r="AG161" i="5"/>
  <c r="AG196" i="5"/>
  <c r="AG322" i="5"/>
  <c r="Z77" i="5"/>
  <c r="Z372" i="5"/>
  <c r="Z371" i="5"/>
  <c r="Z370" i="5"/>
  <c r="Z368" i="5"/>
  <c r="Z373" i="5"/>
  <c r="Z369" i="5"/>
  <c r="U161" i="5"/>
  <c r="U196" i="5"/>
  <c r="Q161" i="5"/>
  <c r="Q196" i="5"/>
  <c r="AN164" i="5"/>
  <c r="AN199" i="5"/>
  <c r="AN328" i="5" s="1"/>
  <c r="AQ158" i="5"/>
  <c r="AQ193" i="5"/>
  <c r="M77" i="5"/>
  <c r="M373" i="5"/>
  <c r="M371" i="5"/>
  <c r="M370" i="5"/>
  <c r="M368" i="5"/>
  <c r="M372" i="5"/>
  <c r="M369" i="5"/>
  <c r="AJ318" i="5"/>
  <c r="AJ324" i="5"/>
  <c r="AJ315" i="5"/>
  <c r="AJ312" i="5"/>
  <c r="AJ321" i="5"/>
  <c r="AN77" i="5"/>
  <c r="AN370" i="5"/>
  <c r="AN369" i="5"/>
  <c r="AN368" i="5"/>
  <c r="AN373" i="5"/>
  <c r="AN371" i="5"/>
  <c r="AN372" i="5"/>
  <c r="Y165" i="5"/>
  <c r="Y200" i="5"/>
  <c r="Y329" i="5" s="1"/>
  <c r="AH76" i="5"/>
  <c r="AH363" i="5"/>
  <c r="AH362" i="5"/>
  <c r="AH361" i="5"/>
  <c r="AH366" i="5"/>
  <c r="AH365" i="5"/>
  <c r="AH364" i="5"/>
  <c r="AP166" i="5"/>
  <c r="AP201" i="5"/>
  <c r="R193" i="5"/>
  <c r="R158" i="5"/>
  <c r="AO158" i="5"/>
  <c r="AO193" i="5"/>
  <c r="AO319" i="5"/>
  <c r="X164" i="5"/>
  <c r="X199" i="5"/>
  <c r="N77" i="5"/>
  <c r="N368" i="5"/>
  <c r="N372" i="5"/>
  <c r="N373" i="5"/>
  <c r="N371" i="5"/>
  <c r="N370" i="5"/>
  <c r="N369" i="5"/>
  <c r="T159" i="5"/>
  <c r="T194" i="5"/>
  <c r="O347" i="5"/>
  <c r="O350" i="5" s="1"/>
  <c r="O77" i="5"/>
  <c r="O369" i="5"/>
  <c r="O368" i="5"/>
  <c r="O373" i="5"/>
  <c r="O371" i="5"/>
  <c r="O370" i="5"/>
  <c r="O372" i="5"/>
  <c r="AG165" i="5"/>
  <c r="AG200" i="5"/>
  <c r="AG329" i="5" s="1"/>
  <c r="AA316" i="5"/>
  <c r="AA310" i="5"/>
  <c r="AA319" i="5"/>
  <c r="AA313" i="5"/>
  <c r="AN163" i="5"/>
  <c r="AN198" i="5"/>
  <c r="Y163" i="5"/>
  <c r="Y198" i="5"/>
  <c r="N75" i="5"/>
  <c r="N358" i="5"/>
  <c r="N357" i="5"/>
  <c r="N356" i="5"/>
  <c r="N354" i="5"/>
  <c r="N355" i="5"/>
  <c r="N359" i="5"/>
  <c r="Y349" i="5"/>
  <c r="Y352" i="5" s="1"/>
  <c r="Y324" i="5" s="1"/>
  <c r="AC161" i="5"/>
  <c r="AC196" i="5"/>
  <c r="Z158" i="5"/>
  <c r="Z193" i="5"/>
  <c r="AL77" i="5"/>
  <c r="AL368" i="5"/>
  <c r="AL372" i="5"/>
  <c r="AL371" i="5"/>
  <c r="AL373" i="5"/>
  <c r="AL369" i="5"/>
  <c r="AL370" i="5"/>
  <c r="AO311" i="5"/>
  <c r="O76" i="5"/>
  <c r="O362" i="5"/>
  <c r="O366" i="5"/>
  <c r="O364" i="5"/>
  <c r="O365" i="5"/>
  <c r="O363" i="5"/>
  <c r="O361" i="5"/>
  <c r="S163" i="5"/>
  <c r="S198" i="5"/>
  <c r="S324" i="5"/>
  <c r="AB158" i="5"/>
  <c r="AB193" i="5"/>
  <c r="N158" i="5"/>
  <c r="N193" i="5"/>
  <c r="V162" i="5"/>
  <c r="V197" i="5"/>
  <c r="T324" i="5"/>
  <c r="AB318" i="5"/>
  <c r="AB315" i="5"/>
  <c r="AB321" i="5"/>
  <c r="AB312" i="5"/>
  <c r="AB320" i="5"/>
  <c r="AP324" i="5"/>
  <c r="Y326" i="5"/>
  <c r="Y311" i="5"/>
  <c r="P164" i="5"/>
  <c r="P199" i="5"/>
  <c r="AK160" i="5"/>
  <c r="AK195" i="5"/>
  <c r="V76" i="5"/>
  <c r="V361" i="5"/>
  <c r="V366" i="5"/>
  <c r="V365" i="5"/>
  <c r="V363" i="5"/>
  <c r="V362" i="5"/>
  <c r="V364" i="5"/>
  <c r="X320" i="5"/>
  <c r="AK161" i="5"/>
  <c r="AK196" i="5"/>
  <c r="AC160" i="5"/>
  <c r="AC195" i="5"/>
  <c r="O319" i="5"/>
  <c r="AO77" i="5"/>
  <c r="AO371" i="5"/>
  <c r="AO370" i="5"/>
  <c r="AO369" i="5"/>
  <c r="AO373" i="5"/>
  <c r="AO372" i="5"/>
  <c r="AO368" i="5"/>
  <c r="X347" i="5"/>
  <c r="X350" i="5" s="1"/>
  <c r="X325" i="5" s="1"/>
  <c r="W161" i="5"/>
  <c r="W196" i="5"/>
  <c r="AJ158" i="5"/>
  <c r="AJ193" i="5"/>
  <c r="AK75" i="5"/>
  <c r="AK359" i="5"/>
  <c r="AK357" i="5"/>
  <c r="AK356" i="5"/>
  <c r="AK355" i="5"/>
  <c r="AK358" i="5"/>
  <c r="AK354" i="5"/>
  <c r="O161" i="5"/>
  <c r="O196" i="5"/>
  <c r="V160" i="5"/>
  <c r="V195" i="5"/>
  <c r="P160" i="5"/>
  <c r="P195" i="5"/>
  <c r="S158" i="5"/>
  <c r="S193" i="5"/>
  <c r="AK76" i="5"/>
  <c r="AK366" i="5"/>
  <c r="AK365" i="5"/>
  <c r="AK364" i="5"/>
  <c r="AK362" i="5"/>
  <c r="AK363" i="5"/>
  <c r="AK361" i="5"/>
  <c r="W163" i="5"/>
  <c r="W198" i="5"/>
  <c r="AC159" i="5"/>
  <c r="AC194" i="5"/>
  <c r="Q163" i="5"/>
  <c r="Q198" i="5"/>
  <c r="AE159" i="5"/>
  <c r="AE194" i="5"/>
  <c r="AF348" i="5"/>
  <c r="AF351" i="5" s="1"/>
  <c r="AM77" i="5"/>
  <c r="AM369" i="5"/>
  <c r="AM368" i="5"/>
  <c r="AM373" i="5"/>
  <c r="AM371" i="5"/>
  <c r="AM372" i="5"/>
  <c r="AM370" i="5"/>
  <c r="AH77" i="5"/>
  <c r="AH372" i="5"/>
  <c r="AH371" i="5"/>
  <c r="AH370" i="5"/>
  <c r="AH368" i="5"/>
  <c r="AH369" i="5"/>
  <c r="AH373" i="5"/>
  <c r="AJ317" i="5"/>
  <c r="AJ323" i="5"/>
  <c r="AJ314" i="5"/>
  <c r="AJ329" i="5"/>
  <c r="AJ311" i="5"/>
  <c r="AJ320" i="5"/>
  <c r="AJ332" i="5"/>
  <c r="AJ326" i="5"/>
  <c r="AI163" i="5"/>
  <c r="AI198" i="5"/>
  <c r="Z197" i="5"/>
  <c r="Z162" i="5"/>
  <c r="AM161" i="5"/>
  <c r="AM196" i="5"/>
  <c r="AQ317" i="5"/>
  <c r="AQ323" i="5"/>
  <c r="AQ311" i="5"/>
  <c r="AQ314" i="5"/>
  <c r="AQ320" i="5"/>
  <c r="AI324" i="5"/>
  <c r="AL75" i="5"/>
  <c r="AL358" i="5"/>
  <c r="AL357" i="5"/>
  <c r="AL356" i="5"/>
  <c r="AL354" i="5"/>
  <c r="AL359" i="5"/>
  <c r="AL355" i="5"/>
  <c r="AA198" i="5"/>
  <c r="AA163" i="5"/>
  <c r="Q349" i="5"/>
  <c r="Q352" i="5" s="1"/>
  <c r="Q315" i="5" s="1"/>
  <c r="T348" i="5"/>
  <c r="T351" i="5" s="1"/>
  <c r="T320" i="5" s="1"/>
  <c r="S317" i="5"/>
  <c r="S323" i="5"/>
  <c r="S311" i="5"/>
  <c r="S314" i="5"/>
  <c r="S320" i="5"/>
  <c r="AO323" i="5" l="1"/>
  <c r="Y320" i="5"/>
  <c r="AN326" i="5"/>
  <c r="Y314" i="5"/>
  <c r="AN320" i="5"/>
  <c r="N348" i="5"/>
  <c r="N351" i="5" s="1"/>
  <c r="AP310" i="5"/>
  <c r="Y323" i="5"/>
  <c r="AO317" i="5"/>
  <c r="AN317" i="5"/>
  <c r="AO329" i="5"/>
  <c r="O325" i="5"/>
  <c r="AH349" i="5"/>
  <c r="AH352" i="5" s="1"/>
  <c r="AO320" i="5"/>
  <c r="AI347" i="5"/>
  <c r="AI350" i="5" s="1"/>
  <c r="AI319" i="5" s="1"/>
  <c r="AO349" i="5"/>
  <c r="AO352" i="5" s="1"/>
  <c r="AO324" i="5" s="1"/>
  <c r="S347" i="5"/>
  <c r="S350" i="5" s="1"/>
  <c r="S319" i="5" s="1"/>
  <c r="U347" i="5"/>
  <c r="U350" i="5" s="1"/>
  <c r="AJ347" i="5"/>
  <c r="AJ350" i="5" s="1"/>
  <c r="AJ319" i="5" s="1"/>
  <c r="AP313" i="5"/>
  <c r="AQ347" i="5"/>
  <c r="AQ350" i="5" s="1"/>
  <c r="AQ316" i="5" s="1"/>
  <c r="N349" i="5"/>
  <c r="N352" i="5" s="1"/>
  <c r="R348" i="5"/>
  <c r="R351" i="5" s="1"/>
  <c r="R326" i="5" s="1"/>
  <c r="AC348" i="5"/>
  <c r="AC351" i="5" s="1"/>
  <c r="AC311" i="5" s="1"/>
  <c r="AJ310" i="5"/>
  <c r="AJ313" i="5"/>
  <c r="AI314" i="5"/>
  <c r="AC347" i="5"/>
  <c r="AC350" i="5" s="1"/>
  <c r="AI311" i="5"/>
  <c r="AQ319" i="5"/>
  <c r="S313" i="5"/>
  <c r="S310" i="5"/>
  <c r="S316" i="5"/>
  <c r="X323" i="5"/>
  <c r="T313" i="5"/>
  <c r="T310" i="5"/>
  <c r="T316" i="5"/>
  <c r="T319" i="5"/>
  <c r="X311" i="5"/>
  <c r="U348" i="5"/>
  <c r="U351" i="5" s="1"/>
  <c r="AB313" i="5"/>
  <c r="AB310" i="5"/>
  <c r="AB316" i="5"/>
  <c r="AB319" i="5"/>
  <c r="AI316" i="5"/>
  <c r="AB161" i="5"/>
  <c r="AB196" i="5"/>
  <c r="AB322" i="5"/>
  <c r="AK347" i="5"/>
  <c r="AK350" i="5" s="1"/>
  <c r="AK313" i="5" s="1"/>
  <c r="AL347" i="5"/>
  <c r="AL350" i="5" s="1"/>
  <c r="AP318" i="5"/>
  <c r="AP315" i="5"/>
  <c r="Q166" i="5"/>
  <c r="Q201" i="5"/>
  <c r="P163" i="5"/>
  <c r="P198" i="5"/>
  <c r="X314" i="5"/>
  <c r="AK163" i="5"/>
  <c r="AK198" i="5"/>
  <c r="AP330" i="5"/>
  <c r="T315" i="5"/>
  <c r="AO326" i="5"/>
  <c r="AC164" i="5"/>
  <c r="AC199" i="5"/>
  <c r="AC328" i="5" s="1"/>
  <c r="AG168" i="5"/>
  <c r="AG203" i="5"/>
  <c r="AN349" i="5"/>
  <c r="AN352" i="5" s="1"/>
  <c r="AN318" i="5" s="1"/>
  <c r="M349" i="5"/>
  <c r="M352" i="5" s="1"/>
  <c r="AE166" i="5"/>
  <c r="AE201" i="5"/>
  <c r="P316" i="5"/>
  <c r="AL164" i="5"/>
  <c r="AL199" i="5"/>
  <c r="AC310" i="5"/>
  <c r="AC319" i="5"/>
  <c r="AC325" i="5"/>
  <c r="AC316" i="5"/>
  <c r="AC322" i="5"/>
  <c r="AC313" i="5"/>
  <c r="N165" i="5"/>
  <c r="N200" i="5"/>
  <c r="AH347" i="5"/>
  <c r="AH350" i="5" s="1"/>
  <c r="Q324" i="5"/>
  <c r="S162" i="5"/>
  <c r="S197" i="5"/>
  <c r="AE202" i="5"/>
  <c r="AE167" i="5"/>
  <c r="P200" i="5"/>
  <c r="P165" i="5"/>
  <c r="R169" i="5"/>
  <c r="R204" i="5"/>
  <c r="Y318" i="5"/>
  <c r="AM348" i="5"/>
  <c r="AM351" i="5" s="1"/>
  <c r="AF311" i="5"/>
  <c r="AD161" i="5"/>
  <c r="AD196" i="5"/>
  <c r="AG324" i="5"/>
  <c r="AG315" i="5"/>
  <c r="X349" i="5"/>
  <c r="X352" i="5" s="1"/>
  <c r="X321" i="5" s="1"/>
  <c r="R161" i="5"/>
  <c r="R196" i="5"/>
  <c r="Q199" i="5"/>
  <c r="Q164" i="5"/>
  <c r="Q325" i="5"/>
  <c r="X165" i="5"/>
  <c r="X200" i="5"/>
  <c r="X319" i="5"/>
  <c r="AA161" i="5"/>
  <c r="AA196" i="5"/>
  <c r="AH169" i="5"/>
  <c r="AH204" i="5"/>
  <c r="AH333" i="5" s="1"/>
  <c r="Y312" i="5"/>
  <c r="AF349" i="5"/>
  <c r="AF352" i="5" s="1"/>
  <c r="Z169" i="5"/>
  <c r="Z204" i="5"/>
  <c r="AM319" i="5"/>
  <c r="AF320" i="5"/>
  <c r="N198" i="5"/>
  <c r="N163" i="5"/>
  <c r="AO166" i="5"/>
  <c r="AO201" i="5"/>
  <c r="O322" i="5"/>
  <c r="P167" i="5"/>
  <c r="P202" i="5"/>
  <c r="AP327" i="5"/>
  <c r="Y166" i="5"/>
  <c r="Y201" i="5"/>
  <c r="T162" i="5"/>
  <c r="T197" i="5"/>
  <c r="T326" i="5" s="1"/>
  <c r="N318" i="5"/>
  <c r="N324" i="5"/>
  <c r="N312" i="5"/>
  <c r="N315" i="5"/>
  <c r="N321" i="5"/>
  <c r="AP169" i="5"/>
  <c r="AP204" i="5"/>
  <c r="Z347" i="5"/>
  <c r="Z350" i="5" s="1"/>
  <c r="Z316" i="5" s="1"/>
  <c r="U349" i="5"/>
  <c r="U352" i="5" s="1"/>
  <c r="U315" i="5" s="1"/>
  <c r="O162" i="5"/>
  <c r="O197" i="5"/>
  <c r="W162" i="5"/>
  <c r="W197" i="5"/>
  <c r="AD347" i="5"/>
  <c r="AD350" i="5" s="1"/>
  <c r="X310" i="5"/>
  <c r="Q318" i="5"/>
  <c r="AH168" i="5"/>
  <c r="AH203" i="5"/>
  <c r="T314" i="5"/>
  <c r="Y327" i="5"/>
  <c r="AM166" i="5"/>
  <c r="AM201" i="5"/>
  <c r="V349" i="5"/>
  <c r="V352" i="5" s="1"/>
  <c r="AM322" i="5"/>
  <c r="AF329" i="5"/>
  <c r="M162" i="5"/>
  <c r="M197" i="5"/>
  <c r="AG318" i="5"/>
  <c r="Z165" i="5"/>
  <c r="Z200" i="5"/>
  <c r="AC162" i="5"/>
  <c r="AC197" i="5"/>
  <c r="V163" i="5"/>
  <c r="V198" i="5"/>
  <c r="AN327" i="5"/>
  <c r="W349" i="5"/>
  <c r="W352" i="5" s="1"/>
  <c r="AA162" i="5"/>
  <c r="AA197" i="5"/>
  <c r="AA323" i="5"/>
  <c r="AQ198" i="5"/>
  <c r="AQ163" i="5"/>
  <c r="AQ324" i="5"/>
  <c r="AH316" i="5"/>
  <c r="AH310" i="5"/>
  <c r="AH322" i="5"/>
  <c r="AH313" i="5"/>
  <c r="AH319" i="5"/>
  <c r="Q327" i="5"/>
  <c r="U163" i="5"/>
  <c r="U198" i="5"/>
  <c r="T311" i="5"/>
  <c r="X163" i="5"/>
  <c r="X198" i="5"/>
  <c r="AI161" i="5"/>
  <c r="AI196" i="5"/>
  <c r="AI322" i="5"/>
  <c r="AB163" i="5"/>
  <c r="AB198" i="5"/>
  <c r="U311" i="5"/>
  <c r="U317" i="5"/>
  <c r="U323" i="5"/>
  <c r="U314" i="5"/>
  <c r="U320" i="5"/>
  <c r="AF168" i="5"/>
  <c r="AF203" i="5"/>
  <c r="AF332" i="5" s="1"/>
  <c r="V327" i="5"/>
  <c r="V318" i="5"/>
  <c r="V312" i="5"/>
  <c r="V324" i="5"/>
  <c r="V315" i="5"/>
  <c r="V321" i="5"/>
  <c r="AE348" i="5"/>
  <c r="AE351" i="5" s="1"/>
  <c r="AE317" i="5" s="1"/>
  <c r="AM313" i="5"/>
  <c r="AF323" i="5"/>
  <c r="AF314" i="5"/>
  <c r="AD166" i="5"/>
  <c r="AD201" i="5"/>
  <c r="R349" i="5"/>
  <c r="R352" i="5" s="1"/>
  <c r="W348" i="5"/>
  <c r="W351" i="5" s="1"/>
  <c r="AG327" i="5"/>
  <c r="AO168" i="5"/>
  <c r="AO203" i="5"/>
  <c r="X315" i="5"/>
  <c r="AM349" i="5"/>
  <c r="AM352" i="5" s="1"/>
  <c r="AM321" i="5" s="1"/>
  <c r="AL319" i="5"/>
  <c r="AL310" i="5"/>
  <c r="AL325" i="5"/>
  <c r="AL316" i="5"/>
  <c r="AL322" i="5"/>
  <c r="AL313" i="5"/>
  <c r="AL328" i="5"/>
  <c r="AI166" i="5"/>
  <c r="AI201" i="5"/>
  <c r="AI327" i="5"/>
  <c r="T312" i="5"/>
  <c r="X167" i="5"/>
  <c r="X202" i="5"/>
  <c r="X331" i="5" s="1"/>
  <c r="U164" i="5"/>
  <c r="U199" i="5"/>
  <c r="AA166" i="5"/>
  <c r="AA201" i="5"/>
  <c r="AA327" i="5"/>
  <c r="AM312" i="5"/>
  <c r="AM318" i="5"/>
  <c r="AM324" i="5"/>
  <c r="W166" i="5"/>
  <c r="W201" i="5"/>
  <c r="O164" i="5"/>
  <c r="O199" i="5"/>
  <c r="O328" i="5" s="1"/>
  <c r="AK322" i="5"/>
  <c r="O316" i="5"/>
  <c r="X326" i="5"/>
  <c r="AP321" i="5"/>
  <c r="T318" i="5"/>
  <c r="S166" i="5"/>
  <c r="S201" i="5"/>
  <c r="S327" i="5"/>
  <c r="AL349" i="5"/>
  <c r="AL352" i="5" s="1"/>
  <c r="AN166" i="5"/>
  <c r="AN201" i="5"/>
  <c r="M318" i="5"/>
  <c r="M324" i="5"/>
  <c r="M312" i="5"/>
  <c r="M315" i="5"/>
  <c r="M321" i="5"/>
  <c r="P328" i="5"/>
  <c r="T161" i="5"/>
  <c r="T196" i="5"/>
  <c r="T322" i="5"/>
  <c r="AK162" i="5"/>
  <c r="AK197" i="5"/>
  <c r="X322" i="5"/>
  <c r="AG169" i="5"/>
  <c r="AG204" i="5"/>
  <c r="AN311" i="5"/>
  <c r="T323" i="5"/>
  <c r="Z348" i="5"/>
  <c r="Z351" i="5" s="1"/>
  <c r="AK349" i="5"/>
  <c r="AK352" i="5" s="1"/>
  <c r="Y321" i="5"/>
  <c r="AF321" i="5"/>
  <c r="AF312" i="5"/>
  <c r="AF318" i="5"/>
  <c r="AF324" i="5"/>
  <c r="AF315" i="5"/>
  <c r="AL165" i="5"/>
  <c r="AL200" i="5"/>
  <c r="AM311" i="5"/>
  <c r="AM320" i="5"/>
  <c r="AM326" i="5"/>
  <c r="AM317" i="5"/>
  <c r="AM323" i="5"/>
  <c r="AM314" i="5"/>
  <c r="AF167" i="5"/>
  <c r="AF202" i="5"/>
  <c r="U310" i="5"/>
  <c r="U319" i="5"/>
  <c r="U313" i="5"/>
  <c r="U325" i="5"/>
  <c r="U316" i="5"/>
  <c r="U322" i="5"/>
  <c r="U328" i="5"/>
  <c r="AE349" i="5"/>
  <c r="AE352" i="5" s="1"/>
  <c r="AM165" i="5"/>
  <c r="AM200" i="5"/>
  <c r="AM329" i="5" s="1"/>
  <c r="AC163" i="5"/>
  <c r="AC198" i="5"/>
  <c r="Y168" i="5"/>
  <c r="Y203" i="5"/>
  <c r="AH315" i="5"/>
  <c r="AH321" i="5"/>
  <c r="AH312" i="5"/>
  <c r="AH327" i="5"/>
  <c r="AH318" i="5"/>
  <c r="AH330" i="5"/>
  <c r="AH324" i="5"/>
  <c r="AJ161" i="5"/>
  <c r="AJ196" i="5"/>
  <c r="AJ322" i="5"/>
  <c r="O313" i="5"/>
  <c r="AK164" i="5"/>
  <c r="AK199" i="5"/>
  <c r="AP312" i="5"/>
  <c r="T321" i="5"/>
  <c r="V165" i="5"/>
  <c r="V200" i="5"/>
  <c r="AO332" i="5"/>
  <c r="AL318" i="5"/>
  <c r="AL324" i="5"/>
  <c r="AL315" i="5"/>
  <c r="AL312" i="5"/>
  <c r="AL321" i="5"/>
  <c r="N347" i="5"/>
  <c r="N350" i="5" s="1"/>
  <c r="AQ161" i="5"/>
  <c r="AQ196" i="5"/>
  <c r="AQ322" i="5"/>
  <c r="AG164" i="5"/>
  <c r="AG199" i="5"/>
  <c r="AG325" i="5"/>
  <c r="Z313" i="5"/>
  <c r="Z319" i="5"/>
  <c r="W312" i="5"/>
  <c r="W321" i="5"/>
  <c r="W327" i="5"/>
  <c r="W318" i="5"/>
  <c r="W324" i="5"/>
  <c r="W315" i="5"/>
  <c r="W330" i="5"/>
  <c r="M348" i="5"/>
  <c r="M351" i="5" s="1"/>
  <c r="M317" i="5" s="1"/>
  <c r="X316" i="5"/>
  <c r="X313" i="5"/>
  <c r="Q321" i="5"/>
  <c r="AC349" i="5"/>
  <c r="AC352" i="5" s="1"/>
  <c r="AC321" i="5" s="1"/>
  <c r="T317" i="5"/>
  <c r="U162" i="5"/>
  <c r="U197" i="5"/>
  <c r="P349" i="5"/>
  <c r="P352" i="5" s="1"/>
  <c r="P321" i="5" s="1"/>
  <c r="Q165" i="5"/>
  <c r="Q200" i="5"/>
  <c r="Y330" i="5"/>
  <c r="M347" i="5"/>
  <c r="M350" i="5" s="1"/>
  <c r="M325" i="5" s="1"/>
  <c r="V347" i="5"/>
  <c r="V350" i="5" s="1"/>
  <c r="AM316" i="5"/>
  <c r="T163" i="5"/>
  <c r="T198" i="5"/>
  <c r="T327" i="5" s="1"/>
  <c r="AD349" i="5"/>
  <c r="AD352" i="5" s="1"/>
  <c r="AD324" i="5" s="1"/>
  <c r="AF317" i="5"/>
  <c r="M164" i="5"/>
  <c r="M199" i="5"/>
  <c r="AB162" i="5"/>
  <c r="AB197" i="5"/>
  <c r="AB323" i="5"/>
  <c r="AG312" i="5"/>
  <c r="AK348" i="5"/>
  <c r="AK351" i="5" s="1"/>
  <c r="S161" i="5"/>
  <c r="S196" i="5"/>
  <c r="S322" i="5"/>
  <c r="O310" i="5"/>
  <c r="V348" i="5"/>
  <c r="V351" i="5" s="1"/>
  <c r="V326" i="5" s="1"/>
  <c r="AP333" i="5"/>
  <c r="O348" i="5"/>
  <c r="O351" i="5" s="1"/>
  <c r="Z161" i="5"/>
  <c r="Z196" i="5"/>
  <c r="AA322" i="5"/>
  <c r="O349" i="5"/>
  <c r="O352" i="5" s="1"/>
  <c r="O321" i="5" s="1"/>
  <c r="AO161" i="5"/>
  <c r="AO196" i="5"/>
  <c r="AO322" i="5"/>
  <c r="R200" i="5"/>
  <c r="R165" i="5"/>
  <c r="AP161" i="5"/>
  <c r="AP196" i="5"/>
  <c r="AP322" i="5"/>
  <c r="U324" i="5"/>
  <c r="AD165" i="5"/>
  <c r="AD200" i="5"/>
  <c r="O166" i="5"/>
  <c r="O201" i="5"/>
  <c r="AD313" i="5"/>
  <c r="AD319" i="5"/>
  <c r="AD325" i="5"/>
  <c r="AD316" i="5"/>
  <c r="AD322" i="5"/>
  <c r="AD310" i="5"/>
  <c r="X328" i="5"/>
  <c r="AH161" i="5"/>
  <c r="AH196" i="5"/>
  <c r="Q330" i="5"/>
  <c r="AF163" i="5"/>
  <c r="AF198" i="5"/>
  <c r="AF327" i="5" s="1"/>
  <c r="Y315" i="5"/>
  <c r="Y164" i="5"/>
  <c r="Y199" i="5"/>
  <c r="Y325" i="5"/>
  <c r="AM325" i="5"/>
  <c r="AD312" i="5"/>
  <c r="AD327" i="5"/>
  <c r="AD318" i="5"/>
  <c r="AD315" i="5"/>
  <c r="AD330" i="5"/>
  <c r="AD321" i="5"/>
  <c r="AF326" i="5"/>
  <c r="AP162" i="5"/>
  <c r="AP197" i="5"/>
  <c r="AP323" i="5"/>
  <c r="AE312" i="5"/>
  <c r="AE321" i="5"/>
  <c r="AE327" i="5"/>
  <c r="AE318" i="5"/>
  <c r="AE324" i="5"/>
  <c r="AE330" i="5"/>
  <c r="AE315" i="5"/>
  <c r="AG321" i="5"/>
  <c r="AJ163" i="5"/>
  <c r="AJ198" i="5"/>
  <c r="AE162" i="5"/>
  <c r="AE197" i="5"/>
  <c r="AM164" i="5"/>
  <c r="AM199" i="5"/>
  <c r="W164" i="5"/>
  <c r="W199" i="5"/>
  <c r="V314" i="5"/>
  <c r="V329" i="5"/>
  <c r="N161" i="5"/>
  <c r="N196" i="5"/>
  <c r="AH348" i="5"/>
  <c r="AH351" i="5" s="1"/>
  <c r="AH320" i="5" s="1"/>
  <c r="AN167" i="5"/>
  <c r="AN202" i="5"/>
  <c r="Z349" i="5"/>
  <c r="Z352" i="5" s="1"/>
  <c r="Q312" i="5"/>
  <c r="Z311" i="5"/>
  <c r="Z323" i="5"/>
  <c r="Z314" i="5"/>
  <c r="Z329" i="5"/>
  <c r="Z320" i="5"/>
  <c r="Z326" i="5"/>
  <c r="Z317" i="5"/>
  <c r="AD348" i="5"/>
  <c r="AD351" i="5" s="1"/>
  <c r="AD323" i="5" s="1"/>
  <c r="AK318" i="5"/>
  <c r="AK324" i="5"/>
  <c r="AK315" i="5"/>
  <c r="AK312" i="5"/>
  <c r="AK327" i="5"/>
  <c r="AK321" i="5"/>
  <c r="W347" i="5"/>
  <c r="W350" i="5" s="1"/>
  <c r="W313" i="5" s="1"/>
  <c r="AI162" i="5"/>
  <c r="AI197" i="5"/>
  <c r="AI323" i="5"/>
  <c r="AN200" i="5"/>
  <c r="AN165" i="5"/>
  <c r="R347" i="5"/>
  <c r="R350" i="5" s="1"/>
  <c r="M163" i="5"/>
  <c r="M198" i="5"/>
  <c r="AL348" i="5"/>
  <c r="AL351" i="5" s="1"/>
  <c r="AL320" i="5" s="1"/>
  <c r="V161" i="5"/>
  <c r="V196" i="5"/>
  <c r="AJ171" i="5"/>
  <c r="AJ206" i="5"/>
  <c r="R312" i="5"/>
  <c r="R324" i="5"/>
  <c r="R315" i="5"/>
  <c r="R321" i="5"/>
  <c r="R327" i="5"/>
  <c r="R318" i="5"/>
  <c r="R333" i="5"/>
  <c r="R330" i="5"/>
  <c r="AL163" i="5"/>
  <c r="AL198" i="5"/>
  <c r="W320" i="5"/>
  <c r="W326" i="5"/>
  <c r="W317" i="5"/>
  <c r="W311" i="5"/>
  <c r="W323" i="5"/>
  <c r="W314" i="5"/>
  <c r="AE347" i="5"/>
  <c r="AE350" i="5" s="1"/>
  <c r="AQ162" i="5"/>
  <c r="AQ197" i="5"/>
  <c r="N311" i="5"/>
  <c r="N320" i="5"/>
  <c r="N326" i="5"/>
  <c r="N317" i="5"/>
  <c r="N323" i="5"/>
  <c r="N314" i="5"/>
  <c r="N329" i="5"/>
  <c r="AO327" i="5" l="1"/>
  <c r="V323" i="5"/>
  <c r="U318" i="5"/>
  <c r="Z310" i="5"/>
  <c r="AC314" i="5"/>
  <c r="AO321" i="5"/>
  <c r="AI310" i="5"/>
  <c r="AQ310" i="5"/>
  <c r="U312" i="5"/>
  <c r="V317" i="5"/>
  <c r="Z322" i="5"/>
  <c r="N325" i="5"/>
  <c r="AC323" i="5"/>
  <c r="AO312" i="5"/>
  <c r="AC320" i="5"/>
  <c r="V320" i="5"/>
  <c r="AC317" i="5"/>
  <c r="AO315" i="5"/>
  <c r="AO318" i="5"/>
  <c r="V311" i="5"/>
  <c r="U327" i="5"/>
  <c r="Z325" i="5"/>
  <c r="AI313" i="5"/>
  <c r="U321" i="5"/>
  <c r="R317" i="5"/>
  <c r="AM315" i="5"/>
  <c r="R320" i="5"/>
  <c r="AK316" i="5"/>
  <c r="X324" i="5"/>
  <c r="AN321" i="5"/>
  <c r="R314" i="5"/>
  <c r="AK325" i="5"/>
  <c r="X318" i="5"/>
  <c r="AN312" i="5"/>
  <c r="N322" i="5"/>
  <c r="R323" i="5"/>
  <c r="AK328" i="5"/>
  <c r="AK319" i="5"/>
  <c r="X312" i="5"/>
  <c r="N316" i="5"/>
  <c r="R311" i="5"/>
  <c r="AK310" i="5"/>
  <c r="X327" i="5"/>
  <c r="N310" i="5"/>
  <c r="AN315" i="5"/>
  <c r="AQ313" i="5"/>
  <c r="AJ316" i="5"/>
  <c r="N319" i="5"/>
  <c r="AN324" i="5"/>
  <c r="AI200" i="5"/>
  <c r="AI165" i="5"/>
  <c r="AI326" i="5"/>
  <c r="AL166" i="5"/>
  <c r="AL201" i="5"/>
  <c r="AN170" i="5"/>
  <c r="AN205" i="5"/>
  <c r="AN331" i="5"/>
  <c r="AQ165" i="5"/>
  <c r="AQ200" i="5"/>
  <c r="AQ326" i="5"/>
  <c r="AM167" i="5"/>
  <c r="AM202" i="5"/>
  <c r="N313" i="5"/>
  <c r="M167" i="5"/>
  <c r="M202" i="5"/>
  <c r="W319" i="5"/>
  <c r="U165" i="5"/>
  <c r="U200" i="5"/>
  <c r="AG167" i="5"/>
  <c r="AG202" i="5"/>
  <c r="AG328" i="5"/>
  <c r="AE319" i="5"/>
  <c r="O317" i="5"/>
  <c r="AK317" i="5"/>
  <c r="Z321" i="5"/>
  <c r="AF171" i="5"/>
  <c r="AF206" i="5"/>
  <c r="AI199" i="5"/>
  <c r="AI164" i="5"/>
  <c r="AI325" i="5"/>
  <c r="M326" i="5"/>
  <c r="M165" i="5"/>
  <c r="M200" i="5"/>
  <c r="R319" i="5"/>
  <c r="AH329" i="5"/>
  <c r="T165" i="5"/>
  <c r="T200" i="5"/>
  <c r="AE326" i="5"/>
  <c r="V322" i="5"/>
  <c r="AL314" i="5"/>
  <c r="AL311" i="5"/>
  <c r="P312" i="5"/>
  <c r="R207" i="5"/>
  <c r="R172" i="5"/>
  <c r="AL202" i="5"/>
  <c r="AL167" i="5"/>
  <c r="O330" i="5"/>
  <c r="O312" i="5"/>
  <c r="AK201" i="5"/>
  <c r="AK166" i="5"/>
  <c r="AB164" i="5"/>
  <c r="AB199" i="5"/>
  <c r="AB325" i="5"/>
  <c r="Y167" i="5"/>
  <c r="Y202" i="5"/>
  <c r="Y328" i="5"/>
  <c r="AD168" i="5"/>
  <c r="AD203" i="5"/>
  <c r="R168" i="5"/>
  <c r="R203" i="5"/>
  <c r="W310" i="5"/>
  <c r="R329" i="5"/>
  <c r="V168" i="5"/>
  <c r="V203" i="5"/>
  <c r="V332" i="5" s="1"/>
  <c r="AJ164" i="5"/>
  <c r="AJ199" i="5"/>
  <c r="AJ325" i="5"/>
  <c r="AE310" i="5"/>
  <c r="AE328" i="5"/>
  <c r="AF170" i="5"/>
  <c r="AF205" i="5"/>
  <c r="AF331" i="5"/>
  <c r="T164" i="5"/>
  <c r="T199" i="5"/>
  <c r="T325" i="5"/>
  <c r="O326" i="5"/>
  <c r="AK320" i="5"/>
  <c r="AK326" i="5"/>
  <c r="Z333" i="5"/>
  <c r="M320" i="5"/>
  <c r="M311" i="5"/>
  <c r="V166" i="5"/>
  <c r="V201" i="5"/>
  <c r="M319" i="5"/>
  <c r="AH314" i="5"/>
  <c r="AE314" i="5"/>
  <c r="AE311" i="5"/>
  <c r="AD317" i="5"/>
  <c r="O315" i="5"/>
  <c r="AG171" i="5"/>
  <c r="AG206" i="5"/>
  <c r="Q204" i="5"/>
  <c r="Q169" i="5"/>
  <c r="AJ174" i="5"/>
  <c r="AJ209" i="5"/>
  <c r="AJ335" i="5"/>
  <c r="N164" i="5"/>
  <c r="N199" i="5"/>
  <c r="AE165" i="5"/>
  <c r="AE200" i="5"/>
  <c r="AE329" i="5" s="1"/>
  <c r="AP165" i="5"/>
  <c r="AP200" i="5"/>
  <c r="AP326" i="5"/>
  <c r="AH199" i="5"/>
  <c r="AH164" i="5"/>
  <c r="W328" i="5"/>
  <c r="AE313" i="5"/>
  <c r="AG172" i="5"/>
  <c r="AG207" i="5"/>
  <c r="O320" i="5"/>
  <c r="W169" i="5"/>
  <c r="W204" i="5"/>
  <c r="AM327" i="5"/>
  <c r="Z312" i="5"/>
  <c r="Z315" i="5"/>
  <c r="AO171" i="5"/>
  <c r="AO206" i="5"/>
  <c r="U326" i="5"/>
  <c r="X166" i="5"/>
  <c r="X201" i="5"/>
  <c r="M329" i="5"/>
  <c r="M328" i="5"/>
  <c r="M310" i="5"/>
  <c r="AH317" i="5"/>
  <c r="AH323" i="5"/>
  <c r="Y169" i="5"/>
  <c r="Y204" i="5"/>
  <c r="AO169" i="5"/>
  <c r="AO204" i="5"/>
  <c r="AE320" i="5"/>
  <c r="V316" i="5"/>
  <c r="X168" i="5"/>
  <c r="X203" i="5"/>
  <c r="X329" i="5"/>
  <c r="AL323" i="5"/>
  <c r="AD326" i="5"/>
  <c r="P315" i="5"/>
  <c r="O324" i="5"/>
  <c r="AN168" i="5"/>
  <c r="AN203" i="5"/>
  <c r="AN329" i="5"/>
  <c r="AO164" i="5"/>
  <c r="AO199" i="5"/>
  <c r="AO325" i="5"/>
  <c r="W322" i="5"/>
  <c r="AQ164" i="5"/>
  <c r="AQ199" i="5"/>
  <c r="AQ325" i="5"/>
  <c r="AE322" i="5"/>
  <c r="AM168" i="5"/>
  <c r="AM203" i="5"/>
  <c r="O323" i="5"/>
  <c r="O311" i="5"/>
  <c r="AK311" i="5"/>
  <c r="Z324" i="5"/>
  <c r="U202" i="5"/>
  <c r="U167" i="5"/>
  <c r="AI169" i="5"/>
  <c r="AI204" i="5"/>
  <c r="AI330" i="5"/>
  <c r="AC315" i="5"/>
  <c r="AH325" i="5"/>
  <c r="AA165" i="5"/>
  <c r="AA200" i="5"/>
  <c r="AA326" i="5"/>
  <c r="AC165" i="5"/>
  <c r="AC200" i="5"/>
  <c r="R322" i="5"/>
  <c r="M322" i="5"/>
  <c r="AM204" i="5"/>
  <c r="AM169" i="5"/>
  <c r="AH332" i="5"/>
  <c r="AH311" i="5"/>
  <c r="Z172" i="5"/>
  <c r="Z207" i="5"/>
  <c r="V325" i="5"/>
  <c r="AH172" i="5"/>
  <c r="AH207" i="5"/>
  <c r="AL332" i="5"/>
  <c r="P168" i="5"/>
  <c r="P203" i="5"/>
  <c r="P329" i="5"/>
  <c r="N168" i="5"/>
  <c r="N203" i="5"/>
  <c r="AE169" i="5"/>
  <c r="AE204" i="5"/>
  <c r="AC167" i="5"/>
  <c r="AC202" i="5"/>
  <c r="AJ201" i="5"/>
  <c r="AJ166" i="5"/>
  <c r="AJ327" i="5"/>
  <c r="T166" i="5"/>
  <c r="T201" i="5"/>
  <c r="W316" i="5"/>
  <c r="AE331" i="5"/>
  <c r="AM330" i="5"/>
  <c r="Z318" i="5"/>
  <c r="AC324" i="5"/>
  <c r="M314" i="5"/>
  <c r="R313" i="5"/>
  <c r="M331" i="5"/>
  <c r="W165" i="5"/>
  <c r="W200" i="5"/>
  <c r="AH326" i="5"/>
  <c r="AP207" i="5"/>
  <c r="AP172" i="5"/>
  <c r="AG333" i="5"/>
  <c r="AE323" i="5"/>
  <c r="V313" i="5"/>
  <c r="AD164" i="5"/>
  <c r="AD199" i="5"/>
  <c r="AL317" i="5"/>
  <c r="AD320" i="5"/>
  <c r="O318" i="5"/>
  <c r="AO330" i="5"/>
  <c r="W325" i="5"/>
  <c r="Q168" i="5"/>
  <c r="Q203" i="5"/>
  <c r="Q329" i="5"/>
  <c r="AK167" i="5"/>
  <c r="AK202" i="5"/>
  <c r="Y171" i="5"/>
  <c r="Y206" i="5"/>
  <c r="Y332" i="5"/>
  <c r="AE316" i="5"/>
  <c r="O314" i="5"/>
  <c r="S169" i="5"/>
  <c r="S204" i="5"/>
  <c r="S330" i="5"/>
  <c r="AK314" i="5"/>
  <c r="Z330" i="5"/>
  <c r="X205" i="5"/>
  <c r="X170" i="5"/>
  <c r="AB166" i="5"/>
  <c r="AB201" i="5"/>
  <c r="AB327" i="5"/>
  <c r="AC318" i="5"/>
  <c r="M323" i="5"/>
  <c r="Z168" i="5"/>
  <c r="Z203" i="5"/>
  <c r="R310" i="5"/>
  <c r="R316" i="5"/>
  <c r="M316" i="5"/>
  <c r="V319" i="5"/>
  <c r="AA164" i="5"/>
  <c r="AA199" i="5"/>
  <c r="AA325" i="5"/>
  <c r="AL326" i="5"/>
  <c r="AD314" i="5"/>
  <c r="AD311" i="5"/>
  <c r="P318" i="5"/>
  <c r="O327" i="5"/>
  <c r="W167" i="5"/>
  <c r="W202" i="5"/>
  <c r="W331" i="5" s="1"/>
  <c r="AF166" i="5"/>
  <c r="AF201" i="5"/>
  <c r="AP164" i="5"/>
  <c r="AP199" i="5"/>
  <c r="AP325" i="5"/>
  <c r="AB165" i="5"/>
  <c r="AB200" i="5"/>
  <c r="AB326" i="5"/>
  <c r="AE325" i="5"/>
  <c r="AK165" i="5"/>
  <c r="AK200" i="5"/>
  <c r="AK329" i="5" s="1"/>
  <c r="AN169" i="5"/>
  <c r="AN204" i="5"/>
  <c r="O167" i="5"/>
  <c r="O202" i="5"/>
  <c r="AK323" i="5"/>
  <c r="Z327" i="5"/>
  <c r="AC327" i="5"/>
  <c r="AC312" i="5"/>
  <c r="AQ166" i="5"/>
  <c r="AQ201" i="5"/>
  <c r="AQ327" i="5"/>
  <c r="AN330" i="5"/>
  <c r="R325" i="5"/>
  <c r="AM328" i="5"/>
  <c r="M313" i="5"/>
  <c r="O165" i="5"/>
  <c r="O200" i="5"/>
  <c r="O329" i="5" s="1"/>
  <c r="P170" i="5"/>
  <c r="P205" i="5"/>
  <c r="P331" i="5"/>
  <c r="N166" i="5"/>
  <c r="N201" i="5"/>
  <c r="V310" i="5"/>
  <c r="Q167" i="5"/>
  <c r="Q202" i="5"/>
  <c r="Q328" i="5"/>
  <c r="AD329" i="5"/>
  <c r="P327" i="5"/>
  <c r="AE170" i="5"/>
  <c r="AE205" i="5"/>
  <c r="AE334" i="5" s="1"/>
  <c r="AG332" i="5"/>
  <c r="V164" i="5"/>
  <c r="V199" i="5"/>
  <c r="M166" i="5"/>
  <c r="M201" i="5"/>
  <c r="O169" i="5"/>
  <c r="O204" i="5"/>
  <c r="Z164" i="5"/>
  <c r="Z199" i="5"/>
  <c r="S164" i="5"/>
  <c r="S199" i="5"/>
  <c r="S325" i="5"/>
  <c r="AL327" i="5"/>
  <c r="AC201" i="5"/>
  <c r="AC330" i="5" s="1"/>
  <c r="AC166" i="5"/>
  <c r="AL168" i="5"/>
  <c r="AL203" i="5"/>
  <c r="M327" i="5"/>
  <c r="AA169" i="5"/>
  <c r="AA204" i="5"/>
  <c r="AA330" i="5"/>
  <c r="AD169" i="5"/>
  <c r="AD204" i="5"/>
  <c r="U166" i="5"/>
  <c r="U201" i="5"/>
  <c r="AH171" i="5"/>
  <c r="AH206" i="5"/>
  <c r="AH335" i="5" s="1"/>
  <c r="N327" i="5"/>
  <c r="AC326" i="5"/>
  <c r="R199" i="5"/>
  <c r="R328" i="5" s="1"/>
  <c r="R164" i="5"/>
  <c r="AL329" i="5"/>
  <c r="P324" i="5"/>
  <c r="S200" i="5"/>
  <c r="S165" i="5"/>
  <c r="S326" i="5"/>
  <c r="P166" i="5"/>
  <c r="P201" i="5"/>
  <c r="O172" i="5" l="1"/>
  <c r="O207" i="5"/>
  <c r="AA202" i="5"/>
  <c r="AA167" i="5"/>
  <c r="AA328" i="5"/>
  <c r="W203" i="5"/>
  <c r="W168" i="5"/>
  <c r="W329" i="5"/>
  <c r="AG174" i="5"/>
  <c r="AG209" i="5"/>
  <c r="AG335" i="5"/>
  <c r="R175" i="5"/>
  <c r="R210" i="5"/>
  <c r="R336" i="5"/>
  <c r="AA172" i="5"/>
  <c r="AA207" i="5"/>
  <c r="AA333" i="5"/>
  <c r="AN172" i="5"/>
  <c r="AN207" i="5"/>
  <c r="AN333" i="5"/>
  <c r="X208" i="5"/>
  <c r="X173" i="5"/>
  <c r="X334" i="5"/>
  <c r="AO174" i="5"/>
  <c r="AO209" i="5"/>
  <c r="AO335" i="5"/>
  <c r="N167" i="5"/>
  <c r="N202" i="5"/>
  <c r="N328" i="5"/>
  <c r="AD171" i="5"/>
  <c r="AD206" i="5"/>
  <c r="AH174" i="5"/>
  <c r="AH209" i="5"/>
  <c r="S167" i="5"/>
  <c r="S202" i="5"/>
  <c r="S328" i="5"/>
  <c r="V202" i="5"/>
  <c r="V167" i="5"/>
  <c r="N169" i="5"/>
  <c r="N204" i="5"/>
  <c r="N330" i="5"/>
  <c r="V328" i="5"/>
  <c r="Y174" i="5"/>
  <c r="Y209" i="5"/>
  <c r="Y335" i="5"/>
  <c r="AC170" i="5"/>
  <c r="AC205" i="5"/>
  <c r="AC331" i="5"/>
  <c r="P171" i="5"/>
  <c r="P206" i="5"/>
  <c r="P332" i="5"/>
  <c r="Z175" i="5"/>
  <c r="Z210" i="5"/>
  <c r="V206" i="5"/>
  <c r="V171" i="5"/>
  <c r="AK169" i="5"/>
  <c r="AK204" i="5"/>
  <c r="AK330" i="5"/>
  <c r="AD332" i="5"/>
  <c r="M170" i="5"/>
  <c r="M205" i="5"/>
  <c r="AQ168" i="5"/>
  <c r="AQ203" i="5"/>
  <c r="AQ329" i="5"/>
  <c r="AD207" i="5"/>
  <c r="AD172" i="5"/>
  <c r="AD333" i="5"/>
  <c r="O170" i="5"/>
  <c r="O205" i="5"/>
  <c r="O331" i="5"/>
  <c r="AD167" i="5"/>
  <c r="AD202" i="5"/>
  <c r="AD328" i="5"/>
  <c r="S168" i="5"/>
  <c r="S203" i="5"/>
  <c r="S329" i="5"/>
  <c r="P169" i="5"/>
  <c r="P204" i="5"/>
  <c r="AE173" i="5"/>
  <c r="AE208" i="5"/>
  <c r="AP210" i="5"/>
  <c r="AP175" i="5"/>
  <c r="AP336" i="5"/>
  <c r="AC204" i="5"/>
  <c r="AC169" i="5"/>
  <c r="M169" i="5"/>
  <c r="M204" i="5"/>
  <c r="M330" i="5"/>
  <c r="O168" i="5"/>
  <c r="O203" i="5"/>
  <c r="Z171" i="5"/>
  <c r="Z206" i="5"/>
  <c r="Z332" i="5"/>
  <c r="AM172" i="5"/>
  <c r="AM207" i="5"/>
  <c r="AQ167" i="5"/>
  <c r="AQ202" i="5"/>
  <c r="AQ328" i="5"/>
  <c r="AK168" i="5"/>
  <c r="AK203" i="5"/>
  <c r="AP167" i="5"/>
  <c r="AP202" i="5"/>
  <c r="AP328" i="5"/>
  <c r="AC168" i="5"/>
  <c r="AC203" i="5"/>
  <c r="AC329" i="5"/>
  <c r="AO172" i="5"/>
  <c r="AO207" i="5"/>
  <c r="AO333" i="5"/>
  <c r="AG175" i="5"/>
  <c r="AG210" i="5"/>
  <c r="AG336" i="5"/>
  <c r="AH167" i="5"/>
  <c r="AH202" i="5"/>
  <c r="AH328" i="5"/>
  <c r="P330" i="5"/>
  <c r="AF173" i="5"/>
  <c r="AF208" i="5"/>
  <c r="AF334" i="5"/>
  <c r="AI167" i="5"/>
  <c r="AI202" i="5"/>
  <c r="AI328" i="5"/>
  <c r="AI203" i="5"/>
  <c r="AI168" i="5"/>
  <c r="AI329" i="5"/>
  <c r="U169" i="5"/>
  <c r="U204" i="5"/>
  <c r="U330" i="5"/>
  <c r="AL171" i="5"/>
  <c r="AL206" i="5"/>
  <c r="Z167" i="5"/>
  <c r="Z202" i="5"/>
  <c r="Z328" i="5"/>
  <c r="AK170" i="5"/>
  <c r="AK205" i="5"/>
  <c r="AK331" i="5"/>
  <c r="O333" i="5"/>
  <c r="AI172" i="5"/>
  <c r="AI207" i="5"/>
  <c r="AI333" i="5"/>
  <c r="AM171" i="5"/>
  <c r="AM206" i="5"/>
  <c r="AM332" i="5"/>
  <c r="AO167" i="5"/>
  <c r="AO202" i="5"/>
  <c r="AO328" i="5"/>
  <c r="AJ177" i="5"/>
  <c r="AJ338" i="5"/>
  <c r="Y170" i="5"/>
  <c r="Y205" i="5"/>
  <c r="Y331" i="5"/>
  <c r="M168" i="5"/>
  <c r="M203" i="5"/>
  <c r="AF174" i="5"/>
  <c r="AF209" i="5"/>
  <c r="AF335" i="5"/>
  <c r="Z336" i="5"/>
  <c r="Q170" i="5"/>
  <c r="Q205" i="5"/>
  <c r="Q331" i="5"/>
  <c r="P208" i="5"/>
  <c r="P173" i="5"/>
  <c r="P334" i="5"/>
  <c r="AF204" i="5"/>
  <c r="AF169" i="5"/>
  <c r="AF330" i="5"/>
  <c r="S207" i="5"/>
  <c r="S172" i="5"/>
  <c r="S333" i="5"/>
  <c r="T169" i="5"/>
  <c r="T204" i="5"/>
  <c r="T330" i="5"/>
  <c r="AE172" i="5"/>
  <c r="AE207" i="5"/>
  <c r="AE333" i="5"/>
  <c r="Y172" i="5"/>
  <c r="Y207" i="5"/>
  <c r="Y333" i="5"/>
  <c r="AP168" i="5"/>
  <c r="AP203" i="5"/>
  <c r="AP329" i="5"/>
  <c r="V169" i="5"/>
  <c r="V204" i="5"/>
  <c r="V330" i="5"/>
  <c r="AG170" i="5"/>
  <c r="AG205" i="5"/>
  <c r="AG331" i="5"/>
  <c r="AN173" i="5"/>
  <c r="AN208" i="5"/>
  <c r="AN334" i="5"/>
  <c r="AA168" i="5"/>
  <c r="AA203" i="5"/>
  <c r="AA329" i="5"/>
  <c r="X171" i="5"/>
  <c r="X206" i="5"/>
  <c r="X332" i="5"/>
  <c r="X169" i="5"/>
  <c r="X204" i="5"/>
  <c r="X330" i="5"/>
  <c r="W172" i="5"/>
  <c r="W207" i="5"/>
  <c r="W333" i="5"/>
  <c r="AL170" i="5"/>
  <c r="AL205" i="5"/>
  <c r="AL331" i="5"/>
  <c r="AM170" i="5"/>
  <c r="AM205" i="5"/>
  <c r="AM331" i="5"/>
  <c r="AB169" i="5"/>
  <c r="AB204" i="5"/>
  <c r="AB330" i="5"/>
  <c r="R167" i="5"/>
  <c r="R202" i="5"/>
  <c r="Q171" i="5"/>
  <c r="Q206" i="5"/>
  <c r="Q332" i="5"/>
  <c r="N171" i="5"/>
  <c r="N206" i="5"/>
  <c r="N332" i="5"/>
  <c r="AN171" i="5"/>
  <c r="AN206" i="5"/>
  <c r="AN332" i="5"/>
  <c r="AE203" i="5"/>
  <c r="AE168" i="5"/>
  <c r="Q172" i="5"/>
  <c r="Q207" i="5"/>
  <c r="Q333" i="5"/>
  <c r="R171" i="5"/>
  <c r="R206" i="5"/>
  <c r="R332" i="5"/>
  <c r="AB167" i="5"/>
  <c r="AB202" i="5"/>
  <c r="AB328" i="5"/>
  <c r="T168" i="5"/>
  <c r="T203" i="5"/>
  <c r="T329" i="5"/>
  <c r="AM333" i="5"/>
  <c r="U168" i="5"/>
  <c r="U203" i="5"/>
  <c r="U329" i="5"/>
  <c r="AL169" i="5"/>
  <c r="AL204" i="5"/>
  <c r="AL330" i="5"/>
  <c r="AH175" i="5"/>
  <c r="AH210" i="5"/>
  <c r="AH336" i="5"/>
  <c r="AQ169" i="5"/>
  <c r="AQ204" i="5"/>
  <c r="AQ330" i="5"/>
  <c r="T167" i="5"/>
  <c r="T202" i="5"/>
  <c r="T328" i="5"/>
  <c r="AJ167" i="5"/>
  <c r="AJ202" i="5"/>
  <c r="AJ328" i="5"/>
  <c r="W170" i="5"/>
  <c r="W205" i="5"/>
  <c r="U205" i="5"/>
  <c r="U170" i="5"/>
  <c r="U331" i="5"/>
  <c r="AB168" i="5"/>
  <c r="AB203" i="5"/>
  <c r="AB329" i="5"/>
  <c r="AJ169" i="5"/>
  <c r="AJ204" i="5"/>
  <c r="AJ330" i="5"/>
  <c r="AQ172" i="5" l="1"/>
  <c r="AQ207" i="5"/>
  <c r="AQ333" i="5"/>
  <c r="AB170" i="5"/>
  <c r="AB205" i="5"/>
  <c r="AB331" i="5"/>
  <c r="AA171" i="5"/>
  <c r="AA206" i="5"/>
  <c r="AA332" i="5"/>
  <c r="AE176" i="5"/>
  <c r="AE337" i="5"/>
  <c r="AD170" i="5"/>
  <c r="AD205" i="5"/>
  <c r="AD331" i="5"/>
  <c r="N172" i="5"/>
  <c r="N207" i="5"/>
  <c r="N333" i="5"/>
  <c r="AA175" i="5"/>
  <c r="AA210" i="5"/>
  <c r="AA336" i="5"/>
  <c r="U171" i="5"/>
  <c r="U206" i="5"/>
  <c r="U332" i="5"/>
  <c r="AE171" i="5"/>
  <c r="AE206" i="5"/>
  <c r="AE332" i="5"/>
  <c r="Q174" i="5"/>
  <c r="Q209" i="5"/>
  <c r="Q335" i="5"/>
  <c r="AM208" i="5"/>
  <c r="AM173" i="5"/>
  <c r="AM334" i="5"/>
  <c r="V172" i="5"/>
  <c r="V207" i="5"/>
  <c r="V333" i="5"/>
  <c r="S175" i="5"/>
  <c r="S210" i="5"/>
  <c r="S336" i="5"/>
  <c r="Q173" i="5"/>
  <c r="Q208" i="5"/>
  <c r="Q334" i="5"/>
  <c r="AK208" i="5"/>
  <c r="AK173" i="5"/>
  <c r="AK334" i="5"/>
  <c r="U172" i="5"/>
  <c r="U207" i="5"/>
  <c r="U333" i="5"/>
  <c r="AG178" i="5"/>
  <c r="AG339" i="5"/>
  <c r="AM175" i="5"/>
  <c r="AM210" i="5"/>
  <c r="AM336" i="5"/>
  <c r="M172" i="5"/>
  <c r="M207" i="5"/>
  <c r="M333" i="5"/>
  <c r="AQ206" i="5"/>
  <c r="AQ171" i="5"/>
  <c r="AQ332" i="5"/>
  <c r="AC173" i="5"/>
  <c r="AC208" i="5"/>
  <c r="AC334" i="5"/>
  <c r="AD209" i="5"/>
  <c r="AD174" i="5"/>
  <c r="AD335" i="5"/>
  <c r="AB171" i="5"/>
  <c r="AB206" i="5"/>
  <c r="AB332" i="5"/>
  <c r="AJ170" i="5"/>
  <c r="AJ205" i="5"/>
  <c r="AJ331" i="5"/>
  <c r="X172" i="5"/>
  <c r="X207" i="5"/>
  <c r="X333" i="5"/>
  <c r="AE210" i="5"/>
  <c r="AE175" i="5"/>
  <c r="AE336" i="5"/>
  <c r="Y173" i="5"/>
  <c r="Y208" i="5"/>
  <c r="Y334" i="5"/>
  <c r="AM174" i="5"/>
  <c r="AM209" i="5"/>
  <c r="AM335" i="5"/>
  <c r="AF176" i="5"/>
  <c r="AF337" i="5"/>
  <c r="AP170" i="5"/>
  <c r="AP205" i="5"/>
  <c r="AP331" i="5"/>
  <c r="P172" i="5"/>
  <c r="P207" i="5"/>
  <c r="P333" i="5"/>
  <c r="V174" i="5"/>
  <c r="V209" i="5"/>
  <c r="V335" i="5"/>
  <c r="W171" i="5"/>
  <c r="W206" i="5"/>
  <c r="W332" i="5"/>
  <c r="AH178" i="5"/>
  <c r="AH339" i="5"/>
  <c r="R174" i="5"/>
  <c r="R209" i="5"/>
  <c r="R335" i="5"/>
  <c r="AN209" i="5"/>
  <c r="AN174" i="5"/>
  <c r="AN335" i="5"/>
  <c r="R205" i="5"/>
  <c r="R170" i="5"/>
  <c r="R331" i="5"/>
  <c r="AN176" i="5"/>
  <c r="AN337" i="5"/>
  <c r="O173" i="5"/>
  <c r="O208" i="5"/>
  <c r="O334" i="5"/>
  <c r="M173" i="5"/>
  <c r="M208" i="5"/>
  <c r="M334" i="5"/>
  <c r="Z178" i="5"/>
  <c r="Z339" i="5"/>
  <c r="V170" i="5"/>
  <c r="V205" i="5"/>
  <c r="V331" i="5"/>
  <c r="X176" i="5"/>
  <c r="X337" i="5"/>
  <c r="R178" i="5"/>
  <c r="R339" i="5"/>
  <c r="AL173" i="5"/>
  <c r="AL208" i="5"/>
  <c r="AL334" i="5"/>
  <c r="AP171" i="5"/>
  <c r="AP206" i="5"/>
  <c r="AP332" i="5"/>
  <c r="AF207" i="5"/>
  <c r="AF172" i="5"/>
  <c r="AF333" i="5"/>
  <c r="Z170" i="5"/>
  <c r="Z205" i="5"/>
  <c r="Z331" i="5"/>
  <c r="AO175" i="5"/>
  <c r="AO210" i="5"/>
  <c r="AO336" i="5"/>
  <c r="AK206" i="5"/>
  <c r="AK171" i="5"/>
  <c r="AK332" i="5"/>
  <c r="Z174" i="5"/>
  <c r="Z209" i="5"/>
  <c r="Z335" i="5"/>
  <c r="AC172" i="5"/>
  <c r="AC207" i="5"/>
  <c r="AC333" i="5"/>
  <c r="Y177" i="5"/>
  <c r="Y338" i="5"/>
  <c r="N170" i="5"/>
  <c r="N205" i="5"/>
  <c r="N331" i="5"/>
  <c r="T170" i="5"/>
  <c r="T205" i="5"/>
  <c r="T331" i="5"/>
  <c r="T171" i="5"/>
  <c r="T206" i="5"/>
  <c r="T332" i="5"/>
  <c r="X174" i="5"/>
  <c r="X209" i="5"/>
  <c r="X335" i="5"/>
  <c r="T172" i="5"/>
  <c r="T207" i="5"/>
  <c r="T333" i="5"/>
  <c r="AF177" i="5"/>
  <c r="AF338" i="5"/>
  <c r="AI175" i="5"/>
  <c r="AI210" i="5"/>
  <c r="AI336" i="5"/>
  <c r="AI171" i="5"/>
  <c r="AI206" i="5"/>
  <c r="AI332" i="5"/>
  <c r="S206" i="5"/>
  <c r="S171" i="5"/>
  <c r="S332" i="5"/>
  <c r="S170" i="5"/>
  <c r="S205" i="5"/>
  <c r="S331" i="5"/>
  <c r="AN175" i="5"/>
  <c r="AN210" i="5"/>
  <c r="AN336" i="5"/>
  <c r="AA170" i="5"/>
  <c r="AA205" i="5"/>
  <c r="AA331" i="5"/>
  <c r="U173" i="5"/>
  <c r="U208" i="5"/>
  <c r="U334" i="5"/>
  <c r="AL207" i="5"/>
  <c r="AL172" i="5"/>
  <c r="AL333" i="5"/>
  <c r="Q210" i="5"/>
  <c r="Q175" i="5"/>
  <c r="Q336" i="5"/>
  <c r="N174" i="5"/>
  <c r="N209" i="5"/>
  <c r="N335" i="5"/>
  <c r="AB172" i="5"/>
  <c r="AB207" i="5"/>
  <c r="AB333" i="5"/>
  <c r="AG173" i="5"/>
  <c r="AG208" i="5"/>
  <c r="AG334" i="5"/>
  <c r="AL174" i="5"/>
  <c r="AL209" i="5"/>
  <c r="AL335" i="5"/>
  <c r="AH170" i="5"/>
  <c r="AH205" i="5"/>
  <c r="AH331" i="5"/>
  <c r="O171" i="5"/>
  <c r="O206" i="5"/>
  <c r="O332" i="5"/>
  <c r="P209" i="5"/>
  <c r="P174" i="5"/>
  <c r="P335" i="5"/>
  <c r="AG177" i="5"/>
  <c r="AG338" i="5"/>
  <c r="O175" i="5"/>
  <c r="O210" i="5"/>
  <c r="O336" i="5"/>
  <c r="AJ172" i="5"/>
  <c r="AJ207" i="5"/>
  <c r="AJ333" i="5"/>
  <c r="W173" i="5"/>
  <c r="W208" i="5"/>
  <c r="W334" i="5"/>
  <c r="W175" i="5"/>
  <c r="W210" i="5"/>
  <c r="W336" i="5"/>
  <c r="Y175" i="5"/>
  <c r="Y210" i="5"/>
  <c r="Y336" i="5"/>
  <c r="P176" i="5"/>
  <c r="P337" i="5"/>
  <c r="M171" i="5"/>
  <c r="M206" i="5"/>
  <c r="M332" i="5"/>
  <c r="AO205" i="5"/>
  <c r="AO170" i="5"/>
  <c r="AO331" i="5"/>
  <c r="AI170" i="5"/>
  <c r="AI205" i="5"/>
  <c r="AI331" i="5"/>
  <c r="AC171" i="5"/>
  <c r="AC206" i="5"/>
  <c r="AC332" i="5"/>
  <c r="AQ170" i="5"/>
  <c r="AQ205" i="5"/>
  <c r="AQ331" i="5"/>
  <c r="AP178" i="5"/>
  <c r="AP339" i="5"/>
  <c r="AD210" i="5"/>
  <c r="AD175" i="5"/>
  <c r="AD336" i="5"/>
  <c r="AK172" i="5"/>
  <c r="AK207" i="5"/>
  <c r="AK333" i="5"/>
  <c r="AH177" i="5"/>
  <c r="AH338" i="5"/>
  <c r="AO177" i="5"/>
  <c r="AO338" i="5"/>
  <c r="AK175" i="5" l="1"/>
  <c r="AK210" i="5"/>
  <c r="AK336" i="5"/>
  <c r="AQ208" i="5"/>
  <c r="AQ173" i="5"/>
  <c r="AQ334" i="5"/>
  <c r="AH173" i="5"/>
  <c r="AH208" i="5"/>
  <c r="AH334" i="5"/>
  <c r="Q178" i="5"/>
  <c r="Q339" i="5"/>
  <c r="AA173" i="5"/>
  <c r="AA208" i="5"/>
  <c r="AA334" i="5"/>
  <c r="N173" i="5"/>
  <c r="N208" i="5"/>
  <c r="N334" i="5"/>
  <c r="Z177" i="5"/>
  <c r="Z338" i="5"/>
  <c r="X175" i="5"/>
  <c r="X210" i="5"/>
  <c r="X336" i="5"/>
  <c r="AQ174" i="5"/>
  <c r="AQ209" i="5"/>
  <c r="AQ335" i="5"/>
  <c r="Q176" i="5"/>
  <c r="Q337" i="5"/>
  <c r="N210" i="5"/>
  <c r="N175" i="5"/>
  <c r="N336" i="5"/>
  <c r="AA174" i="5"/>
  <c r="AA209" i="5"/>
  <c r="AA335" i="5"/>
  <c r="Y178" i="5"/>
  <c r="Y339" i="5"/>
  <c r="AB175" i="5"/>
  <c r="AB210" i="5"/>
  <c r="AB336" i="5"/>
  <c r="Z173" i="5"/>
  <c r="Z208" i="5"/>
  <c r="Z334" i="5"/>
  <c r="V173" i="5"/>
  <c r="V208" i="5"/>
  <c r="V334" i="5"/>
  <c r="O176" i="5"/>
  <c r="O337" i="5"/>
  <c r="W174" i="5"/>
  <c r="W209" i="5"/>
  <c r="W335" i="5"/>
  <c r="AO173" i="5"/>
  <c r="AO208" i="5"/>
  <c r="AO334" i="5"/>
  <c r="AJ175" i="5"/>
  <c r="AJ210" i="5"/>
  <c r="AJ336" i="5"/>
  <c r="S174" i="5"/>
  <c r="S209" i="5"/>
  <c r="S335" i="5"/>
  <c r="T209" i="5"/>
  <c r="T174" i="5"/>
  <c r="T335" i="5"/>
  <c r="AL176" i="5"/>
  <c r="AL337" i="5"/>
  <c r="AN177" i="5"/>
  <c r="AN338" i="5"/>
  <c r="AP173" i="5"/>
  <c r="AP208" i="5"/>
  <c r="AP334" i="5"/>
  <c r="Y176" i="5"/>
  <c r="Y337" i="5"/>
  <c r="AD177" i="5"/>
  <c r="AD338" i="5"/>
  <c r="M175" i="5"/>
  <c r="M210" i="5"/>
  <c r="M336" i="5"/>
  <c r="U175" i="5"/>
  <c r="U210" i="5"/>
  <c r="U336" i="5"/>
  <c r="AM176" i="5"/>
  <c r="AM337" i="5"/>
  <c r="U209" i="5"/>
  <c r="U174" i="5"/>
  <c r="U335" i="5"/>
  <c r="AC209" i="5"/>
  <c r="AC174" i="5"/>
  <c r="AC335" i="5"/>
  <c r="P177" i="5"/>
  <c r="P338" i="5"/>
  <c r="AL177" i="5"/>
  <c r="AL338" i="5"/>
  <c r="AL175" i="5"/>
  <c r="AL210" i="5"/>
  <c r="AL336" i="5"/>
  <c r="AN178" i="5"/>
  <c r="AN339" i="5"/>
  <c r="AJ208" i="5"/>
  <c r="AJ173" i="5"/>
  <c r="AJ334" i="5"/>
  <c r="S178" i="5"/>
  <c r="S339" i="5"/>
  <c r="AD173" i="5"/>
  <c r="AD208" i="5"/>
  <c r="AD334" i="5"/>
  <c r="AB173" i="5"/>
  <c r="AB208" i="5"/>
  <c r="AB334" i="5"/>
  <c r="AD178" i="5"/>
  <c r="AD339" i="5"/>
  <c r="M174" i="5"/>
  <c r="M209" i="5"/>
  <c r="M335" i="5"/>
  <c r="W178" i="5"/>
  <c r="W339" i="5"/>
  <c r="N177" i="5"/>
  <c r="N338" i="5"/>
  <c r="AI174" i="5"/>
  <c r="AI209" i="5"/>
  <c r="AI335" i="5"/>
  <c r="T175" i="5"/>
  <c r="T210" i="5"/>
  <c r="T336" i="5"/>
  <c r="AK174" i="5"/>
  <c r="AK209" i="5"/>
  <c r="AK335" i="5"/>
  <c r="R177" i="5"/>
  <c r="R338" i="5"/>
  <c r="V177" i="5"/>
  <c r="V338" i="5"/>
  <c r="AC176" i="5"/>
  <c r="AC337" i="5"/>
  <c r="Q177" i="5"/>
  <c r="Q338" i="5"/>
  <c r="O178" i="5"/>
  <c r="O339" i="5"/>
  <c r="O174" i="5"/>
  <c r="O209" i="5"/>
  <c r="O335" i="5"/>
  <c r="U176" i="5"/>
  <c r="U337" i="5"/>
  <c r="T173" i="5"/>
  <c r="T208" i="5"/>
  <c r="T334" i="5"/>
  <c r="AC210" i="5"/>
  <c r="AC175" i="5"/>
  <c r="AC336" i="5"/>
  <c r="AF175" i="5"/>
  <c r="AF210" i="5"/>
  <c r="AF336" i="5"/>
  <c r="AM178" i="5"/>
  <c r="AM339" i="5"/>
  <c r="AA178" i="5"/>
  <c r="AA339" i="5"/>
  <c r="AI208" i="5"/>
  <c r="AI173" i="5"/>
  <c r="AI334" i="5"/>
  <c r="AG176" i="5"/>
  <c r="AG337" i="5"/>
  <c r="S173" i="5"/>
  <c r="S208" i="5"/>
  <c r="S334" i="5"/>
  <c r="AO178" i="5"/>
  <c r="AO339" i="5"/>
  <c r="M176" i="5"/>
  <c r="M337" i="5"/>
  <c r="AE178" i="5"/>
  <c r="AE339" i="5"/>
  <c r="AB209" i="5"/>
  <c r="AB174" i="5"/>
  <c r="AB335" i="5"/>
  <c r="AK176" i="5"/>
  <c r="AK337" i="5"/>
  <c r="V175" i="5"/>
  <c r="V210" i="5"/>
  <c r="V336" i="5"/>
  <c r="AQ175" i="5"/>
  <c r="AQ210" i="5"/>
  <c r="AQ336" i="5"/>
  <c r="W176" i="5"/>
  <c r="W337" i="5"/>
  <c r="AI178" i="5"/>
  <c r="AI339" i="5"/>
  <c r="X177" i="5"/>
  <c r="X338" i="5"/>
  <c r="AP174" i="5"/>
  <c r="AP209" i="5"/>
  <c r="AP335" i="5"/>
  <c r="R173" i="5"/>
  <c r="R208" i="5"/>
  <c r="R334" i="5"/>
  <c r="P175" i="5"/>
  <c r="P210" i="5"/>
  <c r="P336" i="5"/>
  <c r="AM177" i="5"/>
  <c r="AM338" i="5"/>
  <c r="AE209" i="5"/>
  <c r="AE174" i="5"/>
  <c r="AE335" i="5"/>
  <c r="AQ178" i="5" l="1"/>
  <c r="AQ339" i="5"/>
  <c r="O177" i="5"/>
  <c r="O338" i="5"/>
  <c r="T178" i="5"/>
  <c r="T339" i="5"/>
  <c r="AJ176" i="5"/>
  <c r="AJ337" i="5"/>
  <c r="W177" i="5"/>
  <c r="W338" i="5"/>
  <c r="Z176" i="5"/>
  <c r="Z337" i="5"/>
  <c r="AA177" i="5"/>
  <c r="AA338" i="5"/>
  <c r="AQ177" i="5"/>
  <c r="AQ338" i="5"/>
  <c r="N176" i="5"/>
  <c r="N337" i="5"/>
  <c r="AH176" i="5"/>
  <c r="AH337" i="5"/>
  <c r="P178" i="5"/>
  <c r="P339" i="5"/>
  <c r="AB177" i="5"/>
  <c r="AB338" i="5"/>
  <c r="S176" i="5"/>
  <c r="S337" i="5"/>
  <c r="AC178" i="5"/>
  <c r="AC339" i="5"/>
  <c r="M177" i="5"/>
  <c r="M338" i="5"/>
  <c r="AD176" i="5"/>
  <c r="AD337" i="5"/>
  <c r="AJ178" i="5"/>
  <c r="AJ339" i="5"/>
  <c r="V178" i="5"/>
  <c r="V339" i="5"/>
  <c r="T176" i="5"/>
  <c r="T337" i="5"/>
  <c r="AI177" i="5"/>
  <c r="AI338" i="5"/>
  <c r="U178" i="5"/>
  <c r="U339" i="5"/>
  <c r="AB178" i="5"/>
  <c r="AB339" i="5"/>
  <c r="X178" i="5"/>
  <c r="X339" i="5"/>
  <c r="AA176" i="5"/>
  <c r="AA337" i="5"/>
  <c r="R176" i="5"/>
  <c r="R337" i="5"/>
  <c r="AL178" i="5"/>
  <c r="AL339" i="5"/>
  <c r="AC177" i="5"/>
  <c r="AC338" i="5"/>
  <c r="N178" i="5"/>
  <c r="N339" i="5"/>
  <c r="AQ176" i="5"/>
  <c r="AQ337" i="5"/>
  <c r="AE177" i="5"/>
  <c r="AE338" i="5"/>
  <c r="AF178" i="5"/>
  <c r="AF339" i="5"/>
  <c r="AK177" i="5"/>
  <c r="AK338" i="5"/>
  <c r="AP176" i="5"/>
  <c r="AP337" i="5"/>
  <c r="T177" i="5"/>
  <c r="T338" i="5"/>
  <c r="AO176" i="5"/>
  <c r="AO337" i="5"/>
  <c r="V176" i="5"/>
  <c r="V337" i="5"/>
  <c r="M178" i="5"/>
  <c r="M339" i="5"/>
  <c r="AK178" i="5"/>
  <c r="AK339" i="5"/>
  <c r="AP177" i="5"/>
  <c r="AP338" i="5"/>
  <c r="AI176" i="5"/>
  <c r="AI337" i="5"/>
  <c r="AB176" i="5"/>
  <c r="AB337" i="5"/>
  <c r="U177" i="5"/>
  <c r="U338" i="5"/>
  <c r="S177" i="5"/>
  <c r="S338" i="5"/>
</calcChain>
</file>

<file path=xl/sharedStrings.xml><?xml version="1.0" encoding="utf-8"?>
<sst xmlns="http://schemas.openxmlformats.org/spreadsheetml/2006/main" count="738" uniqueCount="157">
  <si>
    <t>DSCF Distributed Solar Capacity Factor</t>
  </si>
  <si>
    <t>Source:</t>
  </si>
  <si>
    <t>X</t>
  </si>
  <si>
    <t>Techno-Economic Cost and Performance Parameters</t>
  </si>
  <si>
    <t>Net Capacity Factor (%)</t>
  </si>
  <si>
    <t>Future Projections</t>
  </si>
  <si>
    <t>NREL</t>
  </si>
  <si>
    <t>"Solar - PV Dist. Res" tab</t>
  </si>
  <si>
    <t>Capacity Factor (dimensionless)</t>
  </si>
  <si>
    <t>https://atb.nrel.gov/</t>
  </si>
  <si>
    <t>Notes</t>
  </si>
  <si>
    <t>We use the ATB "Moderate" case</t>
  </si>
  <si>
    <t>Basis Year</t>
  </si>
  <si>
    <t>Residential PV - Class 10 - Advanced</t>
  </si>
  <si>
    <t>Residential PV - Class 10 - Moderate</t>
  </si>
  <si>
    <t>Residential PV - Class 10 - Conservative</t>
  </si>
  <si>
    <t>Residential PV - Class 9 - Advanced</t>
  </si>
  <si>
    <t>Residential PV - Class 9 - Moderate</t>
  </si>
  <si>
    <t>Residential PV - Class 9 - Conservative</t>
  </si>
  <si>
    <t>Residential PV - Class 8 - Advanced</t>
  </si>
  <si>
    <t>Residential PV - Class 8 - Moderate</t>
  </si>
  <si>
    <t>Residential PV - Class 8 - Conservative</t>
  </si>
  <si>
    <t>Residential PV - Class 7 - Advanced</t>
  </si>
  <si>
    <t>Residential PV - Class 7 - Moderate</t>
  </si>
  <si>
    <t>Residential PV - Class 7 - Conservative</t>
  </si>
  <si>
    <t>Residential PV - Class 6 - Advanced</t>
  </si>
  <si>
    <t>Residential PV - Class 6 - Moderate</t>
  </si>
  <si>
    <t>Residential PV - Class 6 - Conservative</t>
  </si>
  <si>
    <t>Residential PV - Class 5 - Advanced</t>
  </si>
  <si>
    <t>Residential PV - Class 5 - Moderate</t>
  </si>
  <si>
    <t>Residential PV - Class 5 - Conservative</t>
  </si>
  <si>
    <t>Residential PV - Class 4 - Advanced</t>
  </si>
  <si>
    <t>Residential PV - Class 4 - Moderate</t>
  </si>
  <si>
    <t>Residential PV - Class 4 - Conservative</t>
  </si>
  <si>
    <t>Residential PV - Class 3 - Advanced</t>
  </si>
  <si>
    <t>Residential PV - Class 3 - Moderate</t>
  </si>
  <si>
    <t>Residential PV - Class 3 - Conservative</t>
  </si>
  <si>
    <t>Residential PV - Class 2 - Advanced</t>
  </si>
  <si>
    <t>Residential PV - Class 2 - Moderate</t>
  </si>
  <si>
    <t>Residential PV - Class 2 - Conservative</t>
  </si>
  <si>
    <t>Residential PV - Class 1 - Advanced</t>
  </si>
  <si>
    <t>Residential PV - Class 1 - Moderate</t>
  </si>
  <si>
    <t>Residential PV - Class 1 - Conservative</t>
  </si>
  <si>
    <t>Annual Technology Baseline 2021, Annual Technology Baseline 2022</t>
  </si>
  <si>
    <t>2021, 2022</t>
  </si>
  <si>
    <t>N/A</t>
  </si>
  <si>
    <t>Grid Connection Cost ($/kW)</t>
  </si>
  <si>
    <t>Variable Operating Expenses ($/MWh)</t>
  </si>
  <si>
    <t>NREL internal modeling  See accompanying ATB presentation for more information.</t>
  </si>
  <si>
    <t>Fixed Operating Expenses ($/kW-yr)</t>
  </si>
  <si>
    <t>Overnight Capital Cost ($/kW)</t>
  </si>
  <si>
    <t>NREL internal modeling taking into account improvements in degradation and increases in energy yield.  See accompanying ATB presentation for more information.</t>
  </si>
  <si>
    <t>Future Projections Costs:</t>
  </si>
  <si>
    <t>Spur Line Cost ($/kW)</t>
  </si>
  <si>
    <t>U.S. Solar Photovoltaic System and Energy Storage Cost Benchmarks: Q1 2021. Golden, CO: National Renewable Energy Laboratory</t>
  </si>
  <si>
    <t>V. Ramasamy, D. Feldman, J. Desai, and R. Margolis. 2021.</t>
  </si>
  <si>
    <t>NREL. PVWATTS v5. Representative of national range of capacity factors.</t>
  </si>
  <si>
    <t>Rooftop Solar Photovoltaic Technical Potential in the United States: A Detailed Assessment. NREL TP-6A20-65298</t>
  </si>
  <si>
    <t xml:space="preserve">Pieter Gagnon, Robert Margolis, Jennifer Melius, Caleb Phillips, Ryan Elmore. (2016). </t>
  </si>
  <si>
    <t>Available Capacity (GW)</t>
  </si>
  <si>
    <t>Current Costs:</t>
  </si>
  <si>
    <t>Data Sources for Default Inputs</t>
  </si>
  <si>
    <t>Conservative</t>
  </si>
  <si>
    <t>Accumulated Equity Cost - Year 3</t>
  </si>
  <si>
    <t>Accumulated Equity Cost - Year 2</t>
  </si>
  <si>
    <t>Accumulated Equity Cost - Year 1</t>
  </si>
  <si>
    <t>Moderate</t>
  </si>
  <si>
    <t>Advanced</t>
  </si>
  <si>
    <t>*</t>
  </si>
  <si>
    <t>Accumulated Interest - Year 3</t>
  </si>
  <si>
    <t>Accumulated Interest - Year 2</t>
  </si>
  <si>
    <t>Accumulated Interest - Year 1</t>
  </si>
  <si>
    <t>CFF</t>
  </si>
  <si>
    <t>Construction Finance Factor</t>
  </si>
  <si>
    <t>Year (Conservative)</t>
  </si>
  <si>
    <t>Year (Moderate)</t>
  </si>
  <si>
    <t>Depreciation Factor</t>
  </si>
  <si>
    <t>Year (Advanced)</t>
  </si>
  <si>
    <t>MACRS</t>
  </si>
  <si>
    <t>PFF</t>
  </si>
  <si>
    <t>PVD</t>
  </si>
  <si>
    <t>ITC Schedule</t>
  </si>
  <si>
    <t>10 year CRF</t>
  </si>
  <si>
    <t>Tax Credit</t>
  </si>
  <si>
    <t>Additional Factors</t>
  </si>
  <si>
    <t>Residential PV - Class 1</t>
  </si>
  <si>
    <t>Residential PV - Class 2</t>
  </si>
  <si>
    <t>Residential PV - Class 3</t>
  </si>
  <si>
    <t>Residential PV - Class 4</t>
  </si>
  <si>
    <t>Residential PV - Class 5</t>
  </si>
  <si>
    <t>Residential PV - Class 6</t>
  </si>
  <si>
    <t>Residential PV - Class 7</t>
  </si>
  <si>
    <t>Residential PV - Class 8</t>
  </si>
  <si>
    <t>Residential PV - Class 9</t>
  </si>
  <si>
    <t>Residential PV - Class 10</t>
  </si>
  <si>
    <t>Levelized Cost of Energy ($/MWh)</t>
  </si>
  <si>
    <t>LCOE</t>
  </si>
  <si>
    <t>Grid Connection Costs (GCC) ($/kW)</t>
  </si>
  <si>
    <t>Grid Connection Costs</t>
  </si>
  <si>
    <t xml:space="preserve"> </t>
  </si>
  <si>
    <t>Variable Operation and Maintenance Expenses ($/MWh)</t>
  </si>
  <si>
    <t>Fixed Operation and Maintenance Expenses ($/kW-yr)</t>
  </si>
  <si>
    <t>CAPEX ($/kW)</t>
  </si>
  <si>
    <t>Annual Energy Production (kWh/kW)</t>
  </si>
  <si>
    <t>Base Year</t>
  </si>
  <si>
    <t>Capital Recovery Factor (CRF) Real</t>
  </si>
  <si>
    <t>Capital Recovery Factor (CRF) Nominal</t>
  </si>
  <si>
    <t>WACC Real</t>
  </si>
  <si>
    <t>WACC Nominal</t>
  </si>
  <si>
    <t>Tax Rate (Federal and State)</t>
  </si>
  <si>
    <t>Debt Fraction</t>
  </si>
  <si>
    <t>Calculated Rate of Return on Equity Real</t>
  </si>
  <si>
    <t>Rate of Return on Equity Nominal</t>
  </si>
  <si>
    <t>Interest During Construction - Nominal</t>
  </si>
  <si>
    <t>Calculated Interest Rate Real</t>
  </si>
  <si>
    <t>Interest Rate Nominal</t>
  </si>
  <si>
    <t>Inflation Rate</t>
  </si>
  <si>
    <t>Assumptions</t>
  </si>
  <si>
    <t>Fraction</t>
  </si>
  <si>
    <t>Index</t>
  </si>
  <si>
    <t>Percent of Equity During Construction</t>
  </si>
  <si>
    <t>Percent of Leverage During Construction</t>
  </si>
  <si>
    <t>Capital</t>
  </si>
  <si>
    <t>Year</t>
  </si>
  <si>
    <t>Construction Duration yrs</t>
  </si>
  <si>
    <t>Equity Premium During Construction</t>
  </si>
  <si>
    <t>Capital Recovery Period</t>
  </si>
  <si>
    <t>Depreciation Period</t>
  </si>
  <si>
    <t>Financial Case</t>
  </si>
  <si>
    <t>Capital Recovery Period (Years)</t>
  </si>
  <si>
    <t>Financial Assumptions:</t>
  </si>
  <si>
    <t>Finance</t>
  </si>
  <si>
    <t>ATB values reflect annual average capacity factor over life of plant including estimated degradation, starting at  0.7% per year, reducing to 0.2%, 0.5%,  and 0.5% annual degradation by 2050 for the advanced, moderate, and conservative scenarios, respectively.</t>
  </si>
  <si>
    <t>(GWh)</t>
  </si>
  <si>
    <t>(GW)</t>
  </si>
  <si>
    <t>Generation</t>
  </si>
  <si>
    <t>Capacity</t>
  </si>
  <si>
    <t>Available</t>
  </si>
  <si>
    <t>Capacity factors chosen here to reflect range across the continental U.S. using NREL PVWATTS.</t>
  </si>
  <si>
    <t>represent $/kW DC; however LCOE reflects $/MWh AC.</t>
  </si>
  <si>
    <t xml:space="preserve">Overnight Capital Cost, Capacity Factor, Fixed O&amp;M, and Variable O&amp;M costs </t>
  </si>
  <si>
    <t>Representative Dist. Res system is fixed-tilt roof mounted with capacity of 7.15 kW</t>
  </si>
  <si>
    <t>Residential Solar Photovoltaic</t>
  </si>
  <si>
    <t>All values are given in 2020 U.S. dollars, using the Consumer Price Index (BLS, 2021) for dollar year conversions where source dollar years don't match 2020.</t>
  </si>
  <si>
    <t>Base Year:</t>
  </si>
  <si>
    <t>Technology</t>
  </si>
  <si>
    <t>Input from other tab</t>
  </si>
  <si>
    <t>Calculated</t>
  </si>
  <si>
    <t>Inputs</t>
  </si>
  <si>
    <t>https://atb.nrel.gov/electricity/2022/residential_pv</t>
  </si>
  <si>
    <t>Solar Distributed Residential PV</t>
  </si>
  <si>
    <t>Source (Hong Kong)</t>
  </si>
  <si>
    <t>Solar Energy – New Development and Future Trend by Prof. Yang Hongxing</t>
  </si>
  <si>
    <t>http://www.energyinst.org.hk/Activity/ICE2014/2.2%20Prof%20Hongxing%20YANG.pdf</t>
  </si>
  <si>
    <t>Slide 33</t>
  </si>
  <si>
    <t>Note by Wing 300823</t>
  </si>
  <si>
    <t>Added J19:J23 and put 12.9% on sheet DSCF.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</si>
</sst>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_);\(&quot;$&quot;#,##0\)"/>
    <numFmt numFmtId="165" formatCode="0.0%"/>
    <numFmt numFmtId="166" formatCode="0.0000"/>
    <numFmt numFmtId="167" formatCode="#,##0.000"/>
    <numFmt numFmtId="168" formatCode="0.000"/>
    <numFmt numFmtId="169" formatCode="&quot;$&quot;#,##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10"/>
      <color theme="0" tint="-0.1499984740745262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8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sz val="10"/>
      <color rgb="FFFFFFFF"/>
      <name val="Arial"/>
      <family val="2"/>
    </font>
    <font>
      <b/>
      <sz val="14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BBD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1"/>
        <bgColor indexed="64"/>
      </patternFill>
    </fill>
  </fills>
  <borders count="98">
    <border>
      <left/>
      <right/>
      <top/>
      <bottom/>
      <diagonal/>
    </border>
    <border>
      <left style="hair">
        <color theme="0" tint="-0.24994659260841701"/>
      </left>
      <right/>
      <top/>
      <bottom/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 style="thin">
        <color theme="0"/>
      </bottom>
      <diagonal/>
    </border>
    <border>
      <left/>
      <right/>
      <top style="thin">
        <color theme="0"/>
      </top>
      <bottom style="thick">
        <color theme="0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hair">
        <color theme="0" tint="-0.24994659260841701"/>
      </bottom>
      <diagonal/>
    </border>
    <border>
      <left/>
      <right/>
      <top style="thick">
        <color theme="0"/>
      </top>
      <bottom style="thin">
        <color theme="0"/>
      </bottom>
      <diagonal/>
    </border>
    <border>
      <left/>
      <right style="hair">
        <color rgb="FFA6A6A6"/>
      </right>
      <top/>
      <bottom/>
      <diagonal/>
    </border>
    <border>
      <left style="hair">
        <color theme="0" tint="-0.24994659260841701"/>
      </left>
      <right/>
      <top/>
      <bottom style="hair">
        <color theme="0" tint="-0.24994659260841701"/>
      </bottom>
      <diagonal/>
    </border>
    <border>
      <left/>
      <right/>
      <top style="mediumDashed">
        <color theme="0" tint="-0.24994659260841701"/>
      </top>
      <bottom/>
      <diagonal/>
    </border>
    <border>
      <left/>
      <right/>
      <top/>
      <bottom style="mediumDashed">
        <color theme="0" tint="-0.24994659260841701"/>
      </bottom>
      <diagonal/>
    </border>
    <border>
      <left/>
      <right/>
      <top style="thin">
        <color theme="0"/>
      </top>
      <bottom style="thin">
        <color theme="0" tint="-0.14996795556505021"/>
      </bottom>
      <diagonal/>
    </border>
    <border>
      <left/>
      <right/>
      <top style="hair">
        <color theme="0" tint="-0.24994659260841701"/>
      </top>
      <bottom/>
      <diagonal/>
    </border>
    <border>
      <left style="hair">
        <color theme="0" tint="-0.24994659260841701"/>
      </left>
      <right/>
      <top style="hair">
        <color theme="0" tint="-0.24994659260841701"/>
      </top>
      <bottom/>
      <diagonal/>
    </border>
    <border>
      <left/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/>
      <top style="mediumDashed">
        <color theme="0" tint="-0.24994659260841701"/>
      </top>
      <bottom/>
      <diagonal/>
    </border>
    <border>
      <left style="hair">
        <color theme="0" tint="-0.24994659260841701"/>
      </left>
      <right/>
      <top/>
      <bottom style="mediumDashed">
        <color theme="0" tint="-0.24994659260841701"/>
      </bottom>
      <diagonal/>
    </border>
    <border>
      <left/>
      <right style="medium">
        <color rgb="FFBFBFBF"/>
      </right>
      <top style="thin">
        <color theme="0"/>
      </top>
      <bottom style="medium">
        <color theme="0" tint="-0.24994659260841701"/>
      </bottom>
      <diagonal/>
    </border>
    <border>
      <left/>
      <right/>
      <top style="thin">
        <color theme="0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thin">
        <color theme="0"/>
      </top>
      <bottom style="medium">
        <color theme="0" tint="-0.24994659260841701"/>
      </bottom>
      <diagonal/>
    </border>
    <border>
      <left/>
      <right style="medium">
        <color rgb="FFBFBFBF"/>
      </right>
      <top style="thin">
        <color theme="0"/>
      </top>
      <bottom style="thin">
        <color theme="0"/>
      </bottom>
      <diagonal/>
    </border>
    <border>
      <left style="medium">
        <color theme="0" tint="-0.24994659260841701"/>
      </left>
      <right/>
      <top/>
      <bottom style="thin">
        <color theme="0"/>
      </bottom>
      <diagonal/>
    </border>
    <border>
      <left/>
      <right style="medium">
        <color rgb="FFBFBFBF"/>
      </right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 style="medium">
        <color theme="0" tint="-0.24994659260841701"/>
      </left>
      <right/>
      <top style="thin">
        <color auto="1"/>
      </top>
      <bottom/>
      <diagonal/>
    </border>
    <border>
      <left/>
      <right style="medium">
        <color rgb="FFBFBFBF"/>
      </right>
      <top/>
      <bottom style="thin">
        <color auto="1"/>
      </bottom>
      <diagonal/>
    </border>
    <border>
      <left style="medium">
        <color theme="0" tint="-0.24994659260841701"/>
      </left>
      <right/>
      <top/>
      <bottom style="thin">
        <color auto="1"/>
      </bottom>
      <diagonal/>
    </border>
    <border>
      <left style="medium">
        <color theme="0" tint="-0.24994659260841701"/>
      </left>
      <right/>
      <top/>
      <bottom/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/>
      <top style="thin">
        <color auto="1"/>
      </top>
      <bottom/>
      <diagonal/>
    </border>
    <border>
      <left/>
      <right style="medium">
        <color rgb="FFBFBFBF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 style="thin">
        <color auto="1"/>
      </bottom>
      <diagonal/>
    </border>
    <border>
      <left/>
      <right/>
      <top style="medium">
        <color theme="0" tint="-0.24994659260841701"/>
      </top>
      <bottom style="thin">
        <color auto="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thin">
        <color auto="1"/>
      </bottom>
      <diagonal/>
    </border>
    <border>
      <left/>
      <right style="medium">
        <color theme="0" tint="-0.24994659260841701"/>
      </right>
      <top style="thin">
        <color theme="0"/>
      </top>
      <bottom style="thin">
        <color theme="0"/>
      </bottom>
      <diagonal/>
    </border>
    <border>
      <left/>
      <right/>
      <top style="thin">
        <color theme="0" tint="-0.14996795556505021"/>
      </top>
      <bottom style="medium">
        <color rgb="FFBFBFBF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2499465926084170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BFBFBF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4659260841701"/>
      </top>
      <bottom/>
      <diagonal/>
    </border>
    <border>
      <left style="medium">
        <color theme="0" tint="-0.249977111117893"/>
      </left>
      <right/>
      <top style="medium">
        <color theme="0" tint="-0.24994659260841701"/>
      </top>
      <bottom/>
      <diagonal/>
    </border>
    <border>
      <left/>
      <right/>
      <top/>
      <bottom style="medium">
        <color rgb="FFBFBFBF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/>
      <right/>
      <top/>
      <bottom style="medium">
        <color theme="0" tint="-0.24994659260841701"/>
      </bottom>
      <diagonal/>
    </border>
    <border>
      <left style="medium">
        <color theme="0" tint="-0.249977111117893"/>
      </left>
      <right/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/>
      <diagonal/>
    </border>
    <border>
      <left/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medium">
        <color theme="0" tint="-0.249977111117893"/>
      </right>
      <top/>
      <bottom/>
      <diagonal/>
    </border>
    <border>
      <left style="medium">
        <color theme="0" tint="-0.24994659260841701"/>
      </left>
      <right style="medium">
        <color theme="0" tint="-0.249977111117893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/>
      <right style="medium">
        <color theme="0" tint="-0.249977111117893"/>
      </right>
      <top/>
      <bottom style="medium">
        <color theme="0" tint="-0.24994659260841701"/>
      </bottom>
      <diagonal/>
    </border>
    <border>
      <left/>
      <right style="medium">
        <color theme="0" tint="-0.249977111117893"/>
      </right>
      <top style="medium">
        <color theme="0" tint="-0.24994659260841701"/>
      </top>
      <bottom/>
      <diagonal/>
    </border>
    <border>
      <left/>
      <right style="medium">
        <color theme="0" tint="-0.249977111117893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77111117893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4659260841701"/>
      </bottom>
      <diagonal/>
    </border>
    <border>
      <left/>
      <right/>
      <top style="medium">
        <color theme="0" tint="-0.249977111117893"/>
      </top>
      <bottom style="medium">
        <color theme="0" tint="-0.24994659260841701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4659260841701"/>
      </bottom>
      <diagonal/>
    </border>
    <border>
      <left/>
      <right style="hair">
        <color theme="0" tint="-0.24994659260841701"/>
      </right>
      <top/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4" fillId="0" borderId="0" xfId="2"/>
    <xf numFmtId="0" fontId="5" fillId="0" borderId="0" xfId="0" applyFont="1"/>
    <xf numFmtId="0" fontId="6" fillId="0" borderId="0" xfId="0" applyFont="1"/>
    <xf numFmtId="0" fontId="3" fillId="0" borderId="1" xfId="0" applyFont="1" applyBorder="1"/>
    <xf numFmtId="165" fontId="3" fillId="2" borderId="7" xfId="1" applyNumberFormat="1" applyFont="1" applyFill="1" applyBorder="1"/>
    <xf numFmtId="165" fontId="3" fillId="2" borderId="5" xfId="1" applyNumberFormat="1" applyFont="1" applyFill="1" applyBorder="1"/>
    <xf numFmtId="165" fontId="3" fillId="2" borderId="8" xfId="1" applyNumberFormat="1" applyFont="1" applyFill="1" applyBorder="1"/>
    <xf numFmtId="0" fontId="8" fillId="3" borderId="0" xfId="0" applyFont="1" applyFill="1" applyAlignment="1">
      <alignment horizontal="center"/>
    </xf>
    <xf numFmtId="0" fontId="5" fillId="0" borderId="0" xfId="0" applyFont="1" applyAlignment="1">
      <alignment horizontal="center" vertical="top"/>
    </xf>
    <xf numFmtId="0" fontId="5" fillId="0" borderId="2" xfId="0" applyFont="1" applyBorder="1"/>
    <xf numFmtId="0" fontId="5" fillId="0" borderId="3" xfId="0" applyFont="1" applyBorder="1"/>
    <xf numFmtId="0" fontId="7" fillId="3" borderId="0" xfId="0" applyFont="1" applyFill="1" applyAlignment="1">
      <alignment horizontal="center"/>
    </xf>
    <xf numFmtId="0" fontId="9" fillId="5" borderId="0" xfId="0" applyFont="1" applyFill="1" applyAlignment="1">
      <alignment horizontal="center" vertical="center" textRotation="90" wrapText="1"/>
    </xf>
    <xf numFmtId="0" fontId="11" fillId="0" borderId="0" xfId="0" applyFont="1" applyAlignment="1">
      <alignment horizontal="left" vertical="center"/>
    </xf>
    <xf numFmtId="0" fontId="3" fillId="0" borderId="15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25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0" fontId="4" fillId="0" borderId="25" xfId="2" applyBorder="1" applyAlignment="1">
      <alignment vertical="top"/>
    </xf>
    <xf numFmtId="0" fontId="4" fillId="0" borderId="18" xfId="2" applyBorder="1" applyAlignment="1">
      <alignment vertical="top"/>
    </xf>
    <xf numFmtId="0" fontId="4" fillId="0" borderId="0" xfId="2" applyFill="1"/>
    <xf numFmtId="0" fontId="4" fillId="0" borderId="17" xfId="2" applyFill="1" applyBorder="1" applyAlignment="1">
      <alignment vertical="top"/>
    </xf>
    <xf numFmtId="0" fontId="5" fillId="0" borderId="0" xfId="0" applyFont="1" applyAlignment="1">
      <alignment horizontal="left" vertical="center"/>
    </xf>
    <xf numFmtId="0" fontId="5" fillId="6" borderId="0" xfId="0" applyFont="1" applyFill="1" applyAlignment="1">
      <alignment vertical="center" textRotation="90"/>
    </xf>
    <xf numFmtId="0" fontId="3" fillId="0" borderId="27" xfId="0" applyFont="1" applyBorder="1"/>
    <xf numFmtId="167" fontId="3" fillId="7" borderId="28" xfId="0" applyNumberFormat="1" applyFont="1" applyFill="1" applyBorder="1"/>
    <xf numFmtId="0" fontId="7" fillId="8" borderId="0" xfId="0" applyFont="1" applyFill="1" applyAlignment="1">
      <alignment vertical="center" wrapText="1"/>
    </xf>
    <xf numFmtId="0" fontId="5" fillId="9" borderId="0" xfId="0" applyFont="1" applyFill="1" applyAlignment="1">
      <alignment horizontal="center" vertical="center" textRotation="90" wrapText="1"/>
    </xf>
    <xf numFmtId="0" fontId="3" fillId="0" borderId="29" xfId="0" applyFont="1" applyBorder="1"/>
    <xf numFmtId="0" fontId="7" fillId="0" borderId="4" xfId="0" applyFont="1" applyBorder="1" applyAlignment="1">
      <alignment vertical="center" wrapText="1"/>
    </xf>
    <xf numFmtId="166" fontId="3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3" fillId="0" borderId="30" xfId="0" applyFont="1" applyBorder="1"/>
    <xf numFmtId="0" fontId="7" fillId="8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8" fontId="3" fillId="0" borderId="0" xfId="0" applyNumberFormat="1" applyFont="1" applyAlignment="1">
      <alignment horizontal="center" vertical="top"/>
    </xf>
    <xf numFmtId="10" fontId="3" fillId="10" borderId="0" xfId="0" applyNumberFormat="1" applyFont="1" applyFill="1" applyAlignment="1">
      <alignment horizontal="center" vertical="top"/>
    </xf>
    <xf numFmtId="10" fontId="3" fillId="0" borderId="0" xfId="0" applyNumberFormat="1" applyFont="1" applyAlignment="1">
      <alignment horizontal="center" vertical="top"/>
    </xf>
    <xf numFmtId="0" fontId="3" fillId="0" borderId="31" xfId="0" applyFont="1" applyBorder="1"/>
    <xf numFmtId="164" fontId="3" fillId="7" borderId="8" xfId="0" applyNumberFormat="1" applyFont="1" applyFill="1" applyBorder="1"/>
    <xf numFmtId="164" fontId="3" fillId="7" borderId="5" xfId="0" applyNumberFormat="1" applyFont="1" applyFill="1" applyBorder="1"/>
    <xf numFmtId="165" fontId="5" fillId="0" borderId="0" xfId="1" applyNumberFormat="1" applyFont="1"/>
    <xf numFmtId="164" fontId="3" fillId="7" borderId="7" xfId="0" applyNumberFormat="1" applyFont="1" applyFill="1" applyBorder="1"/>
    <xf numFmtId="0" fontId="3" fillId="0" borderId="32" xfId="0" applyFont="1" applyBorder="1"/>
    <xf numFmtId="169" fontId="3" fillId="2" borderId="33" xfId="0" applyNumberFormat="1" applyFont="1" applyFill="1" applyBorder="1"/>
    <xf numFmtId="169" fontId="3" fillId="2" borderId="5" xfId="0" applyNumberFormat="1" applyFont="1" applyFill="1" applyBorder="1"/>
    <xf numFmtId="169" fontId="3" fillId="2" borderId="28" xfId="0" applyNumberFormat="1" applyFont="1" applyFill="1" applyBorder="1"/>
    <xf numFmtId="169" fontId="3" fillId="2" borderId="8" xfId="0" applyNumberFormat="1" applyFont="1" applyFill="1" applyBorder="1"/>
    <xf numFmtId="169" fontId="3" fillId="2" borderId="7" xfId="0" applyNumberFormat="1" applyFont="1" applyFill="1" applyBorder="1"/>
    <xf numFmtId="0" fontId="9" fillId="6" borderId="0" xfId="0" applyFont="1" applyFill="1" applyAlignment="1">
      <alignment vertical="center" textRotation="90" wrapText="1"/>
    </xf>
    <xf numFmtId="164" fontId="3" fillId="0" borderId="0" xfId="0" applyNumberFormat="1" applyFont="1"/>
    <xf numFmtId="0" fontId="7" fillId="0" borderId="0" xfId="0" applyFont="1" applyAlignment="1">
      <alignment horizontal="center" vertical="center" wrapText="1"/>
    </xf>
    <xf numFmtId="164" fontId="3" fillId="2" borderId="8" xfId="0" applyNumberFormat="1" applyFont="1" applyFill="1" applyBorder="1"/>
    <xf numFmtId="164" fontId="3" fillId="2" borderId="5" xfId="0" applyNumberFormat="1" applyFont="1" applyFill="1" applyBorder="1"/>
    <xf numFmtId="164" fontId="3" fillId="2" borderId="7" xfId="0" applyNumberFormat="1" applyFont="1" applyFill="1" applyBorder="1"/>
    <xf numFmtId="164" fontId="3" fillId="0" borderId="7" xfId="0" applyNumberFormat="1" applyFont="1" applyBorder="1"/>
    <xf numFmtId="0" fontId="3" fillId="0" borderId="28" xfId="0" applyFont="1" applyBorder="1"/>
    <xf numFmtId="0" fontId="3" fillId="0" borderId="8" xfId="0" applyFont="1" applyBorder="1"/>
    <xf numFmtId="164" fontId="3" fillId="0" borderId="8" xfId="0" applyNumberFormat="1" applyFont="1" applyBorder="1"/>
    <xf numFmtId="0" fontId="3" fillId="0" borderId="0" xfId="0" applyFont="1" applyAlignment="1">
      <alignment horizontal="center"/>
    </xf>
    <xf numFmtId="165" fontId="3" fillId="0" borderId="0" xfId="0" applyNumberFormat="1" applyFont="1"/>
    <xf numFmtId="37" fontId="3" fillId="7" borderId="33" xfId="0" applyNumberFormat="1" applyFont="1" applyFill="1" applyBorder="1"/>
    <xf numFmtId="37" fontId="3" fillId="7" borderId="5" xfId="0" applyNumberFormat="1" applyFont="1" applyFill="1" applyBorder="1"/>
    <xf numFmtId="37" fontId="3" fillId="7" borderId="28" xfId="0" applyNumberFormat="1" applyFont="1" applyFill="1" applyBorder="1"/>
    <xf numFmtId="37" fontId="3" fillId="7" borderId="8" xfId="0" applyNumberFormat="1" applyFont="1" applyFill="1" applyBorder="1"/>
    <xf numFmtId="37" fontId="3" fillId="7" borderId="7" xfId="0" applyNumberFormat="1" applyFont="1" applyFill="1" applyBorder="1"/>
    <xf numFmtId="0" fontId="3" fillId="0" borderId="34" xfId="0" applyFont="1" applyBorder="1"/>
    <xf numFmtId="0" fontId="3" fillId="0" borderId="35" xfId="0" applyFont="1" applyBorder="1"/>
    <xf numFmtId="0" fontId="3" fillId="0" borderId="36" xfId="0" applyFont="1" applyBorder="1"/>
    <xf numFmtId="0" fontId="0" fillId="0" borderId="27" xfId="0" applyBorder="1"/>
    <xf numFmtId="165" fontId="3" fillId="7" borderId="0" xfId="1" applyNumberFormat="1" applyFont="1" applyFill="1"/>
    <xf numFmtId="2" fontId="5" fillId="0" borderId="0" xfId="0" applyNumberFormat="1" applyFont="1"/>
    <xf numFmtId="0" fontId="7" fillId="4" borderId="0" xfId="0" applyFont="1" applyFill="1" applyAlignment="1">
      <alignment horizontal="center" vertical="center" wrapText="1"/>
    </xf>
    <xf numFmtId="0" fontId="3" fillId="0" borderId="37" xfId="0" applyFont="1" applyBorder="1"/>
    <xf numFmtId="0" fontId="3" fillId="0" borderId="38" xfId="0" applyFont="1" applyBorder="1"/>
    <xf numFmtId="165" fontId="0" fillId="7" borderId="0" xfId="1" applyNumberFormat="1" applyFont="1" applyFill="1"/>
    <xf numFmtId="165" fontId="3" fillId="10" borderId="0" xfId="1" applyNumberFormat="1" applyFont="1" applyFill="1"/>
    <xf numFmtId="0" fontId="12" fillId="0" borderId="0" xfId="0" applyFont="1"/>
    <xf numFmtId="169" fontId="3" fillId="0" borderId="0" xfId="0" applyNumberFormat="1" applyFont="1"/>
    <xf numFmtId="0" fontId="5" fillId="0" borderId="0" xfId="0" applyFont="1" applyAlignment="1">
      <alignment horizontal="right"/>
    </xf>
    <xf numFmtId="9" fontId="3" fillId="7" borderId="39" xfId="0" applyNumberFormat="1" applyFont="1" applyFill="1" applyBorder="1"/>
    <xf numFmtId="9" fontId="3" fillId="2" borderId="40" xfId="0" applyNumberFormat="1" applyFont="1" applyFill="1" applyBorder="1"/>
    <xf numFmtId="37" fontId="3" fillId="0" borderId="41" xfId="0" applyNumberFormat="1" applyFont="1" applyBorder="1" applyAlignment="1">
      <alignment horizontal="center"/>
    </xf>
    <xf numFmtId="9" fontId="3" fillId="7" borderId="42" xfId="0" applyNumberFormat="1" applyFont="1" applyFill="1" applyBorder="1"/>
    <xf numFmtId="9" fontId="3" fillId="2" borderId="5" xfId="0" applyNumberFormat="1" applyFont="1" applyFill="1" applyBorder="1"/>
    <xf numFmtId="37" fontId="3" fillId="0" borderId="43" xfId="0" applyNumberFormat="1" applyFont="1" applyBorder="1" applyAlignment="1">
      <alignment horizontal="center"/>
    </xf>
    <xf numFmtId="9" fontId="3" fillId="7" borderId="44" xfId="0" applyNumberFormat="1" applyFont="1" applyFill="1" applyBorder="1"/>
    <xf numFmtId="9" fontId="3" fillId="2" borderId="45" xfId="0" applyNumberFormat="1" applyFont="1" applyFill="1" applyBorder="1"/>
    <xf numFmtId="37" fontId="3" fillId="0" borderId="46" xfId="0" applyNumberFormat="1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0" borderId="51" xfId="0" applyFont="1" applyBorder="1"/>
    <xf numFmtId="0" fontId="3" fillId="0" borderId="53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5" fillId="0" borderId="55" xfId="0" applyFont="1" applyBorder="1" applyAlignment="1">
      <alignment horizontal="left"/>
    </xf>
    <xf numFmtId="165" fontId="3" fillId="2" borderId="57" xfId="0" applyNumberFormat="1" applyFont="1" applyFill="1" applyBorder="1"/>
    <xf numFmtId="2" fontId="3" fillId="0" borderId="58" xfId="0" applyNumberFormat="1" applyFont="1" applyBorder="1"/>
    <xf numFmtId="2" fontId="3" fillId="0" borderId="59" xfId="0" applyNumberFormat="1" applyFont="1" applyBorder="1"/>
    <xf numFmtId="2" fontId="3" fillId="0" borderId="60" xfId="0" applyNumberFormat="1" applyFont="1" applyBorder="1"/>
    <xf numFmtId="37" fontId="3" fillId="12" borderId="0" xfId="0" applyNumberFormat="1" applyFont="1" applyFill="1"/>
    <xf numFmtId="37" fontId="3" fillId="2" borderId="57" xfId="0" applyNumberFormat="1" applyFont="1" applyFill="1" applyBorder="1" applyAlignment="1">
      <alignment horizontal="right"/>
    </xf>
    <xf numFmtId="37" fontId="3" fillId="12" borderId="0" xfId="0" applyNumberFormat="1" applyFont="1" applyFill="1" applyAlignment="1">
      <alignment horizontal="right"/>
    </xf>
    <xf numFmtId="37" fontId="3" fillId="7" borderId="57" xfId="0" applyNumberFormat="1" applyFont="1" applyFill="1" applyBorder="1" applyAlignment="1">
      <alignment horizontal="right"/>
    </xf>
    <xf numFmtId="49" fontId="0" fillId="0" borderId="0" xfId="0" applyNumberFormat="1" applyAlignment="1">
      <alignment wrapText="1"/>
    </xf>
    <xf numFmtId="0" fontId="9" fillId="0" borderId="0" xfId="0" applyFont="1" applyAlignment="1">
      <alignment horizontal="center" vertical="center" textRotation="90" wrapText="1"/>
    </xf>
    <xf numFmtId="0" fontId="3" fillId="0" borderId="63" xfId="0" applyFont="1" applyBorder="1"/>
    <xf numFmtId="0" fontId="3" fillId="0" borderId="64" xfId="0" applyFont="1" applyBorder="1"/>
    <xf numFmtId="0" fontId="3" fillId="0" borderId="66" xfId="0" applyFont="1" applyBorder="1"/>
    <xf numFmtId="0" fontId="3" fillId="0" borderId="70" xfId="0" applyFont="1" applyBorder="1"/>
    <xf numFmtId="0" fontId="3" fillId="0" borderId="71" xfId="0" applyFont="1" applyBorder="1"/>
    <xf numFmtId="3" fontId="5" fillId="6" borderId="65" xfId="0" applyNumberFormat="1" applyFont="1" applyFill="1" applyBorder="1" applyAlignment="1">
      <alignment horizontal="center"/>
    </xf>
    <xf numFmtId="3" fontId="5" fillId="6" borderId="0" xfId="0" applyNumberFormat="1" applyFont="1" applyFill="1" applyAlignment="1">
      <alignment horizontal="center"/>
    </xf>
    <xf numFmtId="0" fontId="5" fillId="0" borderId="0" xfId="0" applyFont="1" applyAlignment="1">
      <alignment horizontal="left"/>
    </xf>
    <xf numFmtId="0" fontId="5" fillId="0" borderId="72" xfId="0" applyFont="1" applyBorder="1" applyAlignment="1">
      <alignment horizontal="left"/>
    </xf>
    <xf numFmtId="0" fontId="5" fillId="0" borderId="66" xfId="0" applyFont="1" applyBorder="1" applyAlignment="1">
      <alignment horizontal="left"/>
    </xf>
    <xf numFmtId="3" fontId="5" fillId="6" borderId="73" xfId="0" applyNumberFormat="1" applyFont="1" applyFill="1" applyBorder="1" applyAlignment="1">
      <alignment horizontal="center"/>
    </xf>
    <xf numFmtId="0" fontId="5" fillId="0" borderId="74" xfId="0" applyFont="1" applyBorder="1" applyAlignment="1">
      <alignment horizontal="left"/>
    </xf>
    <xf numFmtId="0" fontId="5" fillId="0" borderId="75" xfId="0" applyFont="1" applyBorder="1" applyAlignment="1">
      <alignment horizontal="left"/>
    </xf>
    <xf numFmtId="0" fontId="5" fillId="0" borderId="65" xfId="0" applyFont="1" applyBorder="1" applyAlignment="1">
      <alignment horizontal="center"/>
    </xf>
    <xf numFmtId="0" fontId="5" fillId="0" borderId="76" xfId="0" applyFont="1" applyBorder="1" applyAlignment="1">
      <alignment horizontal="center"/>
    </xf>
    <xf numFmtId="0" fontId="5" fillId="0" borderId="77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66" xfId="0" applyFont="1" applyBorder="1" applyAlignment="1">
      <alignment horizontal="center" wrapText="1"/>
    </xf>
    <xf numFmtId="0" fontId="5" fillId="0" borderId="78" xfId="0" applyFont="1" applyBorder="1" applyAlignment="1">
      <alignment horizontal="center"/>
    </xf>
    <xf numFmtId="0" fontId="5" fillId="0" borderId="79" xfId="0" applyFont="1" applyBorder="1" applyAlignment="1">
      <alignment horizontal="center"/>
    </xf>
    <xf numFmtId="0" fontId="5" fillId="0" borderId="80" xfId="0" applyFont="1" applyBorder="1" applyAlignment="1">
      <alignment horizontal="center"/>
    </xf>
    <xf numFmtId="0" fontId="5" fillId="0" borderId="81" xfId="0" applyFont="1" applyBorder="1" applyAlignment="1">
      <alignment horizontal="center" wrapText="1"/>
    </xf>
    <xf numFmtId="0" fontId="5" fillId="0" borderId="70" xfId="0" applyFont="1" applyBorder="1" applyAlignment="1">
      <alignment horizontal="center" wrapText="1"/>
    </xf>
    <xf numFmtId="0" fontId="5" fillId="0" borderId="71" xfId="0" applyFont="1" applyBorder="1" applyAlignment="1">
      <alignment horizontal="center" wrapText="1"/>
    </xf>
    <xf numFmtId="0" fontId="3" fillId="0" borderId="65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66" xfId="0" applyFont="1" applyBorder="1" applyAlignment="1">
      <alignment horizontal="left" wrapText="1"/>
    </xf>
    <xf numFmtId="49" fontId="15" fillId="0" borderId="0" xfId="0" applyNumberFormat="1" applyFont="1" applyAlignment="1">
      <alignment wrapText="1"/>
    </xf>
    <xf numFmtId="0" fontId="5" fillId="7" borderId="82" xfId="0" applyFont="1" applyFill="1" applyBorder="1" applyAlignment="1">
      <alignment horizontal="center"/>
    </xf>
    <xf numFmtId="0" fontId="5" fillId="7" borderId="74" xfId="0" applyFont="1" applyFill="1" applyBorder="1" applyAlignment="1">
      <alignment horizontal="center"/>
    </xf>
    <xf numFmtId="0" fontId="5" fillId="7" borderId="75" xfId="0" applyFont="1" applyFill="1" applyBorder="1" applyAlignment="1">
      <alignment horizontal="center"/>
    </xf>
    <xf numFmtId="0" fontId="5" fillId="7" borderId="87" xfId="0" applyFont="1" applyFill="1" applyBorder="1" applyAlignment="1">
      <alignment horizontal="center"/>
    </xf>
    <xf numFmtId="0" fontId="5" fillId="7" borderId="88" xfId="0" applyFont="1" applyFill="1" applyBorder="1" applyAlignment="1">
      <alignment horizontal="center"/>
    </xf>
    <xf numFmtId="0" fontId="5" fillId="7" borderId="89" xfId="0" applyFont="1" applyFill="1" applyBorder="1" applyAlignment="1">
      <alignment horizontal="left"/>
    </xf>
    <xf numFmtId="0" fontId="3" fillId="0" borderId="90" xfId="0" applyFont="1" applyBorder="1"/>
    <xf numFmtId="0" fontId="3" fillId="0" borderId="91" xfId="0" applyFont="1" applyBorder="1"/>
    <xf numFmtId="0" fontId="16" fillId="15" borderId="92" xfId="0" applyFont="1" applyFill="1" applyBorder="1" applyAlignment="1">
      <alignment horizontal="center"/>
    </xf>
    <xf numFmtId="0" fontId="16" fillId="15" borderId="85" xfId="0" applyFont="1" applyFill="1" applyBorder="1" applyAlignment="1">
      <alignment horizontal="center"/>
    </xf>
    <xf numFmtId="0" fontId="16" fillId="15" borderId="91" xfId="0" applyFont="1" applyFill="1" applyBorder="1" applyAlignment="1">
      <alignment horizontal="center"/>
    </xf>
    <xf numFmtId="0" fontId="3" fillId="7" borderId="95" xfId="0" applyFont="1" applyFill="1" applyBorder="1" applyAlignment="1">
      <alignment horizontal="center"/>
    </xf>
    <xf numFmtId="0" fontId="3" fillId="0" borderId="53" xfId="0" applyFont="1" applyBorder="1"/>
    <xf numFmtId="0" fontId="3" fillId="2" borderId="96" xfId="0" applyFont="1" applyFill="1" applyBorder="1" applyAlignment="1">
      <alignment horizontal="center"/>
    </xf>
    <xf numFmtId="0" fontId="17" fillId="0" borderId="97" xfId="0" applyFont="1" applyBorder="1"/>
    <xf numFmtId="0" fontId="7" fillId="3" borderId="0" xfId="0" applyFont="1" applyFill="1" applyAlignment="1">
      <alignment horizontal="center"/>
    </xf>
    <xf numFmtId="0" fontId="7" fillId="4" borderId="6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3" fillId="10" borderId="94" xfId="0" applyFont="1" applyFill="1" applyBorder="1" applyAlignment="1">
      <alignment horizontal="center" wrapText="1"/>
    </xf>
    <xf numFmtId="0" fontId="3" fillId="10" borderId="93" xfId="0" applyFont="1" applyFill="1" applyBorder="1" applyAlignment="1">
      <alignment horizontal="center" wrapText="1"/>
    </xf>
    <xf numFmtId="0" fontId="0" fillId="0" borderId="0" xfId="0"/>
    <xf numFmtId="0" fontId="0" fillId="0" borderId="90" xfId="0" applyBorder="1"/>
    <xf numFmtId="0" fontId="7" fillId="14" borderId="0" xfId="0" applyFont="1" applyFill="1" applyAlignment="1">
      <alignment horizontal="center" vertical="center" textRotation="90" wrapText="1"/>
    </xf>
    <xf numFmtId="0" fontId="10" fillId="14" borderId="0" xfId="0" applyFont="1" applyFill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 wrapText="1"/>
    </xf>
    <xf numFmtId="0" fontId="3" fillId="0" borderId="91" xfId="0" applyFont="1" applyBorder="1" applyAlignment="1">
      <alignment horizontal="center"/>
    </xf>
    <xf numFmtId="0" fontId="3" fillId="0" borderId="85" xfId="0" applyFont="1" applyBorder="1" applyAlignment="1">
      <alignment horizontal="center"/>
    </xf>
    <xf numFmtId="0" fontId="3" fillId="0" borderId="92" xfId="0" applyFont="1" applyBorder="1" applyAlignment="1">
      <alignment horizontal="center"/>
    </xf>
    <xf numFmtId="0" fontId="3" fillId="0" borderId="86" xfId="0" applyFont="1" applyBorder="1" applyAlignment="1">
      <alignment horizontal="left"/>
    </xf>
    <xf numFmtId="0" fontId="3" fillId="0" borderId="85" xfId="0" applyFont="1" applyBorder="1" applyAlignment="1">
      <alignment horizontal="left"/>
    </xf>
    <xf numFmtId="0" fontId="3" fillId="0" borderId="84" xfId="0" applyFont="1" applyBorder="1" applyAlignment="1">
      <alignment horizontal="left"/>
    </xf>
    <xf numFmtId="0" fontId="3" fillId="0" borderId="71" xfId="0" applyFont="1" applyBorder="1" applyAlignment="1">
      <alignment horizontal="left"/>
    </xf>
    <xf numFmtId="0" fontId="3" fillId="0" borderId="70" xfId="0" applyFont="1" applyBorder="1" applyAlignment="1">
      <alignment horizontal="left"/>
    </xf>
    <xf numFmtId="0" fontId="3" fillId="0" borderId="83" xfId="0" applyFont="1" applyBorder="1" applyAlignment="1">
      <alignment horizontal="left"/>
    </xf>
    <xf numFmtId="0" fontId="3" fillId="0" borderId="6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65" xfId="0" applyFont="1" applyBorder="1" applyAlignment="1">
      <alignment horizontal="left"/>
    </xf>
    <xf numFmtId="0" fontId="3" fillId="0" borderId="75" xfId="0" applyFont="1" applyBorder="1" applyAlignment="1">
      <alignment horizontal="left" wrapText="1"/>
    </xf>
    <xf numFmtId="0" fontId="3" fillId="0" borderId="74" xfId="0" applyFont="1" applyBorder="1" applyAlignment="1">
      <alignment horizontal="left" wrapText="1"/>
    </xf>
    <xf numFmtId="0" fontId="3" fillId="0" borderId="82" xfId="0" applyFont="1" applyBorder="1" applyAlignment="1">
      <alignment horizontal="left" wrapText="1"/>
    </xf>
    <xf numFmtId="0" fontId="14" fillId="0" borderId="69" xfId="0" applyFont="1" applyBorder="1" applyAlignment="1">
      <alignment horizontal="left" vertical="top" wrapText="1"/>
    </xf>
    <xf numFmtId="0" fontId="14" fillId="0" borderId="68" xfId="0" applyFont="1" applyBorder="1" applyAlignment="1">
      <alignment horizontal="left" vertical="top" wrapText="1"/>
    </xf>
    <xf numFmtId="0" fontId="14" fillId="0" borderId="67" xfId="0" applyFont="1" applyBorder="1" applyAlignment="1">
      <alignment horizontal="left" vertical="top" wrapText="1"/>
    </xf>
    <xf numFmtId="0" fontId="14" fillId="0" borderId="66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65" xfId="0" applyFont="1" applyBorder="1" applyAlignment="1">
      <alignment horizontal="left" vertical="top" wrapText="1"/>
    </xf>
    <xf numFmtId="0" fontId="14" fillId="0" borderId="64" xfId="0" applyFont="1" applyBorder="1" applyAlignment="1">
      <alignment horizontal="left" vertical="top" wrapText="1"/>
    </xf>
    <xf numFmtId="0" fontId="14" fillId="0" borderId="63" xfId="0" applyFont="1" applyBorder="1" applyAlignment="1">
      <alignment horizontal="left" vertical="top" wrapText="1"/>
    </xf>
    <xf numFmtId="0" fontId="14" fillId="0" borderId="62" xfId="0" applyFont="1" applyBorder="1" applyAlignment="1">
      <alignment horizontal="left" vertical="top" wrapText="1"/>
    </xf>
    <xf numFmtId="0" fontId="7" fillId="13" borderId="0" xfId="0" applyFont="1" applyFill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5" fillId="0" borderId="56" xfId="0" applyFont="1" applyBorder="1" applyAlignment="1">
      <alignment horizontal="center"/>
    </xf>
    <xf numFmtId="0" fontId="5" fillId="0" borderId="55" xfId="0" applyFont="1" applyBorder="1" applyAlignment="1">
      <alignment horizontal="center"/>
    </xf>
    <xf numFmtId="0" fontId="5" fillId="0" borderId="54" xfId="0" applyFont="1" applyBorder="1" applyAlignment="1">
      <alignment horizontal="center"/>
    </xf>
    <xf numFmtId="0" fontId="3" fillId="0" borderId="60" xfId="0" applyFont="1" applyBorder="1"/>
    <xf numFmtId="0" fontId="3" fillId="0" borderId="59" xfId="0" applyFont="1" applyBorder="1"/>
    <xf numFmtId="0" fontId="13" fillId="0" borderId="61" xfId="0" applyFont="1" applyBorder="1"/>
    <xf numFmtId="0" fontId="13" fillId="0" borderId="59" xfId="0" applyFont="1" applyBorder="1"/>
    <xf numFmtId="0" fontId="5" fillId="0" borderId="56" xfId="0" applyFont="1" applyBorder="1" applyAlignment="1">
      <alignment horizontal="left"/>
    </xf>
    <xf numFmtId="0" fontId="5" fillId="0" borderId="55" xfId="0" applyFont="1" applyBorder="1" applyAlignment="1">
      <alignment horizontal="left"/>
    </xf>
    <xf numFmtId="2" fontId="3" fillId="0" borderId="46" xfId="0" applyNumberFormat="1" applyFont="1" applyBorder="1" applyAlignment="1">
      <alignment horizontal="center" wrapText="1"/>
    </xf>
    <xf numFmtId="2" fontId="3" fillId="0" borderId="49" xfId="0" applyNumberFormat="1" applyFont="1" applyBorder="1" applyAlignment="1">
      <alignment horizontal="center" wrapText="1"/>
    </xf>
    <xf numFmtId="2" fontId="3" fillId="0" borderId="48" xfId="0" applyNumberFormat="1" applyFont="1" applyBorder="1" applyAlignment="1">
      <alignment horizontal="center" wrapText="1"/>
    </xf>
    <xf numFmtId="165" fontId="3" fillId="0" borderId="52" xfId="0" applyNumberFormat="1" applyFont="1" applyBorder="1" applyAlignment="1">
      <alignment horizontal="center" wrapText="1"/>
    </xf>
    <xf numFmtId="165" fontId="3" fillId="0" borderId="50" xfId="0" applyNumberFormat="1" applyFont="1" applyBorder="1" applyAlignment="1">
      <alignment horizontal="center" wrapText="1"/>
    </xf>
    <xf numFmtId="165" fontId="3" fillId="0" borderId="47" xfId="0" applyNumberFormat="1" applyFont="1" applyBorder="1" applyAlignment="1">
      <alignment horizontal="center" wrapText="1"/>
    </xf>
    <xf numFmtId="0" fontId="7" fillId="4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textRotation="90" wrapText="1"/>
    </xf>
    <xf numFmtId="0" fontId="5" fillId="11" borderId="0" xfId="0" applyFont="1" applyFill="1" applyAlignment="1">
      <alignment horizontal="center" vertical="center" textRotation="90"/>
    </xf>
    <xf numFmtId="0" fontId="5" fillId="8" borderId="0" xfId="0" applyFont="1" applyFill="1" applyAlignment="1">
      <alignment horizontal="center" vertical="center" textRotation="90"/>
    </xf>
    <xf numFmtId="0" fontId="5" fillId="9" borderId="0" xfId="0" applyFont="1" applyFill="1" applyAlignment="1">
      <alignment horizontal="center" vertical="center" textRotation="90" wrapText="1"/>
    </xf>
    <xf numFmtId="0" fontId="7" fillId="8" borderId="0" xfId="0" applyFont="1" applyFill="1" applyAlignment="1">
      <alignment horizontal="center" vertical="center" wrapText="1"/>
    </xf>
    <xf numFmtId="0" fontId="7" fillId="8" borderId="27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/>
    </xf>
    <xf numFmtId="0" fontId="7" fillId="3" borderId="0" xfId="0" applyFont="1" applyFill="1" applyAlignment="1">
      <alignment horizontal="left"/>
    </xf>
    <xf numFmtId="0" fontId="5" fillId="0" borderId="24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3" fillId="0" borderId="23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19" xfId="0" applyFont="1" applyBorder="1"/>
    <xf numFmtId="0" fontId="3" fillId="0" borderId="18" xfId="0" applyFont="1" applyBorder="1"/>
    <xf numFmtId="0" fontId="3" fillId="0" borderId="18" xfId="0" applyFont="1" applyBorder="1" applyAlignment="1">
      <alignment vertical="top"/>
    </xf>
    <xf numFmtId="0" fontId="3" fillId="0" borderId="25" xfId="0" applyFont="1" applyBorder="1" applyAlignment="1">
      <alignment vertical="top"/>
    </xf>
    <xf numFmtId="0" fontId="3" fillId="0" borderId="14" xfId="0" applyFont="1" applyBorder="1"/>
    <xf numFmtId="0" fontId="3" fillId="0" borderId="13" xfId="0" applyFont="1" applyBorder="1"/>
    <xf numFmtId="0" fontId="3" fillId="0" borderId="12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0" xfId="0" applyFont="1" applyAlignment="1">
      <alignment horizontal="left" vertical="center"/>
    </xf>
    <xf numFmtId="0" fontId="3" fillId="0" borderId="22" xfId="0" applyFont="1" applyBorder="1" applyAlignment="1">
      <alignment vertical="top"/>
    </xf>
    <xf numFmtId="0" fontId="3" fillId="0" borderId="21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0" fontId="3" fillId="0" borderId="15" xfId="0" applyFont="1" applyBorder="1" applyAlignment="1">
      <alignment vertical="top"/>
    </xf>
    <xf numFmtId="0" fontId="1" fillId="16" borderId="0" xfId="0" applyFont="1" applyFill="1"/>
    <xf numFmtId="0" fontId="0" fillId="16" borderId="0" xfId="0" applyFill="1"/>
    <xf numFmtId="0" fontId="0" fillId="16" borderId="0" xfId="0" applyFill="1" applyAlignment="1">
      <alignment horizontal="left"/>
    </xf>
    <xf numFmtId="0" fontId="4" fillId="16" borderId="0" xfId="2" applyFill="1"/>
    <xf numFmtId="0" fontId="0" fillId="16" borderId="0" xfId="0" applyFill="1" applyAlignment="1">
      <alignment wrapText="1"/>
    </xf>
    <xf numFmtId="166" fontId="0" fillId="16" borderId="0" xfId="0" applyNumberFormat="1" applyFill="1"/>
    <xf numFmtId="0" fontId="0" fillId="0" borderId="0" xfId="0" applyFill="1" applyAlignment="1">
      <alignment wrapText="1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[0]!CapacityFactorDefinition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>
          <a:off x="2152650" y="171354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[0]!CapacityFactorDefinition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/>
      </xdr:nvSpPr>
      <xdr:spPr>
        <a:xfrm>
          <a:off x="2152650" y="171354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[0]!CapacityFactorDefinition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/>
      </xdr:nvSpPr>
      <xdr:spPr>
        <a:xfrm>
          <a:off x="2152650" y="171354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SpPr/>
      </xdr:nvSpPr>
      <xdr:spPr>
        <a:xfrm>
          <a:off x="2152650" y="171354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SpPr/>
      </xdr:nvSpPr>
      <xdr:spPr>
        <a:xfrm>
          <a:off x="2152650" y="171354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SpPr/>
      </xdr:nvSpPr>
      <xdr:spPr>
        <a:xfrm>
          <a:off x="2152650" y="171354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[0]!CapacityFactorDefinition" textlink="">
      <xdr:nvSpPr>
        <xdr:cNvPr id="88" name="Oval 87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SpPr/>
      </xdr:nvSpPr>
      <xdr:spPr>
        <a:xfrm>
          <a:off x="2152650" y="171354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[0]!CapacityFactorDefinition" textlink="">
      <xdr:nvSpPr>
        <xdr:cNvPr id="92" name="Oval 91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SpPr/>
      </xdr:nvSpPr>
      <xdr:spPr>
        <a:xfrm>
          <a:off x="2152650" y="171354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[0]!CapacityFactorDefinition" textlink="">
      <xdr:nvSpPr>
        <xdr:cNvPr id="93" name="Oval 92"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SpPr/>
      </xdr:nvSpPr>
      <xdr:spPr>
        <a:xfrm>
          <a:off x="2152650" y="171354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" textlink="">
      <xdr:nvSpPr>
        <xdr:cNvPr id="124" name="Oval 123">
          <a:extLst>
            <a:ext uri="{FF2B5EF4-FFF2-40B4-BE49-F238E27FC236}">
              <a16:creationId xmlns:a16="http://schemas.microsoft.com/office/drawing/2014/main" id="{00000000-0008-0000-0600-0000C4000000}"/>
            </a:ext>
          </a:extLst>
        </xdr:cNvPr>
        <xdr:cNvSpPr/>
      </xdr:nvSpPr>
      <xdr:spPr>
        <a:xfrm>
          <a:off x="2152650" y="171354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" textlink="">
      <xdr:nvSpPr>
        <xdr:cNvPr id="128" name="Oval 127">
          <a:extLst>
            <a:ext uri="{FF2B5EF4-FFF2-40B4-BE49-F238E27FC236}">
              <a16:creationId xmlns:a16="http://schemas.microsoft.com/office/drawing/2014/main" id="{00000000-0008-0000-0600-0000C8000000}"/>
            </a:ext>
          </a:extLst>
        </xdr:cNvPr>
        <xdr:cNvSpPr/>
      </xdr:nvSpPr>
      <xdr:spPr>
        <a:xfrm>
          <a:off x="2152650" y="171354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" textlink="">
      <xdr:nvSpPr>
        <xdr:cNvPr id="129" name="Oval 128">
          <a:extLst>
            <a:ext uri="{FF2B5EF4-FFF2-40B4-BE49-F238E27FC236}">
              <a16:creationId xmlns:a16="http://schemas.microsoft.com/office/drawing/2014/main" id="{00000000-0008-0000-0600-0000C9000000}"/>
            </a:ext>
          </a:extLst>
        </xdr:cNvPr>
        <xdr:cNvSpPr/>
      </xdr:nvSpPr>
      <xdr:spPr>
        <a:xfrm>
          <a:off x="2152650" y="17135475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18</xdr:row>
      <xdr:rowOff>19050</xdr:rowOff>
    </xdr:from>
    <xdr:to>
      <xdr:col>9</xdr:col>
      <xdr:colOff>156210</xdr:colOff>
      <xdr:row>18</xdr:row>
      <xdr:rowOff>156210</xdr:rowOff>
    </xdr:to>
    <xdr:sp macro="[1]!CapacityFactorDefinition" textlink="">
      <xdr:nvSpPr>
        <xdr:cNvPr id="14" name="Oval 13">
          <a:extLst>
            <a:ext uri="{FF2B5EF4-FFF2-40B4-BE49-F238E27FC236}">
              <a16:creationId xmlns:a16="http://schemas.microsoft.com/office/drawing/2014/main" id="{C2D52CF8-8D6E-44F9-BA1E-B7EA4CA1D2B8}"/>
            </a:ext>
          </a:extLst>
        </xdr:cNvPr>
        <xdr:cNvSpPr/>
      </xdr:nvSpPr>
      <xdr:spPr>
        <a:xfrm>
          <a:off x="2197100" y="205803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18</xdr:row>
      <xdr:rowOff>19050</xdr:rowOff>
    </xdr:from>
    <xdr:to>
      <xdr:col>9</xdr:col>
      <xdr:colOff>156210</xdr:colOff>
      <xdr:row>18</xdr:row>
      <xdr:rowOff>156210</xdr:rowOff>
    </xdr:to>
    <xdr:sp macro="[1]!CapacityFactorDefinition" textlink="">
      <xdr:nvSpPr>
        <xdr:cNvPr id="15" name="Oval 14">
          <a:extLst>
            <a:ext uri="{FF2B5EF4-FFF2-40B4-BE49-F238E27FC236}">
              <a16:creationId xmlns:a16="http://schemas.microsoft.com/office/drawing/2014/main" id="{CBDAC941-D92A-451C-864D-7FDDF81D6215}"/>
            </a:ext>
          </a:extLst>
        </xdr:cNvPr>
        <xdr:cNvSpPr/>
      </xdr:nvSpPr>
      <xdr:spPr>
        <a:xfrm>
          <a:off x="2197100" y="205803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18</xdr:row>
      <xdr:rowOff>19050</xdr:rowOff>
    </xdr:from>
    <xdr:to>
      <xdr:col>9</xdr:col>
      <xdr:colOff>156210</xdr:colOff>
      <xdr:row>18</xdr:row>
      <xdr:rowOff>156210</xdr:rowOff>
    </xdr:to>
    <xdr:sp macro="[1]!CapacityFactorDefinition" textlink="">
      <xdr:nvSpPr>
        <xdr:cNvPr id="17" name="Oval 16">
          <a:extLst>
            <a:ext uri="{FF2B5EF4-FFF2-40B4-BE49-F238E27FC236}">
              <a16:creationId xmlns:a16="http://schemas.microsoft.com/office/drawing/2014/main" id="{AA91BBCC-3CDB-486A-98FE-484190169CC2}"/>
            </a:ext>
          </a:extLst>
        </xdr:cNvPr>
        <xdr:cNvSpPr/>
      </xdr:nvSpPr>
      <xdr:spPr>
        <a:xfrm>
          <a:off x="2197100" y="205803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18</xdr:row>
      <xdr:rowOff>19050</xdr:rowOff>
    </xdr:from>
    <xdr:to>
      <xdr:col>9</xdr:col>
      <xdr:colOff>156210</xdr:colOff>
      <xdr:row>18</xdr:row>
      <xdr:rowOff>156210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9E4D011-952B-4766-9FD0-7862A943F8C4}"/>
            </a:ext>
          </a:extLst>
        </xdr:cNvPr>
        <xdr:cNvSpPr/>
      </xdr:nvSpPr>
      <xdr:spPr>
        <a:xfrm>
          <a:off x="2197100" y="205803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18</xdr:row>
      <xdr:rowOff>19050</xdr:rowOff>
    </xdr:from>
    <xdr:to>
      <xdr:col>9</xdr:col>
      <xdr:colOff>156210</xdr:colOff>
      <xdr:row>18</xdr:row>
      <xdr:rowOff>156210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763EDE0D-F51F-4899-B12D-946D0E297E15}"/>
            </a:ext>
          </a:extLst>
        </xdr:cNvPr>
        <xdr:cNvSpPr/>
      </xdr:nvSpPr>
      <xdr:spPr>
        <a:xfrm>
          <a:off x="2197100" y="205803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18</xdr:row>
      <xdr:rowOff>19050</xdr:rowOff>
    </xdr:from>
    <xdr:to>
      <xdr:col>9</xdr:col>
      <xdr:colOff>156210</xdr:colOff>
      <xdr:row>18</xdr:row>
      <xdr:rowOff>156210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A51E30BA-8F00-436A-8897-47B6BAEB7370}"/>
            </a:ext>
          </a:extLst>
        </xdr:cNvPr>
        <xdr:cNvSpPr/>
      </xdr:nvSpPr>
      <xdr:spPr>
        <a:xfrm>
          <a:off x="2197100" y="205803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18</xdr:row>
      <xdr:rowOff>19050</xdr:rowOff>
    </xdr:from>
    <xdr:to>
      <xdr:col>9</xdr:col>
      <xdr:colOff>156210</xdr:colOff>
      <xdr:row>18</xdr:row>
      <xdr:rowOff>156210</xdr:rowOff>
    </xdr:to>
    <xdr:sp macro="[1]!CapacityFactorDefinition" textlink="">
      <xdr:nvSpPr>
        <xdr:cNvPr id="23" name="Oval 22">
          <a:extLst>
            <a:ext uri="{FF2B5EF4-FFF2-40B4-BE49-F238E27FC236}">
              <a16:creationId xmlns:a16="http://schemas.microsoft.com/office/drawing/2014/main" id="{941D790A-18B6-455E-BE68-2EAD55AE7271}"/>
            </a:ext>
          </a:extLst>
        </xdr:cNvPr>
        <xdr:cNvSpPr/>
      </xdr:nvSpPr>
      <xdr:spPr>
        <a:xfrm>
          <a:off x="2197100" y="205803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18</xdr:row>
      <xdr:rowOff>19050</xdr:rowOff>
    </xdr:from>
    <xdr:to>
      <xdr:col>9</xdr:col>
      <xdr:colOff>156210</xdr:colOff>
      <xdr:row>18</xdr:row>
      <xdr:rowOff>156210</xdr:rowOff>
    </xdr:to>
    <xdr:sp macro="[1]!CapacityFactorDefinition" textlink="">
      <xdr:nvSpPr>
        <xdr:cNvPr id="24" name="Oval 23">
          <a:extLst>
            <a:ext uri="{FF2B5EF4-FFF2-40B4-BE49-F238E27FC236}">
              <a16:creationId xmlns:a16="http://schemas.microsoft.com/office/drawing/2014/main" id="{42ECA8AF-5BCC-40F8-B89B-FB7B42D3F1BF}"/>
            </a:ext>
          </a:extLst>
        </xdr:cNvPr>
        <xdr:cNvSpPr/>
      </xdr:nvSpPr>
      <xdr:spPr>
        <a:xfrm>
          <a:off x="2197100" y="205803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18</xdr:row>
      <xdr:rowOff>19050</xdr:rowOff>
    </xdr:from>
    <xdr:to>
      <xdr:col>9</xdr:col>
      <xdr:colOff>156210</xdr:colOff>
      <xdr:row>18</xdr:row>
      <xdr:rowOff>156210</xdr:rowOff>
    </xdr:to>
    <xdr:sp macro="[1]!CapacityFactorDefinition" textlink="">
      <xdr:nvSpPr>
        <xdr:cNvPr id="25" name="Oval 24">
          <a:extLst>
            <a:ext uri="{FF2B5EF4-FFF2-40B4-BE49-F238E27FC236}">
              <a16:creationId xmlns:a16="http://schemas.microsoft.com/office/drawing/2014/main" id="{34FCB908-32C0-4DA6-A663-67E0A6042F29}"/>
            </a:ext>
          </a:extLst>
        </xdr:cNvPr>
        <xdr:cNvSpPr/>
      </xdr:nvSpPr>
      <xdr:spPr>
        <a:xfrm>
          <a:off x="2197100" y="205803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18</xdr:row>
      <xdr:rowOff>19050</xdr:rowOff>
    </xdr:from>
    <xdr:to>
      <xdr:col>9</xdr:col>
      <xdr:colOff>156210</xdr:colOff>
      <xdr:row>18</xdr:row>
      <xdr:rowOff>156210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EB386F4-0F99-4D2C-B4F8-67F50B9E3F7A}"/>
            </a:ext>
          </a:extLst>
        </xdr:cNvPr>
        <xdr:cNvSpPr/>
      </xdr:nvSpPr>
      <xdr:spPr>
        <a:xfrm>
          <a:off x="2197100" y="205803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18</xdr:row>
      <xdr:rowOff>19050</xdr:rowOff>
    </xdr:from>
    <xdr:to>
      <xdr:col>9</xdr:col>
      <xdr:colOff>156210</xdr:colOff>
      <xdr:row>18</xdr:row>
      <xdr:rowOff>156210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C27E816-8349-41EA-B8E1-1738700BB9C5}"/>
            </a:ext>
          </a:extLst>
        </xdr:cNvPr>
        <xdr:cNvSpPr/>
      </xdr:nvSpPr>
      <xdr:spPr>
        <a:xfrm>
          <a:off x="2197100" y="205803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18</xdr:row>
      <xdr:rowOff>19050</xdr:rowOff>
    </xdr:from>
    <xdr:to>
      <xdr:col>9</xdr:col>
      <xdr:colOff>156210</xdr:colOff>
      <xdr:row>18</xdr:row>
      <xdr:rowOff>156210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D9083479-1482-445D-AF5E-75B520210C90}"/>
            </a:ext>
          </a:extLst>
        </xdr:cNvPr>
        <xdr:cNvSpPr/>
      </xdr:nvSpPr>
      <xdr:spPr>
        <a:xfrm>
          <a:off x="2197100" y="205803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[1]!CapacityFactorDefinition" textlink="">
      <xdr:nvSpPr>
        <xdr:cNvPr id="29" name="Oval 28">
          <a:extLst>
            <a:ext uri="{FF2B5EF4-FFF2-40B4-BE49-F238E27FC236}">
              <a16:creationId xmlns:a16="http://schemas.microsoft.com/office/drawing/2014/main" id="{6719C4DC-2767-4AE8-B737-80A342296B45}"/>
            </a:ext>
          </a:extLst>
        </xdr:cNvPr>
        <xdr:cNvSpPr/>
      </xdr:nvSpPr>
      <xdr:spPr>
        <a:xfrm>
          <a:off x="2197100" y="179324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[1]!CapacityFactorDefinition" textlink="">
      <xdr:nvSpPr>
        <xdr:cNvPr id="30" name="Oval 29">
          <a:extLst>
            <a:ext uri="{FF2B5EF4-FFF2-40B4-BE49-F238E27FC236}">
              <a16:creationId xmlns:a16="http://schemas.microsoft.com/office/drawing/2014/main" id="{5B3B70A4-4C16-4959-A799-35BFFAA1874F}"/>
            </a:ext>
          </a:extLst>
        </xdr:cNvPr>
        <xdr:cNvSpPr/>
      </xdr:nvSpPr>
      <xdr:spPr>
        <a:xfrm>
          <a:off x="2197100" y="179324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[1]!CapacityFactorDefinition" textlink="">
      <xdr:nvSpPr>
        <xdr:cNvPr id="31" name="Oval 30">
          <a:extLst>
            <a:ext uri="{FF2B5EF4-FFF2-40B4-BE49-F238E27FC236}">
              <a16:creationId xmlns:a16="http://schemas.microsoft.com/office/drawing/2014/main" id="{FACD787C-1D88-41A2-8B19-D122E1ED1FCE}"/>
            </a:ext>
          </a:extLst>
        </xdr:cNvPr>
        <xdr:cNvSpPr/>
      </xdr:nvSpPr>
      <xdr:spPr>
        <a:xfrm>
          <a:off x="2197100" y="179324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12EE54F0-A194-45D4-8744-B4487C70A668}"/>
            </a:ext>
          </a:extLst>
        </xdr:cNvPr>
        <xdr:cNvSpPr/>
      </xdr:nvSpPr>
      <xdr:spPr>
        <a:xfrm>
          <a:off x="2197100" y="179324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F9588990-04C1-425B-87F6-6591BFFE2D1E}"/>
            </a:ext>
          </a:extLst>
        </xdr:cNvPr>
        <xdr:cNvSpPr/>
      </xdr:nvSpPr>
      <xdr:spPr>
        <a:xfrm>
          <a:off x="2197100" y="179324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C0CAAEA1-CB56-46FD-A985-567F3A9285F2}"/>
            </a:ext>
          </a:extLst>
        </xdr:cNvPr>
        <xdr:cNvSpPr/>
      </xdr:nvSpPr>
      <xdr:spPr>
        <a:xfrm>
          <a:off x="2197100" y="179324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[1]!CapacityFactorDefinition" textlink="">
      <xdr:nvSpPr>
        <xdr:cNvPr id="35" name="Oval 34">
          <a:extLst>
            <a:ext uri="{FF2B5EF4-FFF2-40B4-BE49-F238E27FC236}">
              <a16:creationId xmlns:a16="http://schemas.microsoft.com/office/drawing/2014/main" id="{7D781C94-2857-4947-977A-4C634667E586}"/>
            </a:ext>
          </a:extLst>
        </xdr:cNvPr>
        <xdr:cNvSpPr/>
      </xdr:nvSpPr>
      <xdr:spPr>
        <a:xfrm>
          <a:off x="2197100" y="179324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[1]!CapacityFactorDefinition" textlink="">
      <xdr:nvSpPr>
        <xdr:cNvPr id="36" name="Oval 35">
          <a:extLst>
            <a:ext uri="{FF2B5EF4-FFF2-40B4-BE49-F238E27FC236}">
              <a16:creationId xmlns:a16="http://schemas.microsoft.com/office/drawing/2014/main" id="{52AD474F-582A-4CDE-9D8A-AE773D728CA0}"/>
            </a:ext>
          </a:extLst>
        </xdr:cNvPr>
        <xdr:cNvSpPr/>
      </xdr:nvSpPr>
      <xdr:spPr>
        <a:xfrm>
          <a:off x="2197100" y="179324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[1]!CapacityFactorDefinition" textlink="">
      <xdr:nvSpPr>
        <xdr:cNvPr id="37" name="Oval 36">
          <a:extLst>
            <a:ext uri="{FF2B5EF4-FFF2-40B4-BE49-F238E27FC236}">
              <a16:creationId xmlns:a16="http://schemas.microsoft.com/office/drawing/2014/main" id="{8298D2FB-0FE3-4318-85A6-06CBB4982B0A}"/>
            </a:ext>
          </a:extLst>
        </xdr:cNvPr>
        <xdr:cNvSpPr/>
      </xdr:nvSpPr>
      <xdr:spPr>
        <a:xfrm>
          <a:off x="2197100" y="179324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02D722D-6F08-49B1-997F-4D2E05AD7F59}"/>
            </a:ext>
          </a:extLst>
        </xdr:cNvPr>
        <xdr:cNvSpPr/>
      </xdr:nvSpPr>
      <xdr:spPr>
        <a:xfrm>
          <a:off x="2197100" y="179324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896E591B-F983-459F-8113-1EEFB01E231D}"/>
            </a:ext>
          </a:extLst>
        </xdr:cNvPr>
        <xdr:cNvSpPr/>
      </xdr:nvSpPr>
      <xdr:spPr>
        <a:xfrm>
          <a:off x="2197100" y="179324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AD3E5B97-D90F-401B-A7FF-B18B0513CBE5}"/>
            </a:ext>
          </a:extLst>
        </xdr:cNvPr>
        <xdr:cNvSpPr/>
      </xdr:nvSpPr>
      <xdr:spPr>
        <a:xfrm>
          <a:off x="2197100" y="179324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[1]!CapacityFactorDefinition" textlink="">
      <xdr:nvSpPr>
        <xdr:cNvPr id="41" name="Oval 40">
          <a:extLst>
            <a:ext uri="{FF2B5EF4-FFF2-40B4-BE49-F238E27FC236}">
              <a16:creationId xmlns:a16="http://schemas.microsoft.com/office/drawing/2014/main" id="{5467704C-6316-4127-B0D4-35F9ECA4243B}"/>
            </a:ext>
          </a:extLst>
        </xdr:cNvPr>
        <xdr:cNvSpPr/>
      </xdr:nvSpPr>
      <xdr:spPr>
        <a:xfrm>
          <a:off x="2197100" y="179324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[1]!CapacityFactorDefinition" textlink="">
      <xdr:nvSpPr>
        <xdr:cNvPr id="42" name="Oval 41">
          <a:extLst>
            <a:ext uri="{FF2B5EF4-FFF2-40B4-BE49-F238E27FC236}">
              <a16:creationId xmlns:a16="http://schemas.microsoft.com/office/drawing/2014/main" id="{D2CB6EA4-FBB2-4E08-ACCF-75DA22988BEB}"/>
            </a:ext>
          </a:extLst>
        </xdr:cNvPr>
        <xdr:cNvSpPr/>
      </xdr:nvSpPr>
      <xdr:spPr>
        <a:xfrm>
          <a:off x="2197100" y="179324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[1]!CapacityFactorDefinition" textlink="">
      <xdr:nvSpPr>
        <xdr:cNvPr id="43" name="Oval 42">
          <a:extLst>
            <a:ext uri="{FF2B5EF4-FFF2-40B4-BE49-F238E27FC236}">
              <a16:creationId xmlns:a16="http://schemas.microsoft.com/office/drawing/2014/main" id="{9AAC4166-5F37-4212-B205-126F91CAB3A6}"/>
            </a:ext>
          </a:extLst>
        </xdr:cNvPr>
        <xdr:cNvSpPr/>
      </xdr:nvSpPr>
      <xdr:spPr>
        <a:xfrm>
          <a:off x="2197100" y="179324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6682DF6B-D9B1-4E9F-BCEC-E3809621F4E9}"/>
            </a:ext>
          </a:extLst>
        </xdr:cNvPr>
        <xdr:cNvSpPr/>
      </xdr:nvSpPr>
      <xdr:spPr>
        <a:xfrm>
          <a:off x="2197100" y="179324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224BAA05-291B-41E3-96B5-2505A61562EB}"/>
            </a:ext>
          </a:extLst>
        </xdr:cNvPr>
        <xdr:cNvSpPr/>
      </xdr:nvSpPr>
      <xdr:spPr>
        <a:xfrm>
          <a:off x="2197100" y="179324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2663FF28-A5D5-4515-98F9-5B95625A0876}"/>
            </a:ext>
          </a:extLst>
        </xdr:cNvPr>
        <xdr:cNvSpPr/>
      </xdr:nvSpPr>
      <xdr:spPr>
        <a:xfrm>
          <a:off x="2197100" y="179324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[1]!CapacityFactorDefinition" textlink="">
      <xdr:nvSpPr>
        <xdr:cNvPr id="47" name="Oval 46">
          <a:extLst>
            <a:ext uri="{FF2B5EF4-FFF2-40B4-BE49-F238E27FC236}">
              <a16:creationId xmlns:a16="http://schemas.microsoft.com/office/drawing/2014/main" id="{A9282258-E898-451B-BA67-B4DC47DE2B11}"/>
            </a:ext>
          </a:extLst>
        </xdr:cNvPr>
        <xdr:cNvSpPr/>
      </xdr:nvSpPr>
      <xdr:spPr>
        <a:xfrm>
          <a:off x="2197100" y="179324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[1]!CapacityFactorDefinition" textlink="">
      <xdr:nvSpPr>
        <xdr:cNvPr id="48" name="Oval 47">
          <a:extLst>
            <a:ext uri="{FF2B5EF4-FFF2-40B4-BE49-F238E27FC236}">
              <a16:creationId xmlns:a16="http://schemas.microsoft.com/office/drawing/2014/main" id="{82E5AFA8-24D7-4FA5-9D72-8D961DF02D4E}"/>
            </a:ext>
          </a:extLst>
        </xdr:cNvPr>
        <xdr:cNvSpPr/>
      </xdr:nvSpPr>
      <xdr:spPr>
        <a:xfrm>
          <a:off x="2197100" y="179324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[1]!CapacityFactorDefinition" textlink="">
      <xdr:nvSpPr>
        <xdr:cNvPr id="49" name="Oval 48">
          <a:extLst>
            <a:ext uri="{FF2B5EF4-FFF2-40B4-BE49-F238E27FC236}">
              <a16:creationId xmlns:a16="http://schemas.microsoft.com/office/drawing/2014/main" id="{FA4AC34D-0EA2-4DDD-9F5B-6574352F9738}"/>
            </a:ext>
          </a:extLst>
        </xdr:cNvPr>
        <xdr:cNvSpPr/>
      </xdr:nvSpPr>
      <xdr:spPr>
        <a:xfrm>
          <a:off x="2197100" y="179324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E49B7284-68B4-4C0F-94A3-38EC08BBCBF7}"/>
            </a:ext>
          </a:extLst>
        </xdr:cNvPr>
        <xdr:cNvSpPr/>
      </xdr:nvSpPr>
      <xdr:spPr>
        <a:xfrm>
          <a:off x="2197100" y="179324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3F748EA6-3029-4EB1-93D4-96DF3E80272A}"/>
            </a:ext>
          </a:extLst>
        </xdr:cNvPr>
        <xdr:cNvSpPr/>
      </xdr:nvSpPr>
      <xdr:spPr>
        <a:xfrm>
          <a:off x="2197100" y="179324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</xdr:row>
      <xdr:rowOff>19050</xdr:rowOff>
    </xdr:from>
    <xdr:to>
      <xdr:col>9</xdr:col>
      <xdr:colOff>156210</xdr:colOff>
      <xdr:row>3</xdr:row>
      <xdr:rowOff>156210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1626B807-96A7-46F0-B1AC-D26243D0E2D0}"/>
            </a:ext>
          </a:extLst>
        </xdr:cNvPr>
        <xdr:cNvSpPr/>
      </xdr:nvSpPr>
      <xdr:spPr>
        <a:xfrm>
          <a:off x="2197100" y="179324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wnloads/2021-ATB-Data_Master%20(1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lley/Dropbox%20(Energy%20Innovation)/PC%20(2)/Desktop/Ongoing%20Work/NREL%20ATB%20Updates/2022%20Data/2022%20v1%20Annual%20Technology%20Baseline%20Workbook%20Original%206-14-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face and Contents"/>
      <sheetName val="Financial Definitions"/>
      <sheetName val="Offshore Wind"/>
      <sheetName val="Land-Based Wind"/>
      <sheetName val="Solar - Utility PV"/>
      <sheetName val="Solar - PV Dist. Comm"/>
      <sheetName val="Solar - PV Dist. Res"/>
      <sheetName val="Solar - CSP"/>
      <sheetName val="Geothermal"/>
      <sheetName val="Hydropower"/>
      <sheetName val="Nuclear"/>
      <sheetName val="Biopower"/>
      <sheetName val="Utility-Scale PV-Plus-Battery"/>
      <sheetName val="Coal_FE"/>
      <sheetName val="Natural Gas_FE"/>
      <sheetName val="Utility-Scale Battery Storage"/>
      <sheetName val="Commercial Battery Storage"/>
      <sheetName val="Residential Battery Storage"/>
      <sheetName val="Pumped Storage Hydropower"/>
      <sheetName val="WACC Calc"/>
      <sheetName val="Summary"/>
      <sheetName val="Summary_CAPEX"/>
      <sheetName val="Summary_CF"/>
      <sheetName val="Summary_LCOE"/>
      <sheetName val="Summary_FOM"/>
      <sheetName val="Summary_VOM"/>
      <sheetName val="Summary_Fuel"/>
      <sheetName val="LCOE Range"/>
      <sheetName val="PV OCC"/>
      <sheetName val="Program Goals"/>
      <sheetName val="2021-ATB-Data_Master (1)"/>
    </sheetNames>
    <definedNames>
      <definedName name="CapacityFactorDefinitio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face and Contents"/>
      <sheetName val="Financial Definitions"/>
      <sheetName val="Financial and CRP Inputs"/>
      <sheetName val="Offshore Wind"/>
      <sheetName val="Land-Based Wind"/>
      <sheetName val="Distributed Wind"/>
      <sheetName val="Solar - Utility PV"/>
      <sheetName val="Solar - PV Dist. Comm"/>
      <sheetName val="Solar - PV Dist. Res"/>
      <sheetName val="Solar - CSP"/>
      <sheetName val="Geothermal"/>
      <sheetName val="Hydropower"/>
      <sheetName val="Nuclear"/>
      <sheetName val="Biopower"/>
      <sheetName val="Utility-Scale PV-Plus-Battery"/>
      <sheetName val="Coal_FE"/>
      <sheetName val="Natural Gas_FE"/>
      <sheetName val="Utility-Scale Battery Storage"/>
      <sheetName val="Commercial Battery Storage"/>
      <sheetName val="Residential Battery Storage"/>
      <sheetName val="Pumped Storage Hydropower"/>
      <sheetName val="WACC Calc"/>
      <sheetName val="Tax Credits"/>
      <sheetName val="Summary"/>
      <sheetName val="Summary_CAPEX"/>
      <sheetName val="Summary_CF"/>
      <sheetName val="Summary_FCR"/>
      <sheetName val="Summary_LCOE"/>
      <sheetName val="Summary_FOM"/>
      <sheetName val="Summary_VOM"/>
      <sheetName val="Summary_Fuel"/>
      <sheetName val="LCOE Range"/>
      <sheetName val="PV OCC"/>
      <sheetName val="Program Goals"/>
    </sheetNames>
    <sheetDataSet>
      <sheetData sheetId="0"/>
      <sheetData sheetId="1"/>
      <sheetData sheetId="2">
        <row r="5">
          <cell r="B5" t="str">
            <v>Market</v>
          </cell>
          <cell r="E5">
            <v>30</v>
          </cell>
        </row>
        <row r="10">
          <cell r="I10">
            <v>30</v>
          </cell>
          <cell r="J10">
            <v>30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68">
          <cell r="F368">
            <v>2.5000000000000001E-2</v>
          </cell>
          <cell r="G368">
            <v>2.5000000000000001E-2</v>
          </cell>
          <cell r="H368">
            <v>2.5000000000000001E-2</v>
          </cell>
          <cell r="I368">
            <v>2.5000000000000001E-2</v>
          </cell>
          <cell r="J368">
            <v>2.5000000000000001E-2</v>
          </cell>
          <cell r="K368">
            <v>2.5000000000000001E-2</v>
          </cell>
          <cell r="L368">
            <v>2.5000000000000001E-2</v>
          </cell>
          <cell r="M368">
            <v>2.5000000000000001E-2</v>
          </cell>
          <cell r="N368">
            <v>2.5000000000000001E-2</v>
          </cell>
          <cell r="O368">
            <v>2.5000000000000001E-2</v>
          </cell>
          <cell r="P368">
            <v>2.5000000000000001E-2</v>
          </cell>
          <cell r="Q368">
            <v>2.5000000000000001E-2</v>
          </cell>
          <cell r="R368">
            <v>2.5000000000000001E-2</v>
          </cell>
          <cell r="S368">
            <v>2.5000000000000001E-2</v>
          </cell>
          <cell r="T368">
            <v>2.5000000000000001E-2</v>
          </cell>
          <cell r="U368">
            <v>2.5000000000000001E-2</v>
          </cell>
          <cell r="V368">
            <v>2.5000000000000001E-2</v>
          </cell>
          <cell r="W368">
            <v>2.5000000000000001E-2</v>
          </cell>
          <cell r="X368">
            <v>2.5000000000000001E-2</v>
          </cell>
          <cell r="Y368">
            <v>2.5000000000000001E-2</v>
          </cell>
          <cell r="Z368">
            <v>2.5000000000000001E-2</v>
          </cell>
          <cell r="AA368">
            <v>2.5000000000000001E-2</v>
          </cell>
          <cell r="AB368">
            <v>2.5000000000000001E-2</v>
          </cell>
          <cell r="AC368">
            <v>2.5000000000000001E-2</v>
          </cell>
          <cell r="AD368">
            <v>2.5000000000000001E-2</v>
          </cell>
          <cell r="AE368">
            <v>2.5000000000000001E-2</v>
          </cell>
          <cell r="AF368">
            <v>2.5000000000000001E-2</v>
          </cell>
          <cell r="AG368">
            <v>2.5000000000000001E-2</v>
          </cell>
          <cell r="AH368">
            <v>2.5000000000000001E-2</v>
          </cell>
          <cell r="AI368">
            <v>2.5000000000000001E-2</v>
          </cell>
          <cell r="AJ368">
            <v>2.5000000000000001E-2</v>
          </cell>
        </row>
        <row r="369">
          <cell r="F369">
            <v>0.04</v>
          </cell>
          <cell r="G369">
            <v>0.04</v>
          </cell>
          <cell r="H369">
            <v>0.04</v>
          </cell>
          <cell r="I369">
            <v>0.04</v>
          </cell>
          <cell r="J369">
            <v>0.04</v>
          </cell>
          <cell r="K369">
            <v>0.04</v>
          </cell>
          <cell r="L369">
            <v>4.2000000000000003E-2</v>
          </cell>
          <cell r="M369">
            <v>4.4000000000000004E-2</v>
          </cell>
          <cell r="N369">
            <v>4.6000000000000006E-2</v>
          </cell>
          <cell r="O369">
            <v>4.8000000000000008E-2</v>
          </cell>
          <cell r="P369">
            <v>0.05</v>
          </cell>
          <cell r="Q369">
            <v>0.05</v>
          </cell>
          <cell r="R369">
            <v>0.05</v>
          </cell>
          <cell r="S369">
            <v>0.05</v>
          </cell>
          <cell r="T369">
            <v>0.05</v>
          </cell>
          <cell r="U369">
            <v>0.05</v>
          </cell>
          <cell r="V369">
            <v>0.05</v>
          </cell>
          <cell r="W369">
            <v>0.05</v>
          </cell>
          <cell r="X369">
            <v>0.05</v>
          </cell>
          <cell r="Y369">
            <v>0.05</v>
          </cell>
          <cell r="Z369">
            <v>0.05</v>
          </cell>
          <cell r="AA369">
            <v>0.05</v>
          </cell>
          <cell r="AB369">
            <v>0.05</v>
          </cell>
          <cell r="AC369">
            <v>0.05</v>
          </cell>
          <cell r="AD369">
            <v>0.05</v>
          </cell>
          <cell r="AE369">
            <v>0.05</v>
          </cell>
          <cell r="AF369">
            <v>0.05</v>
          </cell>
          <cell r="AG369">
            <v>0.05</v>
          </cell>
          <cell r="AH369">
            <v>0.05</v>
          </cell>
          <cell r="AI369">
            <v>0.05</v>
          </cell>
          <cell r="AJ369">
            <v>0.05</v>
          </cell>
        </row>
        <row r="370">
          <cell r="F370">
            <v>0.04</v>
          </cell>
          <cell r="G370">
            <v>0.04</v>
          </cell>
          <cell r="H370">
            <v>0.04</v>
          </cell>
          <cell r="I370">
            <v>0.04</v>
          </cell>
          <cell r="J370">
            <v>0.04</v>
          </cell>
          <cell r="K370">
            <v>0.04</v>
          </cell>
          <cell r="L370">
            <v>4.2000000000000003E-2</v>
          </cell>
          <cell r="M370">
            <v>4.4000000000000004E-2</v>
          </cell>
          <cell r="N370">
            <v>4.6000000000000006E-2</v>
          </cell>
          <cell r="O370">
            <v>4.8000000000000008E-2</v>
          </cell>
          <cell r="P370">
            <v>0.05</v>
          </cell>
          <cell r="Q370">
            <v>0.05</v>
          </cell>
          <cell r="R370">
            <v>0.05</v>
          </cell>
          <cell r="S370">
            <v>0.05</v>
          </cell>
          <cell r="T370">
            <v>0.05</v>
          </cell>
          <cell r="U370">
            <v>0.05</v>
          </cell>
          <cell r="V370">
            <v>0.05</v>
          </cell>
          <cell r="W370">
            <v>0.05</v>
          </cell>
          <cell r="X370">
            <v>0.05</v>
          </cell>
          <cell r="Y370">
            <v>0.05</v>
          </cell>
          <cell r="Z370">
            <v>0.05</v>
          </cell>
          <cell r="AA370">
            <v>0.05</v>
          </cell>
          <cell r="AB370">
            <v>0.05</v>
          </cell>
          <cell r="AC370">
            <v>0.05</v>
          </cell>
          <cell r="AD370">
            <v>0.05</v>
          </cell>
          <cell r="AE370">
            <v>0.05</v>
          </cell>
          <cell r="AF370">
            <v>0.05</v>
          </cell>
          <cell r="AG370">
            <v>0.05</v>
          </cell>
          <cell r="AH370">
            <v>0.05</v>
          </cell>
          <cell r="AI370">
            <v>0.05</v>
          </cell>
          <cell r="AJ370">
            <v>0.05</v>
          </cell>
        </row>
        <row r="371">
          <cell r="F371">
            <v>0.04</v>
          </cell>
          <cell r="G371">
            <v>0.04</v>
          </cell>
          <cell r="H371">
            <v>0.04</v>
          </cell>
          <cell r="I371">
            <v>0.04</v>
          </cell>
          <cell r="J371">
            <v>0.04</v>
          </cell>
          <cell r="K371">
            <v>0.04</v>
          </cell>
          <cell r="L371">
            <v>4.2000000000000003E-2</v>
          </cell>
          <cell r="M371">
            <v>4.4000000000000004E-2</v>
          </cell>
          <cell r="N371">
            <v>4.6000000000000006E-2</v>
          </cell>
          <cell r="O371">
            <v>4.8000000000000008E-2</v>
          </cell>
          <cell r="P371">
            <v>0.05</v>
          </cell>
          <cell r="Q371">
            <v>0.05</v>
          </cell>
          <cell r="R371">
            <v>0.05</v>
          </cell>
          <cell r="S371">
            <v>0.05</v>
          </cell>
          <cell r="T371">
            <v>0.05</v>
          </cell>
          <cell r="U371">
            <v>0.05</v>
          </cell>
          <cell r="V371">
            <v>0.05</v>
          </cell>
          <cell r="W371">
            <v>0.05</v>
          </cell>
          <cell r="X371">
            <v>0.05</v>
          </cell>
          <cell r="Y371">
            <v>0.05</v>
          </cell>
          <cell r="Z371">
            <v>0.05</v>
          </cell>
          <cell r="AA371">
            <v>0.05</v>
          </cell>
          <cell r="AB371">
            <v>0.05</v>
          </cell>
          <cell r="AC371">
            <v>0.05</v>
          </cell>
          <cell r="AD371">
            <v>0.05</v>
          </cell>
          <cell r="AE371">
            <v>0.05</v>
          </cell>
          <cell r="AF371">
            <v>0.05</v>
          </cell>
          <cell r="AG371">
            <v>0.05</v>
          </cell>
          <cell r="AH371">
            <v>0.05</v>
          </cell>
          <cell r="AI371">
            <v>0.05</v>
          </cell>
          <cell r="AJ371">
            <v>0.05</v>
          </cell>
        </row>
        <row r="375">
          <cell r="F375">
            <v>3.5000000000000003E-2</v>
          </cell>
          <cell r="G375">
            <v>3.5000000000000003E-2</v>
          </cell>
          <cell r="H375">
            <v>3.5000000000000003E-2</v>
          </cell>
          <cell r="I375">
            <v>3.5000000000000003E-2</v>
          </cell>
          <cell r="J375">
            <v>3.5000000000000003E-2</v>
          </cell>
          <cell r="K375">
            <v>3.5000000000000003E-2</v>
          </cell>
          <cell r="L375">
            <v>3.7000000000000005E-2</v>
          </cell>
          <cell r="M375">
            <v>3.9000000000000007E-2</v>
          </cell>
          <cell r="N375">
            <v>4.1000000000000009E-2</v>
          </cell>
          <cell r="O375">
            <v>4.300000000000001E-2</v>
          </cell>
          <cell r="P375">
            <v>4.4999999999999998E-2</v>
          </cell>
          <cell r="Q375">
            <v>4.4999999999999998E-2</v>
          </cell>
          <cell r="R375">
            <v>4.4999999999999998E-2</v>
          </cell>
          <cell r="S375">
            <v>4.4999999999999998E-2</v>
          </cell>
          <cell r="T375">
            <v>4.4999999999999998E-2</v>
          </cell>
          <cell r="U375">
            <v>4.4999999999999998E-2</v>
          </cell>
          <cell r="V375">
            <v>4.4999999999999998E-2</v>
          </cell>
          <cell r="W375">
            <v>4.4999999999999998E-2</v>
          </cell>
          <cell r="X375">
            <v>4.4999999999999998E-2</v>
          </cell>
          <cell r="Y375">
            <v>4.4999999999999998E-2</v>
          </cell>
          <cell r="Z375">
            <v>4.4999999999999998E-2</v>
          </cell>
          <cell r="AA375">
            <v>4.4999999999999998E-2</v>
          </cell>
          <cell r="AB375">
            <v>4.4999999999999998E-2</v>
          </cell>
          <cell r="AC375">
            <v>4.4999999999999998E-2</v>
          </cell>
          <cell r="AD375">
            <v>4.4999999999999998E-2</v>
          </cell>
          <cell r="AE375">
            <v>4.4999999999999998E-2</v>
          </cell>
          <cell r="AF375">
            <v>4.4999999999999998E-2</v>
          </cell>
          <cell r="AG375">
            <v>4.4999999999999998E-2</v>
          </cell>
          <cell r="AH375">
            <v>4.4999999999999998E-2</v>
          </cell>
          <cell r="AI375">
            <v>4.4999999999999998E-2</v>
          </cell>
          <cell r="AJ375">
            <v>4.4999999999999998E-2</v>
          </cell>
        </row>
        <row r="376">
          <cell r="F376">
            <v>8.7999999999999995E-2</v>
          </cell>
          <cell r="G376">
            <v>8.7999999999999995E-2</v>
          </cell>
          <cell r="H376">
            <v>8.7999999999999995E-2</v>
          </cell>
          <cell r="I376">
            <v>8.7999999999999995E-2</v>
          </cell>
          <cell r="J376">
            <v>8.7999999999999995E-2</v>
          </cell>
          <cell r="K376">
            <v>8.7999999999999995E-2</v>
          </cell>
          <cell r="L376">
            <v>8.7999999999999995E-2</v>
          </cell>
          <cell r="M376">
            <v>8.7999999999999995E-2</v>
          </cell>
          <cell r="N376">
            <v>8.7999999999999995E-2</v>
          </cell>
          <cell r="O376">
            <v>8.7999999999999995E-2</v>
          </cell>
          <cell r="P376">
            <v>8.7999999999999995E-2</v>
          </cell>
          <cell r="Q376">
            <v>8.7999999999999995E-2</v>
          </cell>
          <cell r="R376">
            <v>8.7999999999999995E-2</v>
          </cell>
          <cell r="S376">
            <v>8.7999999999999995E-2</v>
          </cell>
          <cell r="T376">
            <v>8.7999999999999995E-2</v>
          </cell>
          <cell r="U376">
            <v>8.7999999999999995E-2</v>
          </cell>
          <cell r="V376">
            <v>8.7999999999999995E-2</v>
          </cell>
          <cell r="W376">
            <v>8.7999999999999995E-2</v>
          </cell>
          <cell r="X376">
            <v>8.7999999999999995E-2</v>
          </cell>
          <cell r="Y376">
            <v>8.7999999999999995E-2</v>
          </cell>
          <cell r="Z376">
            <v>8.7999999999999995E-2</v>
          </cell>
          <cell r="AA376">
            <v>8.7999999999999995E-2</v>
          </cell>
          <cell r="AB376">
            <v>8.7999999999999995E-2</v>
          </cell>
          <cell r="AC376">
            <v>8.7999999999999995E-2</v>
          </cell>
          <cell r="AD376">
            <v>8.7999999999999995E-2</v>
          </cell>
          <cell r="AE376">
            <v>8.7999999999999995E-2</v>
          </cell>
          <cell r="AF376">
            <v>8.7999999999999995E-2</v>
          </cell>
          <cell r="AG376">
            <v>8.7999999999999995E-2</v>
          </cell>
          <cell r="AH376">
            <v>8.7999999999999995E-2</v>
          </cell>
          <cell r="AI376">
            <v>8.7999999999999995E-2</v>
          </cell>
          <cell r="AJ376">
            <v>8.7999999999999995E-2</v>
          </cell>
        </row>
        <row r="377">
          <cell r="F377">
            <v>8.7999999999999995E-2</v>
          </cell>
          <cell r="G377">
            <v>8.7999999999999995E-2</v>
          </cell>
          <cell r="H377">
            <v>8.7999999999999995E-2</v>
          </cell>
          <cell r="I377">
            <v>8.7999999999999995E-2</v>
          </cell>
          <cell r="J377">
            <v>8.7999999999999995E-2</v>
          </cell>
          <cell r="K377">
            <v>8.7999999999999995E-2</v>
          </cell>
          <cell r="L377">
            <v>8.7999999999999995E-2</v>
          </cell>
          <cell r="M377">
            <v>8.7999999999999995E-2</v>
          </cell>
          <cell r="N377">
            <v>8.7999999999999995E-2</v>
          </cell>
          <cell r="O377">
            <v>8.7999999999999995E-2</v>
          </cell>
          <cell r="P377">
            <v>8.7999999999999995E-2</v>
          </cell>
          <cell r="Q377">
            <v>8.7999999999999995E-2</v>
          </cell>
          <cell r="R377">
            <v>8.7999999999999995E-2</v>
          </cell>
          <cell r="S377">
            <v>8.7999999999999995E-2</v>
          </cell>
          <cell r="T377">
            <v>8.7999999999999995E-2</v>
          </cell>
          <cell r="U377">
            <v>8.7999999999999995E-2</v>
          </cell>
          <cell r="V377">
            <v>8.7999999999999995E-2</v>
          </cell>
          <cell r="W377">
            <v>8.7999999999999995E-2</v>
          </cell>
          <cell r="X377">
            <v>8.7999999999999995E-2</v>
          </cell>
          <cell r="Y377">
            <v>8.7999999999999995E-2</v>
          </cell>
          <cell r="Z377">
            <v>8.7999999999999995E-2</v>
          </cell>
          <cell r="AA377">
            <v>8.7999999999999995E-2</v>
          </cell>
          <cell r="AB377">
            <v>8.7999999999999995E-2</v>
          </cell>
          <cell r="AC377">
            <v>8.7999999999999995E-2</v>
          </cell>
          <cell r="AD377">
            <v>8.7999999999999995E-2</v>
          </cell>
          <cell r="AE377">
            <v>8.7999999999999995E-2</v>
          </cell>
          <cell r="AF377">
            <v>8.7999999999999995E-2</v>
          </cell>
          <cell r="AG377">
            <v>8.7999999999999995E-2</v>
          </cell>
          <cell r="AH377">
            <v>8.7999999999999995E-2</v>
          </cell>
          <cell r="AI377">
            <v>8.7999999999999995E-2</v>
          </cell>
          <cell r="AJ377">
            <v>8.7999999999999995E-2</v>
          </cell>
        </row>
        <row r="378">
          <cell r="F378">
            <v>8.7999999999999995E-2</v>
          </cell>
          <cell r="G378">
            <v>8.7999999999999995E-2</v>
          </cell>
          <cell r="H378">
            <v>8.7999999999999995E-2</v>
          </cell>
          <cell r="I378">
            <v>8.7999999999999995E-2</v>
          </cell>
          <cell r="J378">
            <v>8.7999999999999995E-2</v>
          </cell>
          <cell r="K378">
            <v>8.7999999999999995E-2</v>
          </cell>
          <cell r="L378">
            <v>8.7999999999999995E-2</v>
          </cell>
          <cell r="M378">
            <v>8.7999999999999995E-2</v>
          </cell>
          <cell r="N378">
            <v>8.7999999999999995E-2</v>
          </cell>
          <cell r="O378">
            <v>8.7999999999999995E-2</v>
          </cell>
          <cell r="P378">
            <v>8.7999999999999995E-2</v>
          </cell>
          <cell r="Q378">
            <v>8.7999999999999995E-2</v>
          </cell>
          <cell r="R378">
            <v>8.7999999999999995E-2</v>
          </cell>
          <cell r="S378">
            <v>8.7999999999999995E-2</v>
          </cell>
          <cell r="T378">
            <v>8.7999999999999995E-2</v>
          </cell>
          <cell r="U378">
            <v>8.7999999999999995E-2</v>
          </cell>
          <cell r="V378">
            <v>8.7999999999999995E-2</v>
          </cell>
          <cell r="W378">
            <v>8.7999999999999995E-2</v>
          </cell>
          <cell r="X378">
            <v>8.7999999999999995E-2</v>
          </cell>
          <cell r="Y378">
            <v>8.7999999999999995E-2</v>
          </cell>
          <cell r="Z378">
            <v>8.7999999999999995E-2</v>
          </cell>
          <cell r="AA378">
            <v>8.7999999999999995E-2</v>
          </cell>
          <cell r="AB378">
            <v>8.7999999999999995E-2</v>
          </cell>
          <cell r="AC378">
            <v>8.7999999999999995E-2</v>
          </cell>
          <cell r="AD378">
            <v>8.7999999999999995E-2</v>
          </cell>
          <cell r="AE378">
            <v>8.7999999999999995E-2</v>
          </cell>
          <cell r="AF378">
            <v>8.7999999999999995E-2</v>
          </cell>
          <cell r="AG378">
            <v>8.7999999999999995E-2</v>
          </cell>
          <cell r="AH378">
            <v>8.7999999999999995E-2</v>
          </cell>
          <cell r="AI378">
            <v>8.7999999999999995E-2</v>
          </cell>
          <cell r="AJ378">
            <v>8.7999999999999995E-2</v>
          </cell>
        </row>
        <row r="382">
          <cell r="F382">
            <v>0.53694430872108401</v>
          </cell>
          <cell r="G382">
            <v>0.53694430872108401</v>
          </cell>
          <cell r="H382">
            <v>0.53694430872108401</v>
          </cell>
          <cell r="I382">
            <v>0.53694430872108401</v>
          </cell>
          <cell r="J382">
            <v>0.56650043095204661</v>
          </cell>
          <cell r="K382">
            <v>0.56650043095204661</v>
          </cell>
          <cell r="L382">
            <v>0.68472491987589723</v>
          </cell>
          <cell r="M382">
            <v>0.6810640481543333</v>
          </cell>
          <cell r="N382">
            <v>0.67740317643276937</v>
          </cell>
          <cell r="O382">
            <v>0.67374230471120544</v>
          </cell>
          <cell r="P382">
            <v>0.6700814329896414</v>
          </cell>
          <cell r="Q382">
            <v>0.6700814329896414</v>
          </cell>
          <cell r="R382">
            <v>0.6700814329896414</v>
          </cell>
          <cell r="S382">
            <v>0.6700814329896414</v>
          </cell>
          <cell r="T382">
            <v>0.6700814329896414</v>
          </cell>
          <cell r="U382">
            <v>0.6700814329896414</v>
          </cell>
          <cell r="V382">
            <v>0.6700814329896414</v>
          </cell>
          <cell r="W382">
            <v>0.6700814329896414</v>
          </cell>
          <cell r="X382">
            <v>0.6700814329896414</v>
          </cell>
          <cell r="Y382">
            <v>0.6700814329896414</v>
          </cell>
          <cell r="Z382">
            <v>0.6700814329896414</v>
          </cell>
          <cell r="AA382">
            <v>0.6700814329896414</v>
          </cell>
          <cell r="AB382">
            <v>0.6700814329896414</v>
          </cell>
          <cell r="AC382">
            <v>0.6700814329896414</v>
          </cell>
          <cell r="AD382">
            <v>0.6700814329896414</v>
          </cell>
          <cell r="AE382">
            <v>0.6700814329896414</v>
          </cell>
          <cell r="AF382">
            <v>0.6700814329896414</v>
          </cell>
          <cell r="AG382">
            <v>0.6700814329896414</v>
          </cell>
          <cell r="AH382">
            <v>0.6700814329896414</v>
          </cell>
          <cell r="AI382">
            <v>0.6700814329896414</v>
          </cell>
          <cell r="AJ382">
            <v>0.6700814329896414</v>
          </cell>
        </row>
        <row r="383">
          <cell r="F383">
            <v>0.53694430872108401</v>
          </cell>
          <cell r="G383">
            <v>0.53694430872108401</v>
          </cell>
          <cell r="H383">
            <v>0.53694430872108401</v>
          </cell>
          <cell r="I383">
            <v>0.53694430872108401</v>
          </cell>
          <cell r="J383">
            <v>0.56650043095204661</v>
          </cell>
          <cell r="K383">
            <v>0.56650043095204661</v>
          </cell>
          <cell r="L383">
            <v>0.68472491987589723</v>
          </cell>
          <cell r="M383">
            <v>0.6810640481543333</v>
          </cell>
          <cell r="N383">
            <v>0.67740317643276937</v>
          </cell>
          <cell r="O383">
            <v>0.67374230471120544</v>
          </cell>
          <cell r="P383">
            <v>0.6700814329896414</v>
          </cell>
          <cell r="Q383">
            <v>0.6700814329896414</v>
          </cell>
          <cell r="R383">
            <v>0.6700814329896414</v>
          </cell>
          <cell r="S383">
            <v>0.6700814329896414</v>
          </cell>
          <cell r="T383">
            <v>0.6700814329896414</v>
          </cell>
          <cell r="U383">
            <v>0.6700814329896414</v>
          </cell>
          <cell r="V383">
            <v>0.6700814329896414</v>
          </cell>
          <cell r="W383">
            <v>0.6700814329896414</v>
          </cell>
          <cell r="X383">
            <v>0.6700814329896414</v>
          </cell>
          <cell r="Y383">
            <v>0.6700814329896414</v>
          </cell>
          <cell r="Z383">
            <v>0.6700814329896414</v>
          </cell>
          <cell r="AA383">
            <v>0.6700814329896414</v>
          </cell>
          <cell r="AB383">
            <v>0.6700814329896414</v>
          </cell>
          <cell r="AC383">
            <v>0.6700814329896414</v>
          </cell>
          <cell r="AD383">
            <v>0.6700814329896414</v>
          </cell>
          <cell r="AE383">
            <v>0.6700814329896414</v>
          </cell>
          <cell r="AF383">
            <v>0.6700814329896414</v>
          </cell>
          <cell r="AG383">
            <v>0.6700814329896414</v>
          </cell>
          <cell r="AH383">
            <v>0.6700814329896414</v>
          </cell>
          <cell r="AI383">
            <v>0.6700814329896414</v>
          </cell>
          <cell r="AJ383">
            <v>0.6700814329896414</v>
          </cell>
        </row>
        <row r="384">
          <cell r="F384">
            <v>0.53694430872108401</v>
          </cell>
          <cell r="G384">
            <v>0.53694430872108401</v>
          </cell>
          <cell r="H384">
            <v>0.53694430872108401</v>
          </cell>
          <cell r="I384">
            <v>0.53694430872108401</v>
          </cell>
          <cell r="J384">
            <v>0.56650043095204661</v>
          </cell>
          <cell r="K384">
            <v>0.56650043095204661</v>
          </cell>
          <cell r="L384">
            <v>0.68472491987589723</v>
          </cell>
          <cell r="M384">
            <v>0.6810640481543333</v>
          </cell>
          <cell r="N384">
            <v>0.67740317643276937</v>
          </cell>
          <cell r="O384">
            <v>0.67374230471120544</v>
          </cell>
          <cell r="P384">
            <v>0.6700814329896414</v>
          </cell>
          <cell r="Q384">
            <v>0.6700814329896414</v>
          </cell>
          <cell r="R384">
            <v>0.6700814329896414</v>
          </cell>
          <cell r="S384">
            <v>0.6700814329896414</v>
          </cell>
          <cell r="T384">
            <v>0.6700814329896414</v>
          </cell>
          <cell r="U384">
            <v>0.6700814329896414</v>
          </cell>
          <cell r="V384">
            <v>0.6700814329896414</v>
          </cell>
          <cell r="W384">
            <v>0.6700814329896414</v>
          </cell>
          <cell r="X384">
            <v>0.6700814329896414</v>
          </cell>
          <cell r="Y384">
            <v>0.6700814329896414</v>
          </cell>
          <cell r="Z384">
            <v>0.6700814329896414</v>
          </cell>
          <cell r="AA384">
            <v>0.6700814329896414</v>
          </cell>
          <cell r="AB384">
            <v>0.6700814329896414</v>
          </cell>
          <cell r="AC384">
            <v>0.6700814329896414</v>
          </cell>
          <cell r="AD384">
            <v>0.6700814329896414</v>
          </cell>
          <cell r="AE384">
            <v>0.6700814329896414</v>
          </cell>
          <cell r="AF384">
            <v>0.6700814329896414</v>
          </cell>
          <cell r="AG384">
            <v>0.6700814329896414</v>
          </cell>
          <cell r="AH384">
            <v>0.6700814329896414</v>
          </cell>
          <cell r="AI384">
            <v>0.6700814329896414</v>
          </cell>
          <cell r="AJ384">
            <v>0.6700814329896414</v>
          </cell>
        </row>
        <row r="385">
          <cell r="F385">
            <v>0.25739999999999996</v>
          </cell>
          <cell r="G385">
            <v>0.25739999999999996</v>
          </cell>
          <cell r="H385">
            <v>0.25739999999999996</v>
          </cell>
          <cell r="I385">
            <v>0.25739999999999996</v>
          </cell>
          <cell r="J385">
            <v>0.25739999999999996</v>
          </cell>
          <cell r="K385">
            <v>0.25739999999999996</v>
          </cell>
          <cell r="L385">
            <v>0.25739999999999996</v>
          </cell>
          <cell r="M385">
            <v>0.25739999999999996</v>
          </cell>
          <cell r="N385">
            <v>0.25739999999999996</v>
          </cell>
          <cell r="O385">
            <v>0.25739999999999996</v>
          </cell>
          <cell r="P385">
            <v>0.25739999999999996</v>
          </cell>
          <cell r="Q385">
            <v>0.25739999999999996</v>
          </cell>
          <cell r="R385">
            <v>0.25739999999999996</v>
          </cell>
          <cell r="S385">
            <v>0.25739999999999996</v>
          </cell>
          <cell r="T385">
            <v>0.25739999999999996</v>
          </cell>
          <cell r="U385">
            <v>0.25739999999999996</v>
          </cell>
          <cell r="V385">
            <v>0.25739999999999996</v>
          </cell>
          <cell r="W385">
            <v>0.25739999999999996</v>
          </cell>
          <cell r="X385">
            <v>0.25739999999999996</v>
          </cell>
          <cell r="Y385">
            <v>0.25739999999999996</v>
          </cell>
          <cell r="Z385">
            <v>0.25739999999999996</v>
          </cell>
          <cell r="AA385">
            <v>0.25739999999999996</v>
          </cell>
          <cell r="AB385">
            <v>0.25739999999999996</v>
          </cell>
          <cell r="AC385">
            <v>0.25739999999999996</v>
          </cell>
          <cell r="AD385">
            <v>0.25739999999999996</v>
          </cell>
          <cell r="AE385">
            <v>0.25739999999999996</v>
          </cell>
          <cell r="AF385">
            <v>0.25739999999999996</v>
          </cell>
          <cell r="AG385">
            <v>0.25739999999999996</v>
          </cell>
          <cell r="AH385">
            <v>0.25739999999999996</v>
          </cell>
          <cell r="AI385">
            <v>0.25739999999999996</v>
          </cell>
          <cell r="AJ385">
            <v>0.25739999999999996</v>
          </cell>
        </row>
        <row r="550">
          <cell r="F550">
            <v>2.5000000000000001E-2</v>
          </cell>
          <cell r="G550">
            <v>2.5000000000000001E-2</v>
          </cell>
          <cell r="H550">
            <v>2.5000000000000001E-2</v>
          </cell>
          <cell r="I550">
            <v>2.5000000000000001E-2</v>
          </cell>
          <cell r="J550">
            <v>2.5000000000000001E-2</v>
          </cell>
          <cell r="K550">
            <v>2.5000000000000001E-2</v>
          </cell>
          <cell r="L550">
            <v>2.5000000000000001E-2</v>
          </cell>
          <cell r="M550">
            <v>2.5000000000000001E-2</v>
          </cell>
          <cell r="N550">
            <v>2.5000000000000001E-2</v>
          </cell>
          <cell r="O550">
            <v>2.5000000000000001E-2</v>
          </cell>
          <cell r="P550">
            <v>2.5000000000000001E-2</v>
          </cell>
          <cell r="Q550">
            <v>2.5000000000000001E-2</v>
          </cell>
          <cell r="R550">
            <v>2.5000000000000001E-2</v>
          </cell>
          <cell r="S550">
            <v>2.5000000000000001E-2</v>
          </cell>
          <cell r="T550">
            <v>2.5000000000000001E-2</v>
          </cell>
          <cell r="U550">
            <v>2.5000000000000001E-2</v>
          </cell>
          <cell r="V550">
            <v>2.5000000000000001E-2</v>
          </cell>
          <cell r="W550">
            <v>2.5000000000000001E-2</v>
          </cell>
          <cell r="X550">
            <v>2.5000000000000001E-2</v>
          </cell>
          <cell r="Y550">
            <v>2.5000000000000001E-2</v>
          </cell>
          <cell r="Z550">
            <v>2.5000000000000001E-2</v>
          </cell>
          <cell r="AA550">
            <v>2.5000000000000001E-2</v>
          </cell>
          <cell r="AB550">
            <v>2.5000000000000001E-2</v>
          </cell>
          <cell r="AC550">
            <v>2.5000000000000001E-2</v>
          </cell>
          <cell r="AD550">
            <v>2.5000000000000001E-2</v>
          </cell>
          <cell r="AE550">
            <v>2.5000000000000001E-2</v>
          </cell>
          <cell r="AF550">
            <v>2.5000000000000001E-2</v>
          </cell>
          <cell r="AG550">
            <v>2.5000000000000001E-2</v>
          </cell>
          <cell r="AH550">
            <v>2.5000000000000001E-2</v>
          </cell>
          <cell r="AI550">
            <v>2.5000000000000001E-2</v>
          </cell>
          <cell r="AJ550">
            <v>2.5000000000000001E-2</v>
          </cell>
        </row>
        <row r="551">
          <cell r="F551">
            <v>0.04</v>
          </cell>
          <cell r="G551">
            <v>0.04</v>
          </cell>
          <cell r="H551">
            <v>0.04</v>
          </cell>
          <cell r="I551">
            <v>0.04</v>
          </cell>
          <cell r="J551">
            <v>0.04</v>
          </cell>
          <cell r="K551">
            <v>0.04</v>
          </cell>
          <cell r="L551">
            <v>0.04</v>
          </cell>
          <cell r="M551">
            <v>0.04</v>
          </cell>
          <cell r="N551">
            <v>0.04</v>
          </cell>
          <cell r="O551">
            <v>0.04</v>
          </cell>
          <cell r="P551">
            <v>0.04</v>
          </cell>
          <cell r="Q551">
            <v>0.04</v>
          </cell>
          <cell r="R551">
            <v>0.04</v>
          </cell>
          <cell r="S551">
            <v>0.04</v>
          </cell>
          <cell r="T551">
            <v>0.04</v>
          </cell>
          <cell r="U551">
            <v>0.04</v>
          </cell>
          <cell r="V551">
            <v>0.04</v>
          </cell>
          <cell r="W551">
            <v>0.04</v>
          </cell>
          <cell r="X551">
            <v>0.04</v>
          </cell>
          <cell r="Y551">
            <v>0.04</v>
          </cell>
          <cell r="Z551">
            <v>0.04</v>
          </cell>
          <cell r="AA551">
            <v>0.04</v>
          </cell>
          <cell r="AB551">
            <v>0.04</v>
          </cell>
          <cell r="AC551">
            <v>0.04</v>
          </cell>
          <cell r="AD551">
            <v>0.04</v>
          </cell>
          <cell r="AE551">
            <v>0.04</v>
          </cell>
          <cell r="AF551">
            <v>0.04</v>
          </cell>
          <cell r="AG551">
            <v>0.04</v>
          </cell>
          <cell r="AH551">
            <v>0.04</v>
          </cell>
          <cell r="AI551">
            <v>0.04</v>
          </cell>
          <cell r="AJ551">
            <v>0.04</v>
          </cell>
        </row>
        <row r="552">
          <cell r="F552">
            <v>0.04</v>
          </cell>
          <cell r="G552">
            <v>0.04</v>
          </cell>
          <cell r="H552">
            <v>0.04</v>
          </cell>
          <cell r="I552">
            <v>0.04</v>
          </cell>
          <cell r="J552">
            <v>0.04</v>
          </cell>
          <cell r="K552">
            <v>0.04</v>
          </cell>
          <cell r="L552">
            <v>0.04</v>
          </cell>
          <cell r="M552">
            <v>0.04</v>
          </cell>
          <cell r="N552">
            <v>0.04</v>
          </cell>
          <cell r="O552">
            <v>0.04</v>
          </cell>
          <cell r="P552">
            <v>0.04</v>
          </cell>
          <cell r="Q552">
            <v>0.04</v>
          </cell>
          <cell r="R552">
            <v>0.04</v>
          </cell>
          <cell r="S552">
            <v>0.04</v>
          </cell>
          <cell r="T552">
            <v>0.04</v>
          </cell>
          <cell r="U552">
            <v>0.04</v>
          </cell>
          <cell r="V552">
            <v>0.04</v>
          </cell>
          <cell r="W552">
            <v>0.04</v>
          </cell>
          <cell r="X552">
            <v>0.04</v>
          </cell>
          <cell r="Y552">
            <v>0.04</v>
          </cell>
          <cell r="Z552">
            <v>0.04</v>
          </cell>
          <cell r="AA552">
            <v>0.04</v>
          </cell>
          <cell r="AB552">
            <v>0.04</v>
          </cell>
          <cell r="AC552">
            <v>0.04</v>
          </cell>
          <cell r="AD552">
            <v>0.04</v>
          </cell>
          <cell r="AE552">
            <v>0.04</v>
          </cell>
          <cell r="AF552">
            <v>0.04</v>
          </cell>
          <cell r="AG552">
            <v>0.04</v>
          </cell>
          <cell r="AH552">
            <v>0.04</v>
          </cell>
          <cell r="AI552">
            <v>0.04</v>
          </cell>
          <cell r="AJ552">
            <v>0.04</v>
          </cell>
        </row>
        <row r="553">
          <cell r="F553">
            <v>0.04</v>
          </cell>
          <cell r="G553">
            <v>0.04</v>
          </cell>
          <cell r="H553">
            <v>0.04</v>
          </cell>
          <cell r="I553">
            <v>0.04</v>
          </cell>
          <cell r="J553">
            <v>0.04</v>
          </cell>
          <cell r="K553">
            <v>0.04</v>
          </cell>
          <cell r="L553">
            <v>0.04</v>
          </cell>
          <cell r="M553">
            <v>0.04</v>
          </cell>
          <cell r="N553">
            <v>0.04</v>
          </cell>
          <cell r="O553">
            <v>0.04</v>
          </cell>
          <cell r="P553">
            <v>0.04</v>
          </cell>
          <cell r="Q553">
            <v>0.04</v>
          </cell>
          <cell r="R553">
            <v>0.04</v>
          </cell>
          <cell r="S553">
            <v>0.04</v>
          </cell>
          <cell r="T553">
            <v>0.04</v>
          </cell>
          <cell r="U553">
            <v>0.04</v>
          </cell>
          <cell r="V553">
            <v>0.04</v>
          </cell>
          <cell r="W553">
            <v>0.04</v>
          </cell>
          <cell r="X553">
            <v>0.04</v>
          </cell>
          <cell r="Y553">
            <v>0.04</v>
          </cell>
          <cell r="Z553">
            <v>0.04</v>
          </cell>
          <cell r="AA553">
            <v>0.04</v>
          </cell>
          <cell r="AB553">
            <v>0.04</v>
          </cell>
          <cell r="AC553">
            <v>0.04</v>
          </cell>
          <cell r="AD553">
            <v>0.04</v>
          </cell>
          <cell r="AE553">
            <v>0.04</v>
          </cell>
          <cell r="AF553">
            <v>0.04</v>
          </cell>
          <cell r="AG553">
            <v>0.04</v>
          </cell>
          <cell r="AH553">
            <v>0.04</v>
          </cell>
          <cell r="AI553">
            <v>0.04</v>
          </cell>
          <cell r="AJ553">
            <v>0.04</v>
          </cell>
        </row>
        <row r="557">
          <cell r="F557">
            <v>3.5000000000000003E-2</v>
          </cell>
          <cell r="G557">
            <v>3.5000000000000003E-2</v>
          </cell>
          <cell r="H557">
            <v>3.5000000000000003E-2</v>
          </cell>
          <cell r="I557">
            <v>3.5000000000000003E-2</v>
          </cell>
          <cell r="J557">
            <v>3.5000000000000003E-2</v>
          </cell>
          <cell r="K557">
            <v>3.5000000000000003E-2</v>
          </cell>
          <cell r="L557">
            <v>3.5000000000000003E-2</v>
          </cell>
          <cell r="M557">
            <v>3.5000000000000003E-2</v>
          </cell>
          <cell r="N557">
            <v>3.5000000000000003E-2</v>
          </cell>
          <cell r="O557">
            <v>3.5000000000000003E-2</v>
          </cell>
          <cell r="P557">
            <v>3.5000000000000003E-2</v>
          </cell>
          <cell r="Q557">
            <v>3.5000000000000003E-2</v>
          </cell>
          <cell r="R557">
            <v>3.5000000000000003E-2</v>
          </cell>
          <cell r="S557">
            <v>3.5000000000000003E-2</v>
          </cell>
          <cell r="T557">
            <v>3.5000000000000003E-2</v>
          </cell>
          <cell r="U557">
            <v>3.5000000000000003E-2</v>
          </cell>
          <cell r="V557">
            <v>3.5000000000000003E-2</v>
          </cell>
          <cell r="W557">
            <v>3.5000000000000003E-2</v>
          </cell>
          <cell r="X557">
            <v>3.5000000000000003E-2</v>
          </cell>
          <cell r="Y557">
            <v>3.5000000000000003E-2</v>
          </cell>
          <cell r="Z557">
            <v>3.5000000000000003E-2</v>
          </cell>
          <cell r="AA557">
            <v>3.5000000000000003E-2</v>
          </cell>
          <cell r="AB557">
            <v>3.5000000000000003E-2</v>
          </cell>
          <cell r="AC557">
            <v>3.5000000000000003E-2</v>
          </cell>
          <cell r="AD557">
            <v>3.5000000000000003E-2</v>
          </cell>
          <cell r="AE557">
            <v>3.5000000000000003E-2</v>
          </cell>
          <cell r="AF557">
            <v>3.5000000000000003E-2</v>
          </cell>
          <cell r="AG557">
            <v>3.5000000000000003E-2</v>
          </cell>
          <cell r="AH557">
            <v>3.5000000000000003E-2</v>
          </cell>
          <cell r="AI557">
            <v>3.5000000000000003E-2</v>
          </cell>
          <cell r="AJ557">
            <v>3.5000000000000003E-2</v>
          </cell>
        </row>
        <row r="558">
          <cell r="F558">
            <v>8.7999999999999995E-2</v>
          </cell>
          <cell r="G558">
            <v>8.7999999999999995E-2</v>
          </cell>
          <cell r="H558">
            <v>8.7999999999999995E-2</v>
          </cell>
          <cell r="I558">
            <v>8.7999999999999995E-2</v>
          </cell>
          <cell r="J558">
            <v>8.7999999999999995E-2</v>
          </cell>
          <cell r="K558">
            <v>8.7999999999999995E-2</v>
          </cell>
          <cell r="L558">
            <v>8.7999999999999995E-2</v>
          </cell>
          <cell r="M558">
            <v>8.7999999999999995E-2</v>
          </cell>
          <cell r="N558">
            <v>8.7999999999999995E-2</v>
          </cell>
          <cell r="O558">
            <v>8.7999999999999995E-2</v>
          </cell>
          <cell r="P558">
            <v>8.7999999999999995E-2</v>
          </cell>
          <cell r="Q558">
            <v>8.7999999999999995E-2</v>
          </cell>
          <cell r="R558">
            <v>8.7999999999999995E-2</v>
          </cell>
          <cell r="S558">
            <v>8.7999999999999995E-2</v>
          </cell>
          <cell r="T558">
            <v>8.7999999999999995E-2</v>
          </cell>
          <cell r="U558">
            <v>8.7999999999999995E-2</v>
          </cell>
          <cell r="V558">
            <v>8.7999999999999995E-2</v>
          </cell>
          <cell r="W558">
            <v>8.7999999999999995E-2</v>
          </cell>
          <cell r="X558">
            <v>8.7999999999999995E-2</v>
          </cell>
          <cell r="Y558">
            <v>8.7999999999999995E-2</v>
          </cell>
          <cell r="Z558">
            <v>8.7999999999999995E-2</v>
          </cell>
          <cell r="AA558">
            <v>8.7999999999999995E-2</v>
          </cell>
          <cell r="AB558">
            <v>8.7999999999999995E-2</v>
          </cell>
          <cell r="AC558">
            <v>8.7999999999999995E-2</v>
          </cell>
          <cell r="AD558">
            <v>8.7999999999999995E-2</v>
          </cell>
          <cell r="AE558">
            <v>8.7999999999999995E-2</v>
          </cell>
          <cell r="AF558">
            <v>8.7999999999999995E-2</v>
          </cell>
          <cell r="AG558">
            <v>8.7999999999999995E-2</v>
          </cell>
          <cell r="AH558">
            <v>8.7999999999999995E-2</v>
          </cell>
          <cell r="AI558">
            <v>8.7999999999999995E-2</v>
          </cell>
          <cell r="AJ558">
            <v>8.7999999999999995E-2</v>
          </cell>
        </row>
        <row r="559">
          <cell r="F559">
            <v>8.7999999999999995E-2</v>
          </cell>
          <cell r="G559">
            <v>8.7999999999999995E-2</v>
          </cell>
          <cell r="H559">
            <v>8.7999999999999995E-2</v>
          </cell>
          <cell r="I559">
            <v>8.7999999999999995E-2</v>
          </cell>
          <cell r="J559">
            <v>8.7999999999999995E-2</v>
          </cell>
          <cell r="K559">
            <v>8.7999999999999995E-2</v>
          </cell>
          <cell r="L559">
            <v>8.7999999999999995E-2</v>
          </cell>
          <cell r="M559">
            <v>8.7999999999999995E-2</v>
          </cell>
          <cell r="N559">
            <v>8.7999999999999995E-2</v>
          </cell>
          <cell r="O559">
            <v>8.7999999999999995E-2</v>
          </cell>
          <cell r="P559">
            <v>8.7999999999999995E-2</v>
          </cell>
          <cell r="Q559">
            <v>8.7999999999999995E-2</v>
          </cell>
          <cell r="R559">
            <v>8.7999999999999995E-2</v>
          </cell>
          <cell r="S559">
            <v>8.7999999999999995E-2</v>
          </cell>
          <cell r="T559">
            <v>8.7999999999999995E-2</v>
          </cell>
          <cell r="U559">
            <v>8.7999999999999995E-2</v>
          </cell>
          <cell r="V559">
            <v>8.7999999999999995E-2</v>
          </cell>
          <cell r="W559">
            <v>8.7999999999999995E-2</v>
          </cell>
          <cell r="X559">
            <v>8.7999999999999995E-2</v>
          </cell>
          <cell r="Y559">
            <v>8.7999999999999995E-2</v>
          </cell>
          <cell r="Z559">
            <v>8.7999999999999995E-2</v>
          </cell>
          <cell r="AA559">
            <v>8.7999999999999995E-2</v>
          </cell>
          <cell r="AB559">
            <v>8.7999999999999995E-2</v>
          </cell>
          <cell r="AC559">
            <v>8.7999999999999995E-2</v>
          </cell>
          <cell r="AD559">
            <v>8.7999999999999995E-2</v>
          </cell>
          <cell r="AE559">
            <v>8.7999999999999995E-2</v>
          </cell>
          <cell r="AF559">
            <v>8.7999999999999995E-2</v>
          </cell>
          <cell r="AG559">
            <v>8.7999999999999995E-2</v>
          </cell>
          <cell r="AH559">
            <v>8.7999999999999995E-2</v>
          </cell>
          <cell r="AI559">
            <v>8.7999999999999995E-2</v>
          </cell>
          <cell r="AJ559">
            <v>8.7999999999999995E-2</v>
          </cell>
        </row>
        <row r="560">
          <cell r="F560">
            <v>8.7999999999999995E-2</v>
          </cell>
          <cell r="G560">
            <v>8.7999999999999995E-2</v>
          </cell>
          <cell r="H560">
            <v>8.7999999999999995E-2</v>
          </cell>
          <cell r="I560">
            <v>8.7999999999999995E-2</v>
          </cell>
          <cell r="J560">
            <v>8.7999999999999995E-2</v>
          </cell>
          <cell r="K560">
            <v>8.7999999999999995E-2</v>
          </cell>
          <cell r="L560">
            <v>8.7999999999999995E-2</v>
          </cell>
          <cell r="M560">
            <v>8.7999999999999995E-2</v>
          </cell>
          <cell r="N560">
            <v>8.7999999999999995E-2</v>
          </cell>
          <cell r="O560">
            <v>8.7999999999999995E-2</v>
          </cell>
          <cell r="P560">
            <v>8.7999999999999995E-2</v>
          </cell>
          <cell r="Q560">
            <v>8.7999999999999995E-2</v>
          </cell>
          <cell r="R560">
            <v>8.7999999999999995E-2</v>
          </cell>
          <cell r="S560">
            <v>8.7999999999999995E-2</v>
          </cell>
          <cell r="T560">
            <v>8.7999999999999995E-2</v>
          </cell>
          <cell r="U560">
            <v>8.7999999999999995E-2</v>
          </cell>
          <cell r="V560">
            <v>8.7999999999999995E-2</v>
          </cell>
          <cell r="W560">
            <v>8.7999999999999995E-2</v>
          </cell>
          <cell r="X560">
            <v>8.7999999999999995E-2</v>
          </cell>
          <cell r="Y560">
            <v>8.7999999999999995E-2</v>
          </cell>
          <cell r="Z560">
            <v>8.7999999999999995E-2</v>
          </cell>
          <cell r="AA560">
            <v>8.7999999999999995E-2</v>
          </cell>
          <cell r="AB560">
            <v>8.7999999999999995E-2</v>
          </cell>
          <cell r="AC560">
            <v>8.7999999999999995E-2</v>
          </cell>
          <cell r="AD560">
            <v>8.7999999999999995E-2</v>
          </cell>
          <cell r="AE560">
            <v>8.7999999999999995E-2</v>
          </cell>
          <cell r="AF560">
            <v>8.7999999999999995E-2</v>
          </cell>
          <cell r="AG560">
            <v>8.7999999999999995E-2</v>
          </cell>
          <cell r="AH560">
            <v>8.7999999999999995E-2</v>
          </cell>
          <cell r="AI560">
            <v>8.7999999999999995E-2</v>
          </cell>
          <cell r="AJ560">
            <v>8.7999999999999995E-2</v>
          </cell>
        </row>
        <row r="564">
          <cell r="F564">
            <v>0.75800000000000001</v>
          </cell>
          <cell r="G564">
            <v>0.75800000000000001</v>
          </cell>
          <cell r="H564">
            <v>0.75800000000000001</v>
          </cell>
          <cell r="I564">
            <v>0.75800000000000001</v>
          </cell>
          <cell r="J564">
            <v>0.75800000000000001</v>
          </cell>
          <cell r="K564">
            <v>0.75800000000000001</v>
          </cell>
          <cell r="L564">
            <v>0.75800000000000001</v>
          </cell>
          <cell r="M564">
            <v>0.75800000000000001</v>
          </cell>
          <cell r="N564">
            <v>0.75800000000000001</v>
          </cell>
          <cell r="O564">
            <v>0.75800000000000001</v>
          </cell>
          <cell r="P564">
            <v>0.75800000000000001</v>
          </cell>
          <cell r="Q564">
            <v>0.75800000000000001</v>
          </cell>
          <cell r="R564">
            <v>0.75800000000000001</v>
          </cell>
          <cell r="S564">
            <v>0.75800000000000001</v>
          </cell>
          <cell r="T564">
            <v>0.75800000000000001</v>
          </cell>
          <cell r="U564">
            <v>0.75800000000000001</v>
          </cell>
          <cell r="V564">
            <v>0.75800000000000001</v>
          </cell>
          <cell r="W564">
            <v>0.75800000000000001</v>
          </cell>
          <cell r="X564">
            <v>0.75800000000000001</v>
          </cell>
          <cell r="Y564">
            <v>0.75800000000000001</v>
          </cell>
          <cell r="Z564">
            <v>0.75800000000000001</v>
          </cell>
          <cell r="AA564">
            <v>0.75800000000000001</v>
          </cell>
          <cell r="AB564">
            <v>0.75800000000000001</v>
          </cell>
          <cell r="AC564">
            <v>0.75800000000000001</v>
          </cell>
          <cell r="AD564">
            <v>0.75800000000000001</v>
          </cell>
          <cell r="AE564">
            <v>0.75800000000000001</v>
          </cell>
          <cell r="AF564">
            <v>0.75800000000000001</v>
          </cell>
          <cell r="AG564">
            <v>0.75800000000000001</v>
          </cell>
          <cell r="AH564">
            <v>0.75800000000000001</v>
          </cell>
          <cell r="AI564">
            <v>0.75800000000000001</v>
          </cell>
          <cell r="AJ564">
            <v>0.75800000000000001</v>
          </cell>
        </row>
        <row r="565">
          <cell r="F565">
            <v>0.75800000000000001</v>
          </cell>
          <cell r="G565">
            <v>0.75800000000000001</v>
          </cell>
          <cell r="H565">
            <v>0.75800000000000001</v>
          </cell>
          <cell r="I565">
            <v>0.75800000000000001</v>
          </cell>
          <cell r="J565">
            <v>0.75800000000000001</v>
          </cell>
          <cell r="K565">
            <v>0.75800000000000001</v>
          </cell>
          <cell r="L565">
            <v>0.75800000000000001</v>
          </cell>
          <cell r="M565">
            <v>0.75800000000000001</v>
          </cell>
          <cell r="N565">
            <v>0.75800000000000001</v>
          </cell>
          <cell r="O565">
            <v>0.75800000000000001</v>
          </cell>
          <cell r="P565">
            <v>0.75800000000000001</v>
          </cell>
          <cell r="Q565">
            <v>0.75800000000000001</v>
          </cell>
          <cell r="R565">
            <v>0.75800000000000001</v>
          </cell>
          <cell r="S565">
            <v>0.75800000000000001</v>
          </cell>
          <cell r="T565">
            <v>0.75800000000000001</v>
          </cell>
          <cell r="U565">
            <v>0.75800000000000001</v>
          </cell>
          <cell r="V565">
            <v>0.75800000000000001</v>
          </cell>
          <cell r="W565">
            <v>0.75800000000000001</v>
          </cell>
          <cell r="X565">
            <v>0.75800000000000001</v>
          </cell>
          <cell r="Y565">
            <v>0.75800000000000001</v>
          </cell>
          <cell r="Z565">
            <v>0.75800000000000001</v>
          </cell>
          <cell r="AA565">
            <v>0.75800000000000001</v>
          </cell>
          <cell r="AB565">
            <v>0.75800000000000001</v>
          </cell>
          <cell r="AC565">
            <v>0.75800000000000001</v>
          </cell>
          <cell r="AD565">
            <v>0.75800000000000001</v>
          </cell>
          <cell r="AE565">
            <v>0.75800000000000001</v>
          </cell>
          <cell r="AF565">
            <v>0.75800000000000001</v>
          </cell>
          <cell r="AG565">
            <v>0.75800000000000001</v>
          </cell>
          <cell r="AH565">
            <v>0.75800000000000001</v>
          </cell>
          <cell r="AI565">
            <v>0.75800000000000001</v>
          </cell>
          <cell r="AJ565">
            <v>0.75800000000000001</v>
          </cell>
        </row>
        <row r="566">
          <cell r="F566">
            <v>0.75800000000000001</v>
          </cell>
          <cell r="G566">
            <v>0.75800000000000001</v>
          </cell>
          <cell r="H566">
            <v>0.75800000000000001</v>
          </cell>
          <cell r="I566">
            <v>0.75800000000000001</v>
          </cell>
          <cell r="J566">
            <v>0.75800000000000001</v>
          </cell>
          <cell r="K566">
            <v>0.75800000000000001</v>
          </cell>
          <cell r="L566">
            <v>0.75800000000000001</v>
          </cell>
          <cell r="M566">
            <v>0.75800000000000001</v>
          </cell>
          <cell r="N566">
            <v>0.75800000000000001</v>
          </cell>
          <cell r="O566">
            <v>0.75800000000000001</v>
          </cell>
          <cell r="P566">
            <v>0.75800000000000001</v>
          </cell>
          <cell r="Q566">
            <v>0.75800000000000001</v>
          </cell>
          <cell r="R566">
            <v>0.75800000000000001</v>
          </cell>
          <cell r="S566">
            <v>0.75800000000000001</v>
          </cell>
          <cell r="T566">
            <v>0.75800000000000001</v>
          </cell>
          <cell r="U566">
            <v>0.75800000000000001</v>
          </cell>
          <cell r="V566">
            <v>0.75800000000000001</v>
          </cell>
          <cell r="W566">
            <v>0.75800000000000001</v>
          </cell>
          <cell r="X566">
            <v>0.75800000000000001</v>
          </cell>
          <cell r="Y566">
            <v>0.75800000000000001</v>
          </cell>
          <cell r="Z566">
            <v>0.75800000000000001</v>
          </cell>
          <cell r="AA566">
            <v>0.75800000000000001</v>
          </cell>
          <cell r="AB566">
            <v>0.75800000000000001</v>
          </cell>
          <cell r="AC566">
            <v>0.75800000000000001</v>
          </cell>
          <cell r="AD566">
            <v>0.75800000000000001</v>
          </cell>
          <cell r="AE566">
            <v>0.75800000000000001</v>
          </cell>
          <cell r="AF566">
            <v>0.75800000000000001</v>
          </cell>
          <cell r="AG566">
            <v>0.75800000000000001</v>
          </cell>
          <cell r="AH566">
            <v>0.75800000000000001</v>
          </cell>
          <cell r="AI566">
            <v>0.75800000000000001</v>
          </cell>
          <cell r="AJ566">
            <v>0.75800000000000001</v>
          </cell>
        </row>
        <row r="567">
          <cell r="F567">
            <v>0.25740000000000002</v>
          </cell>
          <cell r="G567">
            <v>0.25740000000000002</v>
          </cell>
          <cell r="H567">
            <v>0.25740000000000002</v>
          </cell>
          <cell r="I567">
            <v>0.25740000000000002</v>
          </cell>
          <cell r="J567">
            <v>0.25740000000000002</v>
          </cell>
          <cell r="K567">
            <v>0.25740000000000002</v>
          </cell>
          <cell r="L567">
            <v>0.25740000000000002</v>
          </cell>
          <cell r="M567">
            <v>0.25740000000000002</v>
          </cell>
          <cell r="N567">
            <v>0.25740000000000002</v>
          </cell>
          <cell r="O567">
            <v>0.25740000000000002</v>
          </cell>
          <cell r="P567">
            <v>0.25740000000000002</v>
          </cell>
          <cell r="Q567">
            <v>0.25740000000000002</v>
          </cell>
          <cell r="R567">
            <v>0.25740000000000002</v>
          </cell>
          <cell r="S567">
            <v>0.25740000000000002</v>
          </cell>
          <cell r="T567">
            <v>0.25740000000000002</v>
          </cell>
          <cell r="U567">
            <v>0.25740000000000002</v>
          </cell>
          <cell r="V567">
            <v>0.25740000000000002</v>
          </cell>
          <cell r="W567">
            <v>0.25740000000000002</v>
          </cell>
          <cell r="X567">
            <v>0.25740000000000002</v>
          </cell>
          <cell r="Y567">
            <v>0.25740000000000002</v>
          </cell>
          <cell r="Z567">
            <v>0.25740000000000002</v>
          </cell>
          <cell r="AA567">
            <v>0.25740000000000002</v>
          </cell>
          <cell r="AB567">
            <v>0.25740000000000002</v>
          </cell>
          <cell r="AC567">
            <v>0.25740000000000002</v>
          </cell>
          <cell r="AD567">
            <v>0.25740000000000002</v>
          </cell>
          <cell r="AE567">
            <v>0.25740000000000002</v>
          </cell>
          <cell r="AF567">
            <v>0.25740000000000002</v>
          </cell>
          <cell r="AG567">
            <v>0.25740000000000002</v>
          </cell>
          <cell r="AH567">
            <v>0.25740000000000002</v>
          </cell>
          <cell r="AI567">
            <v>0.25740000000000002</v>
          </cell>
          <cell r="AJ567">
            <v>0.25740000000000002</v>
          </cell>
        </row>
      </sheetData>
      <sheetData sheetId="22">
        <row r="3"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</row>
        <row r="14">
          <cell r="C14">
            <v>0.30000001192092896</v>
          </cell>
          <cell r="D14">
            <v>0.30000001192092896</v>
          </cell>
          <cell r="E14">
            <v>0.30000001192092896</v>
          </cell>
          <cell r="F14">
            <v>0.30000001192092896</v>
          </cell>
          <cell r="G14">
            <v>0.26</v>
          </cell>
          <cell r="H14">
            <v>0.26</v>
          </cell>
          <cell r="I14">
            <v>0.1</v>
          </cell>
          <cell r="J14">
            <v>0.1</v>
          </cell>
          <cell r="K14">
            <v>0.1</v>
          </cell>
          <cell r="L14">
            <v>0.1</v>
          </cell>
          <cell r="M14">
            <v>0.1</v>
          </cell>
          <cell r="N14">
            <v>0.1</v>
          </cell>
          <cell r="O14">
            <v>0.1</v>
          </cell>
          <cell r="P14">
            <v>0.1</v>
          </cell>
          <cell r="Q14">
            <v>0.1</v>
          </cell>
          <cell r="R14">
            <v>0.1</v>
          </cell>
          <cell r="S14">
            <v>0.1</v>
          </cell>
          <cell r="T14">
            <v>0.1</v>
          </cell>
          <cell r="U14">
            <v>0.1</v>
          </cell>
          <cell r="V14">
            <v>0.1</v>
          </cell>
          <cell r="W14">
            <v>0.1</v>
          </cell>
          <cell r="X14">
            <v>0.1</v>
          </cell>
          <cell r="Y14">
            <v>0.1</v>
          </cell>
          <cell r="Z14">
            <v>0.1</v>
          </cell>
          <cell r="AA14">
            <v>0.1</v>
          </cell>
          <cell r="AB14">
            <v>0.1</v>
          </cell>
          <cell r="AC14">
            <v>0.1</v>
          </cell>
          <cell r="AD14">
            <v>0.1</v>
          </cell>
          <cell r="AE14">
            <v>0.1</v>
          </cell>
          <cell r="AF14">
            <v>0.1</v>
          </cell>
          <cell r="AG14">
            <v>0.1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energyinst.org.hk/Activity/ICE2014/2.2%20Prof%20Hongxing%20YANG.pdf" TargetMode="External"/><Relationship Id="rId1" Type="http://schemas.openxmlformats.org/officeDocument/2006/relationships/hyperlink" Target="https://atb.nrel.gov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tb-stage.nrel.gov/electricity/2021/commercial_pv" TargetMode="External"/><Relationship Id="rId2" Type="http://schemas.openxmlformats.org/officeDocument/2006/relationships/hyperlink" Target="https://pvwatts.nrel.gov/pvwatts.php" TargetMode="External"/><Relationship Id="rId1" Type="http://schemas.openxmlformats.org/officeDocument/2006/relationships/hyperlink" Target="https://atb.nrel.gov/electricity/2022/residential_pv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www.nrel.gov/docs/fy22osti/80694.pdf" TargetMode="External"/><Relationship Id="rId4" Type="http://schemas.openxmlformats.org/officeDocument/2006/relationships/hyperlink" Target="https://www.nrel.gov/docs/fy22osti/8069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3"/>
  <sheetViews>
    <sheetView workbookViewId="0">
      <selection activeCell="A24" sqref="A24"/>
    </sheetView>
  </sheetViews>
  <sheetFormatPr baseColWidth="10" defaultColWidth="8.83203125" defaultRowHeight="15" x14ac:dyDescent="0.2"/>
  <sheetData>
    <row r="1" spans="1:10" x14ac:dyDescent="0.2">
      <c r="A1" s="1" t="s">
        <v>0</v>
      </c>
    </row>
    <row r="3" spans="1:10" x14ac:dyDescent="0.2">
      <c r="A3" s="235" t="s">
        <v>1</v>
      </c>
      <c r="B3" s="236" t="s">
        <v>6</v>
      </c>
      <c r="C3" s="236"/>
      <c r="D3" s="236"/>
      <c r="E3" s="236"/>
      <c r="F3" s="236"/>
      <c r="G3" s="236"/>
      <c r="H3" s="236"/>
    </row>
    <row r="4" spans="1:10" x14ac:dyDescent="0.2">
      <c r="A4" s="236"/>
      <c r="B4" s="237" t="s">
        <v>44</v>
      </c>
      <c r="C4" s="236"/>
      <c r="D4" s="236"/>
      <c r="E4" s="236"/>
      <c r="F4" s="236"/>
      <c r="G4" s="236"/>
      <c r="H4" s="236"/>
    </row>
    <row r="5" spans="1:10" x14ac:dyDescent="0.2">
      <c r="A5" s="236"/>
      <c r="B5" s="236" t="s">
        <v>43</v>
      </c>
      <c r="C5" s="236"/>
      <c r="D5" s="236"/>
      <c r="E5" s="236"/>
      <c r="F5" s="236"/>
      <c r="G5" s="236"/>
      <c r="H5" s="236"/>
    </row>
    <row r="6" spans="1:10" x14ac:dyDescent="0.2">
      <c r="A6" s="236"/>
      <c r="B6" s="238" t="s">
        <v>9</v>
      </c>
      <c r="C6" s="236"/>
      <c r="D6" s="236"/>
      <c r="E6" s="236"/>
      <c r="F6" s="236"/>
      <c r="G6" s="236"/>
      <c r="H6" s="236"/>
    </row>
    <row r="7" spans="1:10" x14ac:dyDescent="0.2">
      <c r="A7" s="236"/>
      <c r="B7" s="236" t="s">
        <v>7</v>
      </c>
      <c r="C7" s="236"/>
      <c r="D7" s="236"/>
      <c r="E7" s="236"/>
      <c r="F7" s="236"/>
      <c r="G7" s="236"/>
      <c r="H7" s="236"/>
    </row>
    <row r="8" spans="1:10" x14ac:dyDescent="0.2">
      <c r="A8" s="236"/>
      <c r="B8" s="236"/>
      <c r="C8" s="236"/>
      <c r="D8" s="236"/>
      <c r="E8" s="236"/>
      <c r="F8" s="236"/>
      <c r="G8" s="236"/>
      <c r="H8" s="236"/>
    </row>
    <row r="9" spans="1:10" x14ac:dyDescent="0.2">
      <c r="A9" s="235" t="s">
        <v>10</v>
      </c>
      <c r="B9" s="236"/>
      <c r="C9" s="236"/>
      <c r="D9" s="236"/>
      <c r="E9" s="236"/>
      <c r="F9" s="236"/>
      <c r="G9" s="236"/>
      <c r="H9" s="236"/>
    </row>
    <row r="10" spans="1:10" x14ac:dyDescent="0.2">
      <c r="A10" s="236" t="s">
        <v>11</v>
      </c>
      <c r="B10" s="236"/>
      <c r="C10" s="236"/>
      <c r="D10" s="236"/>
      <c r="E10" s="236"/>
      <c r="F10" s="236"/>
      <c r="G10" s="236"/>
      <c r="H10" s="236"/>
    </row>
    <row r="14" spans="1:10" x14ac:dyDescent="0.2">
      <c r="J14" t="s">
        <v>151</v>
      </c>
    </row>
    <row r="15" spans="1:10" x14ac:dyDescent="0.2">
      <c r="J15">
        <v>2014</v>
      </c>
    </row>
    <row r="16" spans="1:10" x14ac:dyDescent="0.2">
      <c r="J16" t="s">
        <v>152</v>
      </c>
    </row>
    <row r="17" spans="1:10" x14ac:dyDescent="0.2">
      <c r="J17" s="4" t="s">
        <v>153</v>
      </c>
    </row>
    <row r="18" spans="1:10" x14ac:dyDescent="0.2">
      <c r="J18" t="s">
        <v>154</v>
      </c>
    </row>
    <row r="22" spans="1:10" x14ac:dyDescent="0.2">
      <c r="A22" t="s">
        <v>155</v>
      </c>
    </row>
    <row r="23" spans="1:10" x14ac:dyDescent="0.2">
      <c r="A23" t="s">
        <v>156</v>
      </c>
    </row>
  </sheetData>
  <hyperlinks>
    <hyperlink ref="B6" r:id="rId1" xr:uid="{00000000-0004-0000-0000-000000000000}"/>
    <hyperlink ref="J17" r:id="rId2" xr:uid="{AA02525E-3990-0441-95DD-02D5E322C05B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7"/>
  <dimension ref="D1:AQ34"/>
  <sheetViews>
    <sheetView showGridLines="0" zoomScale="70" zoomScaleNormal="70" workbookViewId="0">
      <pane xSplit="5" ySplit="1" topLeftCell="F2" activePane="bottomRight" state="frozen"/>
      <selection activeCell="F6" sqref="F6"/>
      <selection pane="topRight" activeCell="F6" sqref="F6"/>
      <selection pane="bottomLeft" activeCell="F6" sqref="F6"/>
      <selection pane="bottomRight" activeCell="K32" sqref="K32"/>
    </sheetView>
  </sheetViews>
  <sheetFormatPr baseColWidth="10" defaultColWidth="9.33203125" defaultRowHeight="14" customHeight="1" x14ac:dyDescent="0.15"/>
  <cols>
    <col min="1" max="1" width="9.33203125" style="3"/>
    <col min="2" max="7" width="1.6640625" style="3" customWidth="1"/>
    <col min="8" max="8" width="5.6640625" style="3" customWidth="1"/>
    <col min="9" max="9" width="6.6640625" style="3" customWidth="1"/>
    <col min="10" max="10" width="20.6640625" style="3" customWidth="1"/>
    <col min="11" max="11" width="26" style="3" customWidth="1"/>
    <col min="12" max="15" width="11.6640625" style="3" customWidth="1"/>
    <col min="16" max="16" width="12.6640625" style="3" customWidth="1"/>
    <col min="17" max="20" width="11.6640625" style="3" customWidth="1"/>
    <col min="21" max="21" width="9.33203125" style="3" bestFit="1" customWidth="1"/>
    <col min="22" max="23" width="11.6640625" style="3" customWidth="1"/>
    <col min="24" max="24" width="11.33203125" style="3" customWidth="1"/>
    <col min="25" max="48" width="11.6640625" style="3" customWidth="1"/>
    <col min="49" max="16384" width="9.33203125" style="3"/>
  </cols>
  <sheetData>
    <row r="1" spans="4:43" ht="14.25" customHeight="1" x14ac:dyDescent="0.15">
      <c r="D1" s="6" t="s">
        <v>2</v>
      </c>
      <c r="G1" s="154" t="s">
        <v>5</v>
      </c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"/>
      <c r="V1" s="15"/>
      <c r="W1" s="15"/>
      <c r="X1" s="15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</row>
    <row r="2" spans="4:43" ht="14.25" customHeight="1" x14ac:dyDescent="0.15">
      <c r="G2" s="7"/>
      <c r="L2" s="3" t="s">
        <v>12</v>
      </c>
    </row>
    <row r="3" spans="4:43" ht="14.25" customHeight="1" x14ac:dyDescent="0.15">
      <c r="G3" s="7"/>
      <c r="L3" s="12">
        <v>2019</v>
      </c>
      <c r="M3" s="12">
        <v>2020</v>
      </c>
      <c r="N3" s="12">
        <v>2021</v>
      </c>
      <c r="O3" s="12">
        <v>2022</v>
      </c>
      <c r="P3" s="12">
        <v>2023</v>
      </c>
      <c r="Q3" s="12">
        <v>2024</v>
      </c>
      <c r="R3" s="12">
        <v>2025</v>
      </c>
      <c r="S3" s="12">
        <v>2026</v>
      </c>
      <c r="T3" s="12">
        <v>2027</v>
      </c>
      <c r="U3" s="12">
        <v>2028</v>
      </c>
      <c r="V3" s="12">
        <v>2029</v>
      </c>
      <c r="W3" s="12">
        <v>2030</v>
      </c>
      <c r="X3" s="12">
        <v>2031</v>
      </c>
      <c r="Y3" s="12">
        <v>2032</v>
      </c>
      <c r="Z3" s="12">
        <v>2033</v>
      </c>
      <c r="AA3" s="12">
        <v>2034</v>
      </c>
      <c r="AB3" s="12">
        <v>2035</v>
      </c>
      <c r="AC3" s="12">
        <v>2036</v>
      </c>
      <c r="AD3" s="12">
        <v>2037</v>
      </c>
      <c r="AE3" s="12">
        <v>2038</v>
      </c>
      <c r="AF3" s="12">
        <v>2039</v>
      </c>
      <c r="AG3" s="12">
        <v>2040</v>
      </c>
      <c r="AH3" s="12">
        <v>2041</v>
      </c>
      <c r="AI3" s="12">
        <v>2042</v>
      </c>
      <c r="AJ3" s="12">
        <v>2043</v>
      </c>
      <c r="AK3" s="12">
        <v>2044</v>
      </c>
      <c r="AL3" s="12">
        <v>2045</v>
      </c>
      <c r="AM3" s="12">
        <v>2046</v>
      </c>
      <c r="AN3" s="12">
        <v>2047</v>
      </c>
      <c r="AO3" s="12">
        <v>2048</v>
      </c>
      <c r="AP3" s="12">
        <v>2049</v>
      </c>
      <c r="AQ3" s="12">
        <v>2050</v>
      </c>
    </row>
    <row r="4" spans="4:43" ht="14.25" customHeight="1" x14ac:dyDescent="0.15">
      <c r="G4" s="7"/>
      <c r="H4" s="16" t="s">
        <v>3</v>
      </c>
      <c r="J4" s="155" t="s">
        <v>4</v>
      </c>
      <c r="K4" s="13" t="s">
        <v>13</v>
      </c>
      <c r="L4" s="8">
        <v>0.11966055760633977</v>
      </c>
      <c r="M4" s="8">
        <v>0.12013139357850224</v>
      </c>
      <c r="N4" s="8">
        <v>0.1206022295506647</v>
      </c>
      <c r="O4" s="8">
        <v>0.12107306552282716</v>
      </c>
      <c r="P4" s="8">
        <v>0.12154390149498963</v>
      </c>
      <c r="Q4" s="8">
        <v>0.12201473746715209</v>
      </c>
      <c r="R4" s="8">
        <v>0.12248557343931456</v>
      </c>
      <c r="S4" s="8">
        <v>0.12295640941147702</v>
      </c>
      <c r="T4" s="8">
        <v>0.12342724538363949</v>
      </c>
      <c r="U4" s="8">
        <v>0.12389808135580195</v>
      </c>
      <c r="V4" s="8">
        <v>0.12436891732796442</v>
      </c>
      <c r="W4" s="8">
        <v>0.12483975330012691</v>
      </c>
      <c r="X4" s="8">
        <v>0.12483975330012691</v>
      </c>
      <c r="Y4" s="8">
        <v>0.12483975330012691</v>
      </c>
      <c r="Z4" s="8">
        <v>0.12483975330012691</v>
      </c>
      <c r="AA4" s="8">
        <v>0.12483975330012691</v>
      </c>
      <c r="AB4" s="8">
        <v>0.12483975330012691</v>
      </c>
      <c r="AC4" s="8">
        <v>0.12483975330012691</v>
      </c>
      <c r="AD4" s="8">
        <v>0.12483975330012691</v>
      </c>
      <c r="AE4" s="8">
        <v>0.12483975330012691</v>
      </c>
      <c r="AF4" s="8">
        <v>0.12483975330012691</v>
      </c>
      <c r="AG4" s="8">
        <v>0.12483975330012691</v>
      </c>
      <c r="AH4" s="8">
        <v>0.12483975330012691</v>
      </c>
      <c r="AI4" s="8">
        <v>0.12483975330012691</v>
      </c>
      <c r="AJ4" s="8">
        <v>0.12483975330012691</v>
      </c>
      <c r="AK4" s="8">
        <v>0.12483975330012691</v>
      </c>
      <c r="AL4" s="8">
        <v>0.12483975330012691</v>
      </c>
      <c r="AM4" s="8">
        <v>0.12483975330012691</v>
      </c>
      <c r="AN4" s="8">
        <v>0.12483975330012691</v>
      </c>
      <c r="AO4" s="8">
        <v>0.12483975330012691</v>
      </c>
      <c r="AP4" s="8">
        <v>0.12483975330012691</v>
      </c>
      <c r="AQ4" s="8">
        <v>0.12483975330012691</v>
      </c>
    </row>
    <row r="5" spans="4:43" ht="14.25" customHeight="1" x14ac:dyDescent="0.15">
      <c r="G5" s="7"/>
      <c r="H5" s="16"/>
      <c r="J5" s="156"/>
      <c r="K5" s="5" t="s">
        <v>14</v>
      </c>
      <c r="L5" s="9">
        <v>0.11966055760633977</v>
      </c>
      <c r="M5" s="9">
        <v>0.11984569296763652</v>
      </c>
      <c r="N5" s="9">
        <v>0.12003082832893326</v>
      </c>
      <c r="O5" s="9">
        <v>0.12021596369023001</v>
      </c>
      <c r="P5" s="9">
        <v>0.12040109905152675</v>
      </c>
      <c r="Q5" s="9">
        <v>0.1205862344128235</v>
      </c>
      <c r="R5" s="9">
        <v>0.12077136977412024</v>
      </c>
      <c r="S5" s="9">
        <v>0.12095650513541699</v>
      </c>
      <c r="T5" s="9">
        <v>0.12114164049671373</v>
      </c>
      <c r="U5" s="9">
        <v>0.12132677585801048</v>
      </c>
      <c r="V5" s="9">
        <v>0.12151191121930723</v>
      </c>
      <c r="W5" s="9">
        <v>0.12169704658060394</v>
      </c>
      <c r="X5" s="9">
        <v>0.1218541819165801</v>
      </c>
      <c r="Y5" s="9">
        <v>0.12201131725255625</v>
      </c>
      <c r="Z5" s="9">
        <v>0.1221684525885324</v>
      </c>
      <c r="AA5" s="9">
        <v>0.12232558792450855</v>
      </c>
      <c r="AB5" s="9">
        <v>0.1224827232604847</v>
      </c>
      <c r="AC5" s="9">
        <v>0.12263985859646086</v>
      </c>
      <c r="AD5" s="9">
        <v>0.12279699393243701</v>
      </c>
      <c r="AE5" s="9">
        <v>0.12295412926841316</v>
      </c>
      <c r="AF5" s="9">
        <v>0.12311126460438931</v>
      </c>
      <c r="AG5" s="9">
        <v>0.12326839994036547</v>
      </c>
      <c r="AH5" s="9">
        <v>0.12342553527634162</v>
      </c>
      <c r="AI5" s="9">
        <v>0.12358267061231777</v>
      </c>
      <c r="AJ5" s="9">
        <v>0.12373980594829392</v>
      </c>
      <c r="AK5" s="9">
        <v>0.12389694128427008</v>
      </c>
      <c r="AL5" s="9">
        <v>0.12405407662024623</v>
      </c>
      <c r="AM5" s="9">
        <v>0.12421121195622238</v>
      </c>
      <c r="AN5" s="9">
        <v>0.12436834729219853</v>
      </c>
      <c r="AO5" s="9">
        <v>0.12452548262817469</v>
      </c>
      <c r="AP5" s="9">
        <v>0.12468261796415084</v>
      </c>
      <c r="AQ5" s="9">
        <v>0.12483975330012691</v>
      </c>
    </row>
    <row r="6" spans="4:43" ht="14.25" customHeight="1" thickBot="1" x14ac:dyDescent="0.2">
      <c r="G6" s="7"/>
      <c r="H6" s="16"/>
      <c r="J6" s="156"/>
      <c r="K6" s="14" t="s">
        <v>15</v>
      </c>
      <c r="L6" s="10">
        <v>0.11966055760633977</v>
      </c>
      <c r="M6" s="10">
        <v>0.11966055760633977</v>
      </c>
      <c r="N6" s="10">
        <v>0.11966055760633977</v>
      </c>
      <c r="O6" s="10">
        <v>0.11966055760633977</v>
      </c>
      <c r="P6" s="10">
        <v>0.11966055760633977</v>
      </c>
      <c r="Q6" s="10">
        <v>0.11966055760633977</v>
      </c>
      <c r="R6" s="10">
        <v>0.11966055760633977</v>
      </c>
      <c r="S6" s="10">
        <v>0.11966055760633977</v>
      </c>
      <c r="T6" s="10">
        <v>0.11966055760633977</v>
      </c>
      <c r="U6" s="10">
        <v>0.11966055760633977</v>
      </c>
      <c r="V6" s="10">
        <v>0.11966055760633977</v>
      </c>
      <c r="W6" s="10">
        <v>0.11966055760633977</v>
      </c>
      <c r="X6" s="10">
        <v>0.11976238205505298</v>
      </c>
      <c r="Y6" s="10">
        <v>0.11986420650376618</v>
      </c>
      <c r="Z6" s="10">
        <v>0.11996603095247939</v>
      </c>
      <c r="AA6" s="10">
        <v>0.12006785540119259</v>
      </c>
      <c r="AB6" s="10">
        <v>0.1201696798499058</v>
      </c>
      <c r="AC6" s="10">
        <v>0.12027150429861901</v>
      </c>
      <c r="AD6" s="10">
        <v>0.12037332874733221</v>
      </c>
      <c r="AE6" s="10">
        <v>0.12047515319604542</v>
      </c>
      <c r="AF6" s="10">
        <v>0.12057697764475862</v>
      </c>
      <c r="AG6" s="10">
        <v>0.12067880209347183</v>
      </c>
      <c r="AH6" s="10">
        <v>0.12078062654218504</v>
      </c>
      <c r="AI6" s="10">
        <v>0.12088245099089824</v>
      </c>
      <c r="AJ6" s="10">
        <v>0.12098427543961145</v>
      </c>
      <c r="AK6" s="10">
        <v>0.12108609988832465</v>
      </c>
      <c r="AL6" s="10">
        <v>0.12118792433703786</v>
      </c>
      <c r="AM6" s="10">
        <v>0.12128974878575106</v>
      </c>
      <c r="AN6" s="10">
        <v>0.12139157323446427</v>
      </c>
      <c r="AO6" s="10">
        <v>0.12149339768317748</v>
      </c>
      <c r="AP6" s="10">
        <v>0.12159522213189068</v>
      </c>
      <c r="AQ6" s="10">
        <v>0.12169704658060394</v>
      </c>
    </row>
    <row r="7" spans="4:43" ht="14.25" customHeight="1" thickTop="1" x14ac:dyDescent="0.15">
      <c r="G7" s="7"/>
      <c r="H7" s="16"/>
      <c r="J7" s="156"/>
      <c r="K7" s="13" t="s">
        <v>16</v>
      </c>
      <c r="L7" s="8">
        <v>0.13106905410575789</v>
      </c>
      <c r="M7" s="8">
        <v>0.13158477981141037</v>
      </c>
      <c r="N7" s="8">
        <v>0.13210050551706284</v>
      </c>
      <c r="O7" s="8">
        <v>0.13261623122271532</v>
      </c>
      <c r="P7" s="8">
        <v>0.1331319569283678</v>
      </c>
      <c r="Q7" s="8">
        <v>0.13364768263402027</v>
      </c>
      <c r="R7" s="8">
        <v>0.13416340833967275</v>
      </c>
      <c r="S7" s="8">
        <v>0.13467913404532522</v>
      </c>
      <c r="T7" s="8">
        <v>0.1351948597509777</v>
      </c>
      <c r="U7" s="8">
        <v>0.13571058545663017</v>
      </c>
      <c r="V7" s="8">
        <v>0.13622631116228265</v>
      </c>
      <c r="W7" s="8">
        <v>0.13674203686793523</v>
      </c>
      <c r="X7" s="8">
        <v>0.13674203686793523</v>
      </c>
      <c r="Y7" s="8">
        <v>0.13674203686793523</v>
      </c>
      <c r="Z7" s="8">
        <v>0.13674203686793523</v>
      </c>
      <c r="AA7" s="8">
        <v>0.13674203686793523</v>
      </c>
      <c r="AB7" s="8">
        <v>0.13674203686793523</v>
      </c>
      <c r="AC7" s="8">
        <v>0.13674203686793523</v>
      </c>
      <c r="AD7" s="8">
        <v>0.13674203686793523</v>
      </c>
      <c r="AE7" s="8">
        <v>0.13674203686793523</v>
      </c>
      <c r="AF7" s="8">
        <v>0.13674203686793523</v>
      </c>
      <c r="AG7" s="8">
        <v>0.13674203686793523</v>
      </c>
      <c r="AH7" s="8">
        <v>0.13674203686793523</v>
      </c>
      <c r="AI7" s="8">
        <v>0.13674203686793523</v>
      </c>
      <c r="AJ7" s="8">
        <v>0.13674203686793523</v>
      </c>
      <c r="AK7" s="8">
        <v>0.13674203686793523</v>
      </c>
      <c r="AL7" s="8">
        <v>0.13674203686793523</v>
      </c>
      <c r="AM7" s="8">
        <v>0.13674203686793523</v>
      </c>
      <c r="AN7" s="8">
        <v>0.13674203686793523</v>
      </c>
      <c r="AO7" s="8">
        <v>0.13674203686793523</v>
      </c>
      <c r="AP7" s="8">
        <v>0.13674203686793523</v>
      </c>
      <c r="AQ7" s="8">
        <v>0.13674203686793523</v>
      </c>
    </row>
    <row r="8" spans="4:43" ht="14.25" customHeight="1" x14ac:dyDescent="0.15">
      <c r="G8" s="7"/>
      <c r="H8" s="16"/>
      <c r="J8" s="156"/>
      <c r="K8" s="5" t="s">
        <v>17</v>
      </c>
      <c r="L8" s="9">
        <v>0.13106905410575789</v>
      </c>
      <c r="M8" s="9">
        <v>0.13127184036358666</v>
      </c>
      <c r="N8" s="9">
        <v>0.13147462662141543</v>
      </c>
      <c r="O8" s="9">
        <v>0.1316774128792442</v>
      </c>
      <c r="P8" s="9">
        <v>0.13188019913707297</v>
      </c>
      <c r="Q8" s="9">
        <v>0.13208298539490174</v>
      </c>
      <c r="R8" s="9">
        <v>0.1322857716527305</v>
      </c>
      <c r="S8" s="9">
        <v>0.13248855791055927</v>
      </c>
      <c r="T8" s="9">
        <v>0.13269134416838804</v>
      </c>
      <c r="U8" s="9">
        <v>0.13289413042621681</v>
      </c>
      <c r="V8" s="9">
        <v>0.13309691668404558</v>
      </c>
      <c r="W8" s="9">
        <v>0.13329970294187421</v>
      </c>
      <c r="X8" s="9">
        <v>0.13347181963817725</v>
      </c>
      <c r="Y8" s="9">
        <v>0.1336439363344803</v>
      </c>
      <c r="Z8" s="9">
        <v>0.13381605303078334</v>
      </c>
      <c r="AA8" s="9">
        <v>0.13398816972708638</v>
      </c>
      <c r="AB8" s="9">
        <v>0.13416028642338942</v>
      </c>
      <c r="AC8" s="9">
        <v>0.13433240311969247</v>
      </c>
      <c r="AD8" s="9">
        <v>0.13450451981599551</v>
      </c>
      <c r="AE8" s="9">
        <v>0.13467663651229855</v>
      </c>
      <c r="AF8" s="9">
        <v>0.1348487532086016</v>
      </c>
      <c r="AG8" s="9">
        <v>0.13502086990490464</v>
      </c>
      <c r="AH8" s="9">
        <v>0.13519298660120768</v>
      </c>
      <c r="AI8" s="9">
        <v>0.13536510329751072</v>
      </c>
      <c r="AJ8" s="9">
        <v>0.13553721999381377</v>
      </c>
      <c r="AK8" s="9">
        <v>0.13570933669011681</v>
      </c>
      <c r="AL8" s="9">
        <v>0.13588145338641985</v>
      </c>
      <c r="AM8" s="9">
        <v>0.1360535700827229</v>
      </c>
      <c r="AN8" s="9">
        <v>0.13622568677902594</v>
      </c>
      <c r="AO8" s="9">
        <v>0.13639780347532898</v>
      </c>
      <c r="AP8" s="9">
        <v>0.13656992017163203</v>
      </c>
      <c r="AQ8" s="9">
        <v>0.13674203686793523</v>
      </c>
    </row>
    <row r="9" spans="4:43" ht="14.25" customHeight="1" thickBot="1" x14ac:dyDescent="0.2">
      <c r="G9" s="7"/>
      <c r="H9" s="16"/>
      <c r="J9" s="156"/>
      <c r="K9" s="14" t="s">
        <v>18</v>
      </c>
      <c r="L9" s="10">
        <v>0.13106905410575789</v>
      </c>
      <c r="M9" s="10">
        <v>0.13106905410575789</v>
      </c>
      <c r="N9" s="10">
        <v>0.13106905410575789</v>
      </c>
      <c r="O9" s="10">
        <v>0.13106905410575789</v>
      </c>
      <c r="P9" s="10">
        <v>0.13106905410575789</v>
      </c>
      <c r="Q9" s="10">
        <v>0.13106905410575789</v>
      </c>
      <c r="R9" s="10">
        <v>0.13106905410575789</v>
      </c>
      <c r="S9" s="10">
        <v>0.13106905410575789</v>
      </c>
      <c r="T9" s="10">
        <v>0.13106905410575789</v>
      </c>
      <c r="U9" s="10">
        <v>0.13106905410575789</v>
      </c>
      <c r="V9" s="10">
        <v>0.13106905410575789</v>
      </c>
      <c r="W9" s="10">
        <v>0.13106905410575789</v>
      </c>
      <c r="X9" s="10">
        <v>0.1311805865475637</v>
      </c>
      <c r="Y9" s="10">
        <v>0.13129211898936952</v>
      </c>
      <c r="Z9" s="10">
        <v>0.13140365143117533</v>
      </c>
      <c r="AA9" s="10">
        <v>0.13151518387298114</v>
      </c>
      <c r="AB9" s="10">
        <v>0.13162671631478695</v>
      </c>
      <c r="AC9" s="10">
        <v>0.13173824875659276</v>
      </c>
      <c r="AD9" s="10">
        <v>0.13184978119839857</v>
      </c>
      <c r="AE9" s="10">
        <v>0.13196131364020439</v>
      </c>
      <c r="AF9" s="10">
        <v>0.1320728460820102</v>
      </c>
      <c r="AG9" s="10">
        <v>0.13218437852381601</v>
      </c>
      <c r="AH9" s="10">
        <v>0.13229591096562182</v>
      </c>
      <c r="AI9" s="10">
        <v>0.13240744340742763</v>
      </c>
      <c r="AJ9" s="10">
        <v>0.13251897584923344</v>
      </c>
      <c r="AK9" s="10">
        <v>0.13263050829103926</v>
      </c>
      <c r="AL9" s="10">
        <v>0.13274204073284507</v>
      </c>
      <c r="AM9" s="10">
        <v>0.13285357317465088</v>
      </c>
      <c r="AN9" s="10">
        <v>0.13296510561645669</v>
      </c>
      <c r="AO9" s="10">
        <v>0.1330766380582625</v>
      </c>
      <c r="AP9" s="10">
        <v>0.13318817050006831</v>
      </c>
      <c r="AQ9" s="10">
        <v>0.13329970294187421</v>
      </c>
    </row>
    <row r="10" spans="4:43" ht="13.5" customHeight="1" thickTop="1" x14ac:dyDescent="0.15">
      <c r="G10" s="7"/>
      <c r="H10" s="16"/>
      <c r="J10" s="156"/>
      <c r="K10" s="13" t="s">
        <v>19</v>
      </c>
      <c r="L10" s="8">
        <v>0.13650260348288767</v>
      </c>
      <c r="M10" s="8">
        <v>0.13703970891929229</v>
      </c>
      <c r="N10" s="8">
        <v>0.13757681435569691</v>
      </c>
      <c r="O10" s="8">
        <v>0.13811391979210152</v>
      </c>
      <c r="P10" s="8">
        <v>0.13865102522850614</v>
      </c>
      <c r="Q10" s="8">
        <v>0.13918813066491076</v>
      </c>
      <c r="R10" s="8">
        <v>0.13972523610131538</v>
      </c>
      <c r="S10" s="8">
        <v>0.14026234153771999</v>
      </c>
      <c r="T10" s="8">
        <v>0.14079944697412461</v>
      </c>
      <c r="U10" s="8">
        <v>0.14133655241052923</v>
      </c>
      <c r="V10" s="8">
        <v>0.14187365784693384</v>
      </c>
      <c r="W10" s="8">
        <v>0.14241076328333849</v>
      </c>
      <c r="X10" s="8">
        <v>0.14241076328333849</v>
      </c>
      <c r="Y10" s="8">
        <v>0.14241076328333849</v>
      </c>
      <c r="Z10" s="8">
        <v>0.14241076328333849</v>
      </c>
      <c r="AA10" s="8">
        <v>0.14241076328333849</v>
      </c>
      <c r="AB10" s="8">
        <v>0.14241076328333849</v>
      </c>
      <c r="AC10" s="8">
        <v>0.14241076328333849</v>
      </c>
      <c r="AD10" s="8">
        <v>0.14241076328333849</v>
      </c>
      <c r="AE10" s="8">
        <v>0.14241076328333849</v>
      </c>
      <c r="AF10" s="8">
        <v>0.14241076328333849</v>
      </c>
      <c r="AG10" s="8">
        <v>0.14241076328333849</v>
      </c>
      <c r="AH10" s="8">
        <v>0.14241076328333849</v>
      </c>
      <c r="AI10" s="8">
        <v>0.14241076328333849</v>
      </c>
      <c r="AJ10" s="8">
        <v>0.14241076328333849</v>
      </c>
      <c r="AK10" s="8">
        <v>0.14241076328333849</v>
      </c>
      <c r="AL10" s="8">
        <v>0.14241076328333849</v>
      </c>
      <c r="AM10" s="8">
        <v>0.14241076328333849</v>
      </c>
      <c r="AN10" s="8">
        <v>0.14241076328333849</v>
      </c>
      <c r="AO10" s="8">
        <v>0.14241076328333849</v>
      </c>
      <c r="AP10" s="8">
        <v>0.14241076328333849</v>
      </c>
      <c r="AQ10" s="8">
        <v>0.14241076328333849</v>
      </c>
    </row>
    <row r="11" spans="4:43" ht="14.25" customHeight="1" x14ac:dyDescent="0.15">
      <c r="G11" s="7"/>
      <c r="H11" s="16"/>
      <c r="J11" s="156"/>
      <c r="K11" s="5" t="s">
        <v>20</v>
      </c>
      <c r="L11" s="9">
        <v>0.13650260348288767</v>
      </c>
      <c r="M11" s="9">
        <v>0.13671379637149922</v>
      </c>
      <c r="N11" s="9">
        <v>0.13692498926011076</v>
      </c>
      <c r="O11" s="9">
        <v>0.13713618214872231</v>
      </c>
      <c r="P11" s="9">
        <v>0.13734737503733385</v>
      </c>
      <c r="Q11" s="9">
        <v>0.1375585679259454</v>
      </c>
      <c r="R11" s="9">
        <v>0.13776976081455694</v>
      </c>
      <c r="S11" s="9">
        <v>0.13798095370316849</v>
      </c>
      <c r="T11" s="9">
        <v>0.13819214659178003</v>
      </c>
      <c r="U11" s="9">
        <v>0.13840333948039157</v>
      </c>
      <c r="V11" s="9">
        <v>0.13861453236900312</v>
      </c>
      <c r="W11" s="9">
        <v>0.13882572525761461</v>
      </c>
      <c r="X11" s="9">
        <v>0.13900497715890081</v>
      </c>
      <c r="Y11" s="9">
        <v>0.13918422906018701</v>
      </c>
      <c r="Z11" s="9">
        <v>0.13936348096147322</v>
      </c>
      <c r="AA11" s="9">
        <v>0.13954273286275942</v>
      </c>
      <c r="AB11" s="9">
        <v>0.13972198476404563</v>
      </c>
      <c r="AC11" s="9">
        <v>0.13990123666533183</v>
      </c>
      <c r="AD11" s="9">
        <v>0.14008048856661803</v>
      </c>
      <c r="AE11" s="9">
        <v>0.14025974046790424</v>
      </c>
      <c r="AF11" s="9">
        <v>0.14043899236919044</v>
      </c>
      <c r="AG11" s="9">
        <v>0.14061824427047664</v>
      </c>
      <c r="AH11" s="9">
        <v>0.14079749617176285</v>
      </c>
      <c r="AI11" s="9">
        <v>0.14097674807304905</v>
      </c>
      <c r="AJ11" s="9">
        <v>0.14115599997433526</v>
      </c>
      <c r="AK11" s="9">
        <v>0.14133525187562146</v>
      </c>
      <c r="AL11" s="9">
        <v>0.14151450377690766</v>
      </c>
      <c r="AM11" s="9">
        <v>0.14169375567819387</v>
      </c>
      <c r="AN11" s="9">
        <v>0.14187300757948007</v>
      </c>
      <c r="AO11" s="9">
        <v>0.14205225948076627</v>
      </c>
      <c r="AP11" s="9">
        <v>0.14223151138205248</v>
      </c>
      <c r="AQ11" s="9">
        <v>0.14241076328333849</v>
      </c>
    </row>
    <row r="12" spans="4:43" ht="14.25" customHeight="1" thickBot="1" x14ac:dyDescent="0.2">
      <c r="G12" s="7"/>
      <c r="H12" s="16"/>
      <c r="J12" s="156"/>
      <c r="K12" s="14" t="s">
        <v>21</v>
      </c>
      <c r="L12" s="10">
        <v>0.13650260348288767</v>
      </c>
      <c r="M12" s="10">
        <v>0.13650260348288767</v>
      </c>
      <c r="N12" s="10">
        <v>0.13650260348288767</v>
      </c>
      <c r="O12" s="10">
        <v>0.13650260348288767</v>
      </c>
      <c r="P12" s="10">
        <v>0.13650260348288767</v>
      </c>
      <c r="Q12" s="10">
        <v>0.13650260348288767</v>
      </c>
      <c r="R12" s="10">
        <v>0.13650260348288767</v>
      </c>
      <c r="S12" s="10">
        <v>0.13650260348288767</v>
      </c>
      <c r="T12" s="10">
        <v>0.13650260348288767</v>
      </c>
      <c r="U12" s="10">
        <v>0.13650260348288767</v>
      </c>
      <c r="V12" s="10">
        <v>0.13650260348288767</v>
      </c>
      <c r="W12" s="10">
        <v>0.13650260348288767</v>
      </c>
      <c r="X12" s="10">
        <v>0.13661875957162403</v>
      </c>
      <c r="Y12" s="10">
        <v>0.13673491566036039</v>
      </c>
      <c r="Z12" s="10">
        <v>0.13685107174909675</v>
      </c>
      <c r="AA12" s="10">
        <v>0.13696722783783311</v>
      </c>
      <c r="AB12" s="10">
        <v>0.13708338392656946</v>
      </c>
      <c r="AC12" s="10">
        <v>0.13719954001530582</v>
      </c>
      <c r="AD12" s="10">
        <v>0.13731569610404218</v>
      </c>
      <c r="AE12" s="10">
        <v>0.13743185219277854</v>
      </c>
      <c r="AF12" s="10">
        <v>0.13754800828151489</v>
      </c>
      <c r="AG12" s="10">
        <v>0.13766416437025125</v>
      </c>
      <c r="AH12" s="10">
        <v>0.13778032045898761</v>
      </c>
      <c r="AI12" s="10">
        <v>0.13789647654772397</v>
      </c>
      <c r="AJ12" s="10">
        <v>0.13801263263646033</v>
      </c>
      <c r="AK12" s="10">
        <v>0.13812878872519668</v>
      </c>
      <c r="AL12" s="10">
        <v>0.13824494481393304</v>
      </c>
      <c r="AM12" s="10">
        <v>0.1383611009026694</v>
      </c>
      <c r="AN12" s="10">
        <v>0.13847725699140576</v>
      </c>
      <c r="AO12" s="10">
        <v>0.13859341308014211</v>
      </c>
      <c r="AP12" s="10">
        <v>0.13870956916887847</v>
      </c>
      <c r="AQ12" s="10">
        <v>0.13882572525761461</v>
      </c>
    </row>
    <row r="13" spans="4:43" ht="13.5" customHeight="1" thickTop="1" x14ac:dyDescent="0.15">
      <c r="G13" s="7"/>
      <c r="H13" s="16"/>
      <c r="J13" s="156"/>
      <c r="K13" s="13" t="s">
        <v>22</v>
      </c>
      <c r="L13" s="8">
        <v>0.14329454662854071</v>
      </c>
      <c r="M13" s="8">
        <v>0.14385837675366336</v>
      </c>
      <c r="N13" s="8">
        <v>0.14442220687878601</v>
      </c>
      <c r="O13" s="8">
        <v>0.14498603700390866</v>
      </c>
      <c r="P13" s="8">
        <v>0.14554986712903131</v>
      </c>
      <c r="Q13" s="8">
        <v>0.14611369725415396</v>
      </c>
      <c r="R13" s="8">
        <v>0.14667752737927661</v>
      </c>
      <c r="S13" s="8">
        <v>0.14724135750439926</v>
      </c>
      <c r="T13" s="8">
        <v>0.14780518762952191</v>
      </c>
      <c r="U13" s="8">
        <v>0.14836901775464456</v>
      </c>
      <c r="V13" s="8">
        <v>0.14893284787976721</v>
      </c>
      <c r="W13" s="8">
        <v>0.14949667800488989</v>
      </c>
      <c r="X13" s="8">
        <v>0.14949667800488989</v>
      </c>
      <c r="Y13" s="8">
        <v>0.14949667800488989</v>
      </c>
      <c r="Z13" s="8">
        <v>0.14949667800488989</v>
      </c>
      <c r="AA13" s="8">
        <v>0.14949667800488989</v>
      </c>
      <c r="AB13" s="8">
        <v>0.14949667800488989</v>
      </c>
      <c r="AC13" s="8">
        <v>0.14949667800488989</v>
      </c>
      <c r="AD13" s="8">
        <v>0.14949667800488989</v>
      </c>
      <c r="AE13" s="8">
        <v>0.14949667800488989</v>
      </c>
      <c r="AF13" s="8">
        <v>0.14949667800488989</v>
      </c>
      <c r="AG13" s="8">
        <v>0.14949667800488989</v>
      </c>
      <c r="AH13" s="8">
        <v>0.14949667800488989</v>
      </c>
      <c r="AI13" s="8">
        <v>0.14949667800488989</v>
      </c>
      <c r="AJ13" s="8">
        <v>0.14949667800488989</v>
      </c>
      <c r="AK13" s="8">
        <v>0.14949667800488989</v>
      </c>
      <c r="AL13" s="8">
        <v>0.14949667800488989</v>
      </c>
      <c r="AM13" s="8">
        <v>0.14949667800488989</v>
      </c>
      <c r="AN13" s="8">
        <v>0.14949667800488989</v>
      </c>
      <c r="AO13" s="8">
        <v>0.14949667800488989</v>
      </c>
      <c r="AP13" s="8">
        <v>0.14949667800488989</v>
      </c>
      <c r="AQ13" s="8">
        <v>0.14949667800488989</v>
      </c>
    </row>
    <row r="14" spans="4:43" ht="14.25" customHeight="1" x14ac:dyDescent="0.15">
      <c r="G14" s="7"/>
      <c r="H14" s="16"/>
      <c r="J14" s="156"/>
      <c r="K14" s="5" t="s">
        <v>23</v>
      </c>
      <c r="L14" s="9">
        <v>0.14329454662854071</v>
      </c>
      <c r="M14" s="9">
        <v>0.14351624781557012</v>
      </c>
      <c r="N14" s="9">
        <v>0.14373794900259954</v>
      </c>
      <c r="O14" s="9">
        <v>0.14395965018962895</v>
      </c>
      <c r="P14" s="9">
        <v>0.14418135137665836</v>
      </c>
      <c r="Q14" s="9">
        <v>0.14440305256368777</v>
      </c>
      <c r="R14" s="9">
        <v>0.14462475375071718</v>
      </c>
      <c r="S14" s="9">
        <v>0.14484645493774659</v>
      </c>
      <c r="T14" s="9">
        <v>0.145068156124776</v>
      </c>
      <c r="U14" s="9">
        <v>0.14528985731180541</v>
      </c>
      <c r="V14" s="9">
        <v>0.14551155849883482</v>
      </c>
      <c r="W14" s="9">
        <v>0.14573325968586431</v>
      </c>
      <c r="X14" s="9">
        <v>0.14592143060181559</v>
      </c>
      <c r="Y14" s="9">
        <v>0.14610960151776686</v>
      </c>
      <c r="Z14" s="9">
        <v>0.14629777243371814</v>
      </c>
      <c r="AA14" s="9">
        <v>0.14648594334966941</v>
      </c>
      <c r="AB14" s="9">
        <v>0.14667411426562069</v>
      </c>
      <c r="AC14" s="9">
        <v>0.14686228518157196</v>
      </c>
      <c r="AD14" s="9">
        <v>0.14705045609752324</v>
      </c>
      <c r="AE14" s="9">
        <v>0.14723862701347451</v>
      </c>
      <c r="AF14" s="9">
        <v>0.14742679792942578</v>
      </c>
      <c r="AG14" s="9">
        <v>0.14761496884537706</v>
      </c>
      <c r="AH14" s="9">
        <v>0.14780313976132833</v>
      </c>
      <c r="AI14" s="9">
        <v>0.14799131067727961</v>
      </c>
      <c r="AJ14" s="9">
        <v>0.14817948159323088</v>
      </c>
      <c r="AK14" s="9">
        <v>0.14836765250918216</v>
      </c>
      <c r="AL14" s="9">
        <v>0.14855582342513343</v>
      </c>
      <c r="AM14" s="9">
        <v>0.14874399434108471</v>
      </c>
      <c r="AN14" s="9">
        <v>0.14893216525703598</v>
      </c>
      <c r="AO14" s="9">
        <v>0.14912033617298726</v>
      </c>
      <c r="AP14" s="9">
        <v>0.14930850708893853</v>
      </c>
      <c r="AQ14" s="9">
        <v>0.14949667800488989</v>
      </c>
    </row>
    <row r="15" spans="4:43" ht="14.25" customHeight="1" thickBot="1" x14ac:dyDescent="0.2">
      <c r="G15" s="7"/>
      <c r="H15" s="16"/>
      <c r="J15" s="156"/>
      <c r="K15" s="14" t="s">
        <v>24</v>
      </c>
      <c r="L15" s="10">
        <v>0.14329454662854071</v>
      </c>
      <c r="M15" s="10">
        <v>0.14329454662854071</v>
      </c>
      <c r="N15" s="10">
        <v>0.14329454662854071</v>
      </c>
      <c r="O15" s="10">
        <v>0.14329454662854071</v>
      </c>
      <c r="P15" s="10">
        <v>0.14329454662854071</v>
      </c>
      <c r="Q15" s="10">
        <v>0.14329454662854071</v>
      </c>
      <c r="R15" s="10">
        <v>0.14329454662854071</v>
      </c>
      <c r="S15" s="10">
        <v>0.14329454662854071</v>
      </c>
      <c r="T15" s="10">
        <v>0.14329454662854071</v>
      </c>
      <c r="U15" s="10">
        <v>0.14329454662854071</v>
      </c>
      <c r="V15" s="10">
        <v>0.14329454662854071</v>
      </c>
      <c r="W15" s="10">
        <v>0.14329454662854071</v>
      </c>
      <c r="X15" s="10">
        <v>0.14341648228140688</v>
      </c>
      <c r="Y15" s="10">
        <v>0.14353841793427305</v>
      </c>
      <c r="Z15" s="10">
        <v>0.14366035358713922</v>
      </c>
      <c r="AA15" s="10">
        <v>0.14378228924000538</v>
      </c>
      <c r="AB15" s="10">
        <v>0.14390422489287155</v>
      </c>
      <c r="AC15" s="10">
        <v>0.14402616054573772</v>
      </c>
      <c r="AD15" s="10">
        <v>0.14414809619860389</v>
      </c>
      <c r="AE15" s="10">
        <v>0.14427003185147005</v>
      </c>
      <c r="AF15" s="10">
        <v>0.14439196750433622</v>
      </c>
      <c r="AG15" s="10">
        <v>0.14451390315720239</v>
      </c>
      <c r="AH15" s="10">
        <v>0.14463583881006856</v>
      </c>
      <c r="AI15" s="10">
        <v>0.14475777446293472</v>
      </c>
      <c r="AJ15" s="10">
        <v>0.14487971011580089</v>
      </c>
      <c r="AK15" s="10">
        <v>0.14500164576866706</v>
      </c>
      <c r="AL15" s="10">
        <v>0.14512358142153323</v>
      </c>
      <c r="AM15" s="10">
        <v>0.14524551707439939</v>
      </c>
      <c r="AN15" s="10">
        <v>0.14536745272726556</v>
      </c>
      <c r="AO15" s="10">
        <v>0.14548938838013173</v>
      </c>
      <c r="AP15" s="10">
        <v>0.1456113240329979</v>
      </c>
      <c r="AQ15" s="10">
        <v>0.14573325968586431</v>
      </c>
    </row>
    <row r="16" spans="4:43" ht="13.5" customHeight="1" thickTop="1" x14ac:dyDescent="0.15">
      <c r="G16" s="7"/>
      <c r="H16" s="16"/>
      <c r="J16" s="156"/>
      <c r="K16" s="13" t="s">
        <v>25</v>
      </c>
      <c r="L16" s="8">
        <v>0.14990328410944515</v>
      </c>
      <c r="M16" s="8">
        <v>0.15049311805235732</v>
      </c>
      <c r="N16" s="8">
        <v>0.1510829519952695</v>
      </c>
      <c r="O16" s="8">
        <v>0.15167278593818168</v>
      </c>
      <c r="P16" s="8">
        <v>0.15226261988109385</v>
      </c>
      <c r="Q16" s="8">
        <v>0.15285245382400603</v>
      </c>
      <c r="R16" s="8">
        <v>0.15344228776691821</v>
      </c>
      <c r="S16" s="8">
        <v>0.15403212170983038</v>
      </c>
      <c r="T16" s="8">
        <v>0.15462195565274256</v>
      </c>
      <c r="U16" s="8">
        <v>0.15521178959565474</v>
      </c>
      <c r="V16" s="8">
        <v>0.15580162353856691</v>
      </c>
      <c r="W16" s="8">
        <v>0.15639145748147906</v>
      </c>
      <c r="X16" s="8">
        <v>0.15639145748147906</v>
      </c>
      <c r="Y16" s="8">
        <v>0.15639145748147906</v>
      </c>
      <c r="Z16" s="8">
        <v>0.15639145748147906</v>
      </c>
      <c r="AA16" s="8">
        <v>0.15639145748147906</v>
      </c>
      <c r="AB16" s="8">
        <v>0.15639145748147906</v>
      </c>
      <c r="AC16" s="8">
        <v>0.15639145748147906</v>
      </c>
      <c r="AD16" s="8">
        <v>0.15639145748147906</v>
      </c>
      <c r="AE16" s="8">
        <v>0.15639145748147906</v>
      </c>
      <c r="AF16" s="8">
        <v>0.15639145748147906</v>
      </c>
      <c r="AG16" s="8">
        <v>0.15639145748147906</v>
      </c>
      <c r="AH16" s="8">
        <v>0.15639145748147906</v>
      </c>
      <c r="AI16" s="8">
        <v>0.15639145748147906</v>
      </c>
      <c r="AJ16" s="8">
        <v>0.15639145748147906</v>
      </c>
      <c r="AK16" s="8">
        <v>0.15639145748147906</v>
      </c>
      <c r="AL16" s="8">
        <v>0.15639145748147906</v>
      </c>
      <c r="AM16" s="8">
        <v>0.15639145748147906</v>
      </c>
      <c r="AN16" s="8">
        <v>0.15639145748147906</v>
      </c>
      <c r="AO16" s="8">
        <v>0.15639145748147906</v>
      </c>
      <c r="AP16" s="8">
        <v>0.15639145748147906</v>
      </c>
      <c r="AQ16" s="8">
        <v>0.15639145748147906</v>
      </c>
    </row>
    <row r="17" spans="7:43" ht="14.25" customHeight="1" x14ac:dyDescent="0.15">
      <c r="G17" s="7"/>
      <c r="H17" s="16"/>
      <c r="J17" s="156"/>
      <c r="K17" s="5" t="s">
        <v>26</v>
      </c>
      <c r="L17" s="9">
        <v>0.14990328410944515</v>
      </c>
      <c r="M17" s="9">
        <v>0.15013521014437531</v>
      </c>
      <c r="N17" s="9">
        <v>0.15036713617930547</v>
      </c>
      <c r="O17" s="9">
        <v>0.15059906221423563</v>
      </c>
      <c r="P17" s="9">
        <v>0.1508309882491658</v>
      </c>
      <c r="Q17" s="9">
        <v>0.15106291428409596</v>
      </c>
      <c r="R17" s="9">
        <v>0.15129484031902612</v>
      </c>
      <c r="S17" s="9">
        <v>0.15152676635395629</v>
      </c>
      <c r="T17" s="9">
        <v>0.15175869238888645</v>
      </c>
      <c r="U17" s="9">
        <v>0.15199061842381661</v>
      </c>
      <c r="V17" s="9">
        <v>0.15222254445874678</v>
      </c>
      <c r="W17" s="9">
        <v>0.15245447049367689</v>
      </c>
      <c r="X17" s="9">
        <v>0.15265131984306698</v>
      </c>
      <c r="Y17" s="9">
        <v>0.15284816919245708</v>
      </c>
      <c r="Z17" s="9">
        <v>0.15304501854184718</v>
      </c>
      <c r="AA17" s="9">
        <v>0.15324186789123728</v>
      </c>
      <c r="AB17" s="9">
        <v>0.15343871724062738</v>
      </c>
      <c r="AC17" s="9">
        <v>0.15363556659001748</v>
      </c>
      <c r="AD17" s="9">
        <v>0.15383241593940758</v>
      </c>
      <c r="AE17" s="9">
        <v>0.15402926528879768</v>
      </c>
      <c r="AF17" s="9">
        <v>0.15422611463818778</v>
      </c>
      <c r="AG17" s="9">
        <v>0.15442296398757788</v>
      </c>
      <c r="AH17" s="9">
        <v>0.15461981333696798</v>
      </c>
      <c r="AI17" s="9">
        <v>0.15481666268635808</v>
      </c>
      <c r="AJ17" s="9">
        <v>0.15501351203574817</v>
      </c>
      <c r="AK17" s="9">
        <v>0.15521036138513827</v>
      </c>
      <c r="AL17" s="9">
        <v>0.15540721073452837</v>
      </c>
      <c r="AM17" s="9">
        <v>0.15560406008391847</v>
      </c>
      <c r="AN17" s="9">
        <v>0.15580090943330857</v>
      </c>
      <c r="AO17" s="9">
        <v>0.15599775878269867</v>
      </c>
      <c r="AP17" s="9">
        <v>0.15619460813208877</v>
      </c>
      <c r="AQ17" s="9">
        <v>0.15639145748147906</v>
      </c>
    </row>
    <row r="18" spans="7:43" ht="14.25" customHeight="1" thickBot="1" x14ac:dyDescent="0.2">
      <c r="G18" s="7"/>
      <c r="H18" s="16"/>
      <c r="J18" s="156"/>
      <c r="K18" s="14" t="s">
        <v>27</v>
      </c>
      <c r="L18" s="10">
        <v>0.14990328410944515</v>
      </c>
      <c r="M18" s="10">
        <v>0.14990328410944515</v>
      </c>
      <c r="N18" s="10">
        <v>0.14990328410944515</v>
      </c>
      <c r="O18" s="10">
        <v>0.14990328410944515</v>
      </c>
      <c r="P18" s="10">
        <v>0.14990328410944515</v>
      </c>
      <c r="Q18" s="10">
        <v>0.14990328410944515</v>
      </c>
      <c r="R18" s="10">
        <v>0.14990328410944515</v>
      </c>
      <c r="S18" s="10">
        <v>0.14990328410944515</v>
      </c>
      <c r="T18" s="10">
        <v>0.14990328410944515</v>
      </c>
      <c r="U18" s="10">
        <v>0.14990328410944515</v>
      </c>
      <c r="V18" s="10">
        <v>0.14990328410944515</v>
      </c>
      <c r="W18" s="10">
        <v>0.14990328410944515</v>
      </c>
      <c r="X18" s="10">
        <v>0.15003084342865675</v>
      </c>
      <c r="Y18" s="10">
        <v>0.15015840274786835</v>
      </c>
      <c r="Z18" s="10">
        <v>0.15028596206707995</v>
      </c>
      <c r="AA18" s="10">
        <v>0.15041352138629155</v>
      </c>
      <c r="AB18" s="10">
        <v>0.15054108070550315</v>
      </c>
      <c r="AC18" s="10">
        <v>0.15066864002471475</v>
      </c>
      <c r="AD18" s="10">
        <v>0.15079619934392635</v>
      </c>
      <c r="AE18" s="10">
        <v>0.15092375866313795</v>
      </c>
      <c r="AF18" s="10">
        <v>0.15105131798234955</v>
      </c>
      <c r="AG18" s="10">
        <v>0.15117887730156115</v>
      </c>
      <c r="AH18" s="10">
        <v>0.15130643662077276</v>
      </c>
      <c r="AI18" s="10">
        <v>0.15143399593998436</v>
      </c>
      <c r="AJ18" s="10">
        <v>0.15156155525919596</v>
      </c>
      <c r="AK18" s="10">
        <v>0.15168911457840756</v>
      </c>
      <c r="AL18" s="10">
        <v>0.15181667389761916</v>
      </c>
      <c r="AM18" s="10">
        <v>0.15194423321683076</v>
      </c>
      <c r="AN18" s="10">
        <v>0.15207179253604236</v>
      </c>
      <c r="AO18" s="10">
        <v>0.15219935185525396</v>
      </c>
      <c r="AP18" s="10">
        <v>0.15232691117446556</v>
      </c>
      <c r="AQ18" s="10">
        <v>0.15245447049367689</v>
      </c>
    </row>
    <row r="19" spans="7:43" ht="14.25" customHeight="1" thickTop="1" x14ac:dyDescent="0.15">
      <c r="G19" s="7"/>
      <c r="J19" s="156"/>
      <c r="K19" s="13" t="s">
        <v>28</v>
      </c>
      <c r="L19" s="8">
        <v>0.15178682877019675</v>
      </c>
      <c r="M19" s="8">
        <v>0.15238407401553972</v>
      </c>
      <c r="N19" s="8">
        <v>0.15298131926088268</v>
      </c>
      <c r="O19" s="8">
        <v>0.15357856450622565</v>
      </c>
      <c r="P19" s="8">
        <v>0.15417580975156861</v>
      </c>
      <c r="Q19" s="8">
        <v>0.15477305499691157</v>
      </c>
      <c r="R19" s="8">
        <v>0.15537030024225454</v>
      </c>
      <c r="S19" s="8">
        <v>0.1559675454875975</v>
      </c>
      <c r="T19" s="8">
        <v>0.15656479073294047</v>
      </c>
      <c r="U19" s="8">
        <v>0.15716203597828343</v>
      </c>
      <c r="V19" s="8">
        <v>0.1577592812236264</v>
      </c>
      <c r="W19" s="8">
        <v>0.15835652646896928</v>
      </c>
      <c r="X19" s="8">
        <v>0.15835652646896928</v>
      </c>
      <c r="Y19" s="8">
        <v>0.15835652646896928</v>
      </c>
      <c r="Z19" s="8">
        <v>0.15835652646896928</v>
      </c>
      <c r="AA19" s="8">
        <v>0.15835652646896928</v>
      </c>
      <c r="AB19" s="8">
        <v>0.15835652646896928</v>
      </c>
      <c r="AC19" s="8">
        <v>0.15835652646896928</v>
      </c>
      <c r="AD19" s="8">
        <v>0.15835652646896928</v>
      </c>
      <c r="AE19" s="8">
        <v>0.15835652646896928</v>
      </c>
      <c r="AF19" s="8">
        <v>0.15835652646896928</v>
      </c>
      <c r="AG19" s="8">
        <v>0.15835652646896928</v>
      </c>
      <c r="AH19" s="8">
        <v>0.15835652646896928</v>
      </c>
      <c r="AI19" s="8">
        <v>0.15835652646896928</v>
      </c>
      <c r="AJ19" s="8">
        <v>0.15835652646896928</v>
      </c>
      <c r="AK19" s="8">
        <v>0.15835652646896928</v>
      </c>
      <c r="AL19" s="8">
        <v>0.15835652646896928</v>
      </c>
      <c r="AM19" s="8">
        <v>0.15835652646896928</v>
      </c>
      <c r="AN19" s="8">
        <v>0.15835652646896928</v>
      </c>
      <c r="AO19" s="8">
        <v>0.15835652646896928</v>
      </c>
      <c r="AP19" s="8">
        <v>0.15835652646896928</v>
      </c>
      <c r="AQ19" s="8">
        <v>0.15835652646896928</v>
      </c>
    </row>
    <row r="20" spans="7:43" ht="14.25" customHeight="1" x14ac:dyDescent="0.15">
      <c r="G20" s="7"/>
      <c r="J20" s="156"/>
      <c r="K20" s="5" t="s">
        <v>29</v>
      </c>
      <c r="L20" s="9">
        <v>0.15178682877019675</v>
      </c>
      <c r="M20" s="9">
        <v>0.15202166897106648</v>
      </c>
      <c r="N20" s="9">
        <v>0.1522565091719362</v>
      </c>
      <c r="O20" s="9">
        <v>0.15249134937280592</v>
      </c>
      <c r="P20" s="9">
        <v>0.15272618957367565</v>
      </c>
      <c r="Q20" s="9">
        <v>0.15296102977454537</v>
      </c>
      <c r="R20" s="9">
        <v>0.15319586997541509</v>
      </c>
      <c r="S20" s="9">
        <v>0.15343071017628482</v>
      </c>
      <c r="T20" s="9">
        <v>0.15366555037715454</v>
      </c>
      <c r="U20" s="9">
        <v>0.15390039057802427</v>
      </c>
      <c r="V20" s="9">
        <v>0.15413523077889399</v>
      </c>
      <c r="W20" s="9">
        <v>0.15437007097976382</v>
      </c>
      <c r="X20" s="9">
        <v>0.1545693937542241</v>
      </c>
      <c r="Y20" s="9">
        <v>0.15476871652868437</v>
      </c>
      <c r="Z20" s="9">
        <v>0.15496803930314465</v>
      </c>
      <c r="AA20" s="9">
        <v>0.15516736207760493</v>
      </c>
      <c r="AB20" s="9">
        <v>0.1553666848520652</v>
      </c>
      <c r="AC20" s="9">
        <v>0.15556600762652548</v>
      </c>
      <c r="AD20" s="9">
        <v>0.15576533040098575</v>
      </c>
      <c r="AE20" s="9">
        <v>0.15596465317544603</v>
      </c>
      <c r="AF20" s="9">
        <v>0.1561639759499063</v>
      </c>
      <c r="AG20" s="9">
        <v>0.15636329872436658</v>
      </c>
      <c r="AH20" s="9">
        <v>0.15656262149882685</v>
      </c>
      <c r="AI20" s="9">
        <v>0.15676194427328713</v>
      </c>
      <c r="AJ20" s="9">
        <v>0.1569612670477474</v>
      </c>
      <c r="AK20" s="9">
        <v>0.15716058982220768</v>
      </c>
      <c r="AL20" s="9">
        <v>0.15735991259666796</v>
      </c>
      <c r="AM20" s="9">
        <v>0.15755923537112823</v>
      </c>
      <c r="AN20" s="9">
        <v>0.15775855814558851</v>
      </c>
      <c r="AO20" s="9">
        <v>0.15795788092004878</v>
      </c>
      <c r="AP20" s="9">
        <v>0.15815720369450906</v>
      </c>
      <c r="AQ20" s="9">
        <v>0.15835652646896928</v>
      </c>
    </row>
    <row r="21" spans="7:43" ht="14.25" customHeight="1" thickBot="1" x14ac:dyDescent="0.2">
      <c r="G21" s="7"/>
      <c r="J21" s="156"/>
      <c r="K21" s="14" t="s">
        <v>30</v>
      </c>
      <c r="L21" s="10">
        <v>0.15178682877019675</v>
      </c>
      <c r="M21" s="10">
        <v>0.15178682877019675</v>
      </c>
      <c r="N21" s="10">
        <v>0.15178682877019675</v>
      </c>
      <c r="O21" s="10">
        <v>0.15178682877019675</v>
      </c>
      <c r="P21" s="10">
        <v>0.15178682877019675</v>
      </c>
      <c r="Q21" s="10">
        <v>0.15178682877019675</v>
      </c>
      <c r="R21" s="10">
        <v>0.15178682877019675</v>
      </c>
      <c r="S21" s="10">
        <v>0.15178682877019675</v>
      </c>
      <c r="T21" s="10">
        <v>0.15178682877019675</v>
      </c>
      <c r="U21" s="10">
        <v>0.15178682877019675</v>
      </c>
      <c r="V21" s="10">
        <v>0.15178682877019675</v>
      </c>
      <c r="W21" s="10">
        <v>0.15178682877019675</v>
      </c>
      <c r="X21" s="10">
        <v>0.15191599088067512</v>
      </c>
      <c r="Y21" s="10">
        <v>0.15204515299115348</v>
      </c>
      <c r="Z21" s="10">
        <v>0.15217431510163185</v>
      </c>
      <c r="AA21" s="10">
        <v>0.15230347721211021</v>
      </c>
      <c r="AB21" s="10">
        <v>0.15243263932258858</v>
      </c>
      <c r="AC21" s="10">
        <v>0.15256180143306694</v>
      </c>
      <c r="AD21" s="10">
        <v>0.1526909635435453</v>
      </c>
      <c r="AE21" s="10">
        <v>0.15282012565402367</v>
      </c>
      <c r="AF21" s="10">
        <v>0.15294928776450203</v>
      </c>
      <c r="AG21" s="10">
        <v>0.1530784498749804</v>
      </c>
      <c r="AH21" s="10">
        <v>0.15320761198545876</v>
      </c>
      <c r="AI21" s="10">
        <v>0.15333677409593713</v>
      </c>
      <c r="AJ21" s="10">
        <v>0.15346593620641549</v>
      </c>
      <c r="AK21" s="10">
        <v>0.15359509831689386</v>
      </c>
      <c r="AL21" s="10">
        <v>0.15372426042737222</v>
      </c>
      <c r="AM21" s="10">
        <v>0.15385342253785059</v>
      </c>
      <c r="AN21" s="10">
        <v>0.15398258464832895</v>
      </c>
      <c r="AO21" s="10">
        <v>0.15411174675880732</v>
      </c>
      <c r="AP21" s="10">
        <v>0.15424090886928568</v>
      </c>
      <c r="AQ21" s="10">
        <v>0.15437007097976382</v>
      </c>
    </row>
    <row r="22" spans="7:43" ht="14.25" customHeight="1" thickTop="1" x14ac:dyDescent="0.15">
      <c r="G22" s="7"/>
      <c r="J22" s="156"/>
      <c r="K22" s="13" t="s">
        <v>31</v>
      </c>
      <c r="L22" s="8">
        <v>0.16025448206067328</v>
      </c>
      <c r="M22" s="8">
        <v>0.16088504551753646</v>
      </c>
      <c r="N22" s="8">
        <v>0.16151560897439965</v>
      </c>
      <c r="O22" s="8">
        <v>0.16214617243126284</v>
      </c>
      <c r="P22" s="8">
        <v>0.16277673588812602</v>
      </c>
      <c r="Q22" s="8">
        <v>0.16340729934498921</v>
      </c>
      <c r="R22" s="8">
        <v>0.1640378628018524</v>
      </c>
      <c r="S22" s="8">
        <v>0.16466842625871558</v>
      </c>
      <c r="T22" s="8">
        <v>0.16529898971557877</v>
      </c>
      <c r="U22" s="8">
        <v>0.16592955317244196</v>
      </c>
      <c r="V22" s="8">
        <v>0.16656011662930514</v>
      </c>
      <c r="W22" s="8">
        <v>0.16719068008616828</v>
      </c>
      <c r="X22" s="8">
        <v>0.16719068008616828</v>
      </c>
      <c r="Y22" s="8">
        <v>0.16719068008616828</v>
      </c>
      <c r="Z22" s="8">
        <v>0.16719068008616828</v>
      </c>
      <c r="AA22" s="8">
        <v>0.16719068008616828</v>
      </c>
      <c r="AB22" s="8">
        <v>0.16719068008616828</v>
      </c>
      <c r="AC22" s="8">
        <v>0.16719068008616828</v>
      </c>
      <c r="AD22" s="8">
        <v>0.16719068008616828</v>
      </c>
      <c r="AE22" s="8">
        <v>0.16719068008616828</v>
      </c>
      <c r="AF22" s="8">
        <v>0.16719068008616828</v>
      </c>
      <c r="AG22" s="8">
        <v>0.16719068008616828</v>
      </c>
      <c r="AH22" s="8">
        <v>0.16719068008616828</v>
      </c>
      <c r="AI22" s="8">
        <v>0.16719068008616828</v>
      </c>
      <c r="AJ22" s="8">
        <v>0.16719068008616828</v>
      </c>
      <c r="AK22" s="8">
        <v>0.16719068008616828</v>
      </c>
      <c r="AL22" s="8">
        <v>0.16719068008616828</v>
      </c>
      <c r="AM22" s="8">
        <v>0.16719068008616828</v>
      </c>
      <c r="AN22" s="8">
        <v>0.16719068008616828</v>
      </c>
      <c r="AO22" s="8">
        <v>0.16719068008616828</v>
      </c>
      <c r="AP22" s="8">
        <v>0.16719068008616828</v>
      </c>
      <c r="AQ22" s="8">
        <v>0.16719068008616828</v>
      </c>
    </row>
    <row r="23" spans="7:43" ht="14.25" customHeight="1" x14ac:dyDescent="0.15">
      <c r="G23" s="7"/>
      <c r="J23" s="156"/>
      <c r="K23" s="5" t="s">
        <v>32</v>
      </c>
      <c r="L23" s="9">
        <v>0.16025448206067328</v>
      </c>
      <c r="M23" s="9">
        <v>0.16050242317033558</v>
      </c>
      <c r="N23" s="9">
        <v>0.16075036427999789</v>
      </c>
      <c r="O23" s="9">
        <v>0.1609983053896602</v>
      </c>
      <c r="P23" s="9">
        <v>0.16124624649932251</v>
      </c>
      <c r="Q23" s="9">
        <v>0.16149418760898482</v>
      </c>
      <c r="R23" s="9">
        <v>0.16174212871864713</v>
      </c>
      <c r="S23" s="9">
        <v>0.16199006982830944</v>
      </c>
      <c r="T23" s="9">
        <v>0.16223801093797174</v>
      </c>
      <c r="U23" s="9">
        <v>0.16248595204763405</v>
      </c>
      <c r="V23" s="9">
        <v>0.16273389315729636</v>
      </c>
      <c r="W23" s="9">
        <v>0.16298183426695853</v>
      </c>
      <c r="X23" s="9">
        <v>0.16319227655791901</v>
      </c>
      <c r="Y23" s="9">
        <v>0.1634027188488795</v>
      </c>
      <c r="Z23" s="9">
        <v>0.16361316113983998</v>
      </c>
      <c r="AA23" s="9">
        <v>0.16382360343080046</v>
      </c>
      <c r="AB23" s="9">
        <v>0.16403404572176095</v>
      </c>
      <c r="AC23" s="9">
        <v>0.16424448801272143</v>
      </c>
      <c r="AD23" s="9">
        <v>0.16445493030368191</v>
      </c>
      <c r="AE23" s="9">
        <v>0.1646653725946424</v>
      </c>
      <c r="AF23" s="9">
        <v>0.16487581488560288</v>
      </c>
      <c r="AG23" s="9">
        <v>0.16508625717656336</v>
      </c>
      <c r="AH23" s="9">
        <v>0.16529669946752384</v>
      </c>
      <c r="AI23" s="9">
        <v>0.16550714175848433</v>
      </c>
      <c r="AJ23" s="9">
        <v>0.16571758404944481</v>
      </c>
      <c r="AK23" s="9">
        <v>0.16592802634040529</v>
      </c>
      <c r="AL23" s="9">
        <v>0.16613846863136578</v>
      </c>
      <c r="AM23" s="9">
        <v>0.16634891092232626</v>
      </c>
      <c r="AN23" s="9">
        <v>0.16655935321328674</v>
      </c>
      <c r="AO23" s="9">
        <v>0.16676979550424723</v>
      </c>
      <c r="AP23" s="9">
        <v>0.16698023779520771</v>
      </c>
      <c r="AQ23" s="9">
        <v>0.16719068008616828</v>
      </c>
    </row>
    <row r="24" spans="7:43" ht="14.25" customHeight="1" thickBot="1" x14ac:dyDescent="0.2">
      <c r="G24" s="7"/>
      <c r="J24" s="156"/>
      <c r="K24" s="14" t="s">
        <v>33</v>
      </c>
      <c r="L24" s="10">
        <v>0.16025448206067328</v>
      </c>
      <c r="M24" s="10">
        <v>0.16025448206067328</v>
      </c>
      <c r="N24" s="10">
        <v>0.16025448206067328</v>
      </c>
      <c r="O24" s="10">
        <v>0.16025448206067328</v>
      </c>
      <c r="P24" s="10">
        <v>0.16025448206067328</v>
      </c>
      <c r="Q24" s="10">
        <v>0.16025448206067328</v>
      </c>
      <c r="R24" s="10">
        <v>0.16025448206067328</v>
      </c>
      <c r="S24" s="10">
        <v>0.16025448206067328</v>
      </c>
      <c r="T24" s="10">
        <v>0.16025448206067328</v>
      </c>
      <c r="U24" s="10">
        <v>0.16025448206067328</v>
      </c>
      <c r="V24" s="10">
        <v>0.16025448206067328</v>
      </c>
      <c r="W24" s="10">
        <v>0.16025448206067328</v>
      </c>
      <c r="X24" s="10">
        <v>0.16039084967098755</v>
      </c>
      <c r="Y24" s="10">
        <v>0.16052721728130181</v>
      </c>
      <c r="Z24" s="10">
        <v>0.16066358489161608</v>
      </c>
      <c r="AA24" s="10">
        <v>0.16079995250193035</v>
      </c>
      <c r="AB24" s="10">
        <v>0.16093632011224462</v>
      </c>
      <c r="AC24" s="10">
        <v>0.16107268772255889</v>
      </c>
      <c r="AD24" s="10">
        <v>0.16120905533287316</v>
      </c>
      <c r="AE24" s="10">
        <v>0.16134542294318743</v>
      </c>
      <c r="AF24" s="10">
        <v>0.1614817905535017</v>
      </c>
      <c r="AG24" s="10">
        <v>0.16161815816381597</v>
      </c>
      <c r="AH24" s="10">
        <v>0.16175452577413024</v>
      </c>
      <c r="AI24" s="10">
        <v>0.16189089338444451</v>
      </c>
      <c r="AJ24" s="10">
        <v>0.16202726099475878</v>
      </c>
      <c r="AK24" s="10">
        <v>0.16216362860507305</v>
      </c>
      <c r="AL24" s="10">
        <v>0.16229999621538732</v>
      </c>
      <c r="AM24" s="10">
        <v>0.16243636382570159</v>
      </c>
      <c r="AN24" s="10">
        <v>0.16257273143601586</v>
      </c>
      <c r="AO24" s="10">
        <v>0.16270909904633013</v>
      </c>
      <c r="AP24" s="10">
        <v>0.1628454666566444</v>
      </c>
      <c r="AQ24" s="10">
        <v>0.16298183426695853</v>
      </c>
    </row>
    <row r="25" spans="7:43" ht="13.5" customHeight="1" thickTop="1" x14ac:dyDescent="0.15">
      <c r="G25" s="7"/>
      <c r="J25" s="156"/>
      <c r="K25" s="13" t="s">
        <v>34</v>
      </c>
      <c r="L25" s="8">
        <v>0.1695860383924738</v>
      </c>
      <c r="M25" s="8">
        <v>0.17025331931485077</v>
      </c>
      <c r="N25" s="8">
        <v>0.17092060023722774</v>
      </c>
      <c r="O25" s="8">
        <v>0.17158788115960472</v>
      </c>
      <c r="P25" s="8">
        <v>0.17225516208198169</v>
      </c>
      <c r="Q25" s="8">
        <v>0.17292244300435866</v>
      </c>
      <c r="R25" s="8">
        <v>0.17358972392673563</v>
      </c>
      <c r="S25" s="8">
        <v>0.17425700484911261</v>
      </c>
      <c r="T25" s="8">
        <v>0.17492428577148958</v>
      </c>
      <c r="U25" s="8">
        <v>0.17559156669386655</v>
      </c>
      <c r="V25" s="8">
        <v>0.17625884761624352</v>
      </c>
      <c r="W25" s="8">
        <v>0.17692612853862053</v>
      </c>
      <c r="X25" s="8">
        <v>0.17692612853862053</v>
      </c>
      <c r="Y25" s="8">
        <v>0.17692612853862053</v>
      </c>
      <c r="Z25" s="8">
        <v>0.17692612853862053</v>
      </c>
      <c r="AA25" s="8">
        <v>0.17692612853862053</v>
      </c>
      <c r="AB25" s="8">
        <v>0.17692612853862053</v>
      </c>
      <c r="AC25" s="8">
        <v>0.17692612853862053</v>
      </c>
      <c r="AD25" s="8">
        <v>0.17692612853862053</v>
      </c>
      <c r="AE25" s="8">
        <v>0.17692612853862053</v>
      </c>
      <c r="AF25" s="8">
        <v>0.17692612853862053</v>
      </c>
      <c r="AG25" s="8">
        <v>0.17692612853862053</v>
      </c>
      <c r="AH25" s="8">
        <v>0.17692612853862053</v>
      </c>
      <c r="AI25" s="8">
        <v>0.17692612853862053</v>
      </c>
      <c r="AJ25" s="8">
        <v>0.17692612853862053</v>
      </c>
      <c r="AK25" s="8">
        <v>0.17692612853862053</v>
      </c>
      <c r="AL25" s="8">
        <v>0.17692612853862053</v>
      </c>
      <c r="AM25" s="8">
        <v>0.17692612853862053</v>
      </c>
      <c r="AN25" s="8">
        <v>0.17692612853862053</v>
      </c>
      <c r="AO25" s="8">
        <v>0.17692612853862053</v>
      </c>
      <c r="AP25" s="8">
        <v>0.17692612853862053</v>
      </c>
      <c r="AQ25" s="8">
        <v>0.17692612853862053</v>
      </c>
    </row>
    <row r="26" spans="7:43" ht="14.25" customHeight="1" x14ac:dyDescent="0.15">
      <c r="G26" s="7"/>
      <c r="J26" s="156"/>
      <c r="K26" s="5" t="s">
        <v>35</v>
      </c>
      <c r="L26" s="9">
        <v>0.1695860383924738</v>
      </c>
      <c r="M26" s="9">
        <v>0.16984841701678174</v>
      </c>
      <c r="N26" s="9">
        <v>0.17011079564108969</v>
      </c>
      <c r="O26" s="9">
        <v>0.17037317426539764</v>
      </c>
      <c r="P26" s="9">
        <v>0.17063555288970558</v>
      </c>
      <c r="Q26" s="9">
        <v>0.17089793151401353</v>
      </c>
      <c r="R26" s="9">
        <v>0.17116031013832148</v>
      </c>
      <c r="S26" s="9">
        <v>0.17142268876262942</v>
      </c>
      <c r="T26" s="9">
        <v>0.17168506738693737</v>
      </c>
      <c r="U26" s="9">
        <v>0.17194744601124531</v>
      </c>
      <c r="V26" s="9">
        <v>0.17220982463555326</v>
      </c>
      <c r="W26" s="9">
        <v>0.17247220325986126</v>
      </c>
      <c r="X26" s="9">
        <v>0.17269489952379924</v>
      </c>
      <c r="Y26" s="9">
        <v>0.17291759578773719</v>
      </c>
      <c r="Z26" s="9">
        <v>0.17314029205167514</v>
      </c>
      <c r="AA26" s="9">
        <v>0.17336298831561309</v>
      </c>
      <c r="AB26" s="9">
        <v>0.17358568457955104</v>
      </c>
      <c r="AC26" s="9">
        <v>0.17380838084348899</v>
      </c>
      <c r="AD26" s="9">
        <v>0.17403107710742693</v>
      </c>
      <c r="AE26" s="9">
        <v>0.17425377337136488</v>
      </c>
      <c r="AF26" s="9">
        <v>0.17447646963530283</v>
      </c>
      <c r="AG26" s="9">
        <v>0.17469916589924078</v>
      </c>
      <c r="AH26" s="9">
        <v>0.17492186216317873</v>
      </c>
      <c r="AI26" s="9">
        <v>0.17514455842711668</v>
      </c>
      <c r="AJ26" s="9">
        <v>0.17536725469105463</v>
      </c>
      <c r="AK26" s="9">
        <v>0.17558995095499258</v>
      </c>
      <c r="AL26" s="9">
        <v>0.17581264721893053</v>
      </c>
      <c r="AM26" s="9">
        <v>0.17603534348286848</v>
      </c>
      <c r="AN26" s="9">
        <v>0.17625803974680643</v>
      </c>
      <c r="AO26" s="9">
        <v>0.17648073601074438</v>
      </c>
      <c r="AP26" s="9">
        <v>0.17670343227468233</v>
      </c>
      <c r="AQ26" s="9">
        <v>0.17692612853862053</v>
      </c>
    </row>
    <row r="27" spans="7:43" ht="14.25" customHeight="1" thickBot="1" x14ac:dyDescent="0.2">
      <c r="G27" s="7"/>
      <c r="J27" s="156"/>
      <c r="K27" s="14" t="s">
        <v>36</v>
      </c>
      <c r="L27" s="10">
        <v>0.1695860383924738</v>
      </c>
      <c r="M27" s="10">
        <v>0.1695860383924738</v>
      </c>
      <c r="N27" s="10">
        <v>0.1695860383924738</v>
      </c>
      <c r="O27" s="10">
        <v>0.1695860383924738</v>
      </c>
      <c r="P27" s="10">
        <v>0.1695860383924738</v>
      </c>
      <c r="Q27" s="10">
        <v>0.1695860383924738</v>
      </c>
      <c r="R27" s="10">
        <v>0.1695860383924738</v>
      </c>
      <c r="S27" s="10">
        <v>0.1695860383924738</v>
      </c>
      <c r="T27" s="10">
        <v>0.1695860383924738</v>
      </c>
      <c r="U27" s="10">
        <v>0.1695860383924738</v>
      </c>
      <c r="V27" s="10">
        <v>0.1695860383924738</v>
      </c>
      <c r="W27" s="10">
        <v>0.1695860383924738</v>
      </c>
      <c r="X27" s="10">
        <v>0.16973034663584316</v>
      </c>
      <c r="Y27" s="10">
        <v>0.16987465487921252</v>
      </c>
      <c r="Z27" s="10">
        <v>0.17001896312258188</v>
      </c>
      <c r="AA27" s="10">
        <v>0.17016327136595125</v>
      </c>
      <c r="AB27" s="10">
        <v>0.17030757960932061</v>
      </c>
      <c r="AC27" s="10">
        <v>0.17045188785268997</v>
      </c>
      <c r="AD27" s="10">
        <v>0.17059619609605933</v>
      </c>
      <c r="AE27" s="10">
        <v>0.17074050433942869</v>
      </c>
      <c r="AF27" s="10">
        <v>0.17088481258279806</v>
      </c>
      <c r="AG27" s="10">
        <v>0.17102912082616742</v>
      </c>
      <c r="AH27" s="10">
        <v>0.17117342906953678</v>
      </c>
      <c r="AI27" s="10">
        <v>0.17131773731290614</v>
      </c>
      <c r="AJ27" s="10">
        <v>0.17146204555627551</v>
      </c>
      <c r="AK27" s="10">
        <v>0.17160635379964487</v>
      </c>
      <c r="AL27" s="10">
        <v>0.17175066204301423</v>
      </c>
      <c r="AM27" s="10">
        <v>0.17189497028638359</v>
      </c>
      <c r="AN27" s="10">
        <v>0.17203927852975295</v>
      </c>
      <c r="AO27" s="10">
        <v>0.17218358677312232</v>
      </c>
      <c r="AP27" s="10">
        <v>0.17232789501649168</v>
      </c>
      <c r="AQ27" s="10">
        <v>0.17247220325986126</v>
      </c>
    </row>
    <row r="28" spans="7:43" ht="13.5" customHeight="1" thickTop="1" x14ac:dyDescent="0.15">
      <c r="G28" s="7"/>
      <c r="J28" s="156"/>
      <c r="K28" s="13" t="s">
        <v>37</v>
      </c>
      <c r="L28" s="8">
        <v>0.18178140304622881</v>
      </c>
      <c r="M28" s="8">
        <v>0.18249666984204219</v>
      </c>
      <c r="N28" s="8">
        <v>0.18321193663785557</v>
      </c>
      <c r="O28" s="8">
        <v>0.18392720343366895</v>
      </c>
      <c r="P28" s="8">
        <v>0.18464247022948233</v>
      </c>
      <c r="Q28" s="8">
        <v>0.1853577370252957</v>
      </c>
      <c r="R28" s="8">
        <v>0.18607300382110908</v>
      </c>
      <c r="S28" s="8">
        <v>0.18678827061692246</v>
      </c>
      <c r="T28" s="8">
        <v>0.18750353741273584</v>
      </c>
      <c r="U28" s="8">
        <v>0.18821880420854922</v>
      </c>
      <c r="V28" s="8">
        <v>0.1889340710043626</v>
      </c>
      <c r="W28" s="8">
        <v>0.1896493378001759</v>
      </c>
      <c r="X28" s="8">
        <v>0.1896493378001759</v>
      </c>
      <c r="Y28" s="8">
        <v>0.1896493378001759</v>
      </c>
      <c r="Z28" s="8">
        <v>0.1896493378001759</v>
      </c>
      <c r="AA28" s="8">
        <v>0.1896493378001759</v>
      </c>
      <c r="AB28" s="8">
        <v>0.1896493378001759</v>
      </c>
      <c r="AC28" s="8">
        <v>0.1896493378001759</v>
      </c>
      <c r="AD28" s="8">
        <v>0.1896493378001759</v>
      </c>
      <c r="AE28" s="8">
        <v>0.1896493378001759</v>
      </c>
      <c r="AF28" s="8">
        <v>0.1896493378001759</v>
      </c>
      <c r="AG28" s="8">
        <v>0.1896493378001759</v>
      </c>
      <c r="AH28" s="8">
        <v>0.1896493378001759</v>
      </c>
      <c r="AI28" s="8">
        <v>0.1896493378001759</v>
      </c>
      <c r="AJ28" s="8">
        <v>0.1896493378001759</v>
      </c>
      <c r="AK28" s="8">
        <v>0.1896493378001759</v>
      </c>
      <c r="AL28" s="8">
        <v>0.1896493378001759</v>
      </c>
      <c r="AM28" s="8">
        <v>0.1896493378001759</v>
      </c>
      <c r="AN28" s="8">
        <v>0.1896493378001759</v>
      </c>
      <c r="AO28" s="8">
        <v>0.1896493378001759</v>
      </c>
      <c r="AP28" s="8">
        <v>0.1896493378001759</v>
      </c>
      <c r="AQ28" s="8">
        <v>0.1896493378001759</v>
      </c>
    </row>
    <row r="29" spans="7:43" ht="14.25" customHeight="1" x14ac:dyDescent="0.15">
      <c r="G29" s="7"/>
      <c r="J29" s="156"/>
      <c r="K29" s="5" t="s">
        <v>38</v>
      </c>
      <c r="L29" s="9">
        <v>0.18178140304622881</v>
      </c>
      <c r="M29" s="9">
        <v>0.18206264998676797</v>
      </c>
      <c r="N29" s="9">
        <v>0.18234389692730713</v>
      </c>
      <c r="O29" s="9">
        <v>0.18262514386784628</v>
      </c>
      <c r="P29" s="9">
        <v>0.18290639080838544</v>
      </c>
      <c r="Q29" s="9">
        <v>0.1831876377489246</v>
      </c>
      <c r="R29" s="9">
        <v>0.18346888468946376</v>
      </c>
      <c r="S29" s="9">
        <v>0.18375013163000292</v>
      </c>
      <c r="T29" s="9">
        <v>0.18403137857054208</v>
      </c>
      <c r="U29" s="9">
        <v>0.18431262551108124</v>
      </c>
      <c r="V29" s="9">
        <v>0.1845938724516204</v>
      </c>
      <c r="W29" s="9">
        <v>0.1848751193921595</v>
      </c>
      <c r="X29" s="9">
        <v>0.18511383031256032</v>
      </c>
      <c r="Y29" s="9">
        <v>0.18535254123296113</v>
      </c>
      <c r="Z29" s="9">
        <v>0.18559125215336195</v>
      </c>
      <c r="AA29" s="9">
        <v>0.18582996307376276</v>
      </c>
      <c r="AB29" s="9">
        <v>0.18606867399416357</v>
      </c>
      <c r="AC29" s="9">
        <v>0.18630738491456439</v>
      </c>
      <c r="AD29" s="9">
        <v>0.1865460958349652</v>
      </c>
      <c r="AE29" s="9">
        <v>0.18678480675536602</v>
      </c>
      <c r="AF29" s="9">
        <v>0.18702351767576683</v>
      </c>
      <c r="AG29" s="9">
        <v>0.18726222859616765</v>
      </c>
      <c r="AH29" s="9">
        <v>0.18750093951656846</v>
      </c>
      <c r="AI29" s="9">
        <v>0.18773965043696927</v>
      </c>
      <c r="AJ29" s="9">
        <v>0.18797836135737009</v>
      </c>
      <c r="AK29" s="9">
        <v>0.1882170722777709</v>
      </c>
      <c r="AL29" s="9">
        <v>0.18845578319817172</v>
      </c>
      <c r="AM29" s="9">
        <v>0.18869449411857253</v>
      </c>
      <c r="AN29" s="9">
        <v>0.18893320503897335</v>
      </c>
      <c r="AO29" s="9">
        <v>0.18917191595937416</v>
      </c>
      <c r="AP29" s="9">
        <v>0.18941062687977497</v>
      </c>
      <c r="AQ29" s="9">
        <v>0.1896493378001759</v>
      </c>
    </row>
    <row r="30" spans="7:43" ht="14.25" customHeight="1" thickBot="1" x14ac:dyDescent="0.2">
      <c r="G30" s="7"/>
      <c r="J30" s="156"/>
      <c r="K30" s="14" t="s">
        <v>39</v>
      </c>
      <c r="L30" s="10">
        <v>0.18178140304622881</v>
      </c>
      <c r="M30" s="10">
        <v>0.18178140304622881</v>
      </c>
      <c r="N30" s="10">
        <v>0.18178140304622881</v>
      </c>
      <c r="O30" s="10">
        <v>0.18178140304622881</v>
      </c>
      <c r="P30" s="10">
        <v>0.18178140304622881</v>
      </c>
      <c r="Q30" s="10">
        <v>0.18178140304622881</v>
      </c>
      <c r="R30" s="10">
        <v>0.18178140304622881</v>
      </c>
      <c r="S30" s="10">
        <v>0.18178140304622881</v>
      </c>
      <c r="T30" s="10">
        <v>0.18178140304622881</v>
      </c>
      <c r="U30" s="10">
        <v>0.18178140304622881</v>
      </c>
      <c r="V30" s="10">
        <v>0.18178140304622881</v>
      </c>
      <c r="W30" s="10">
        <v>0.18178140304622881</v>
      </c>
      <c r="X30" s="10">
        <v>0.18193608886352533</v>
      </c>
      <c r="Y30" s="10">
        <v>0.18209077468082185</v>
      </c>
      <c r="Z30" s="10">
        <v>0.18224546049811838</v>
      </c>
      <c r="AA30" s="10">
        <v>0.1824001463154149</v>
      </c>
      <c r="AB30" s="10">
        <v>0.18255483213271143</v>
      </c>
      <c r="AC30" s="10">
        <v>0.18270951795000795</v>
      </c>
      <c r="AD30" s="10">
        <v>0.18286420376730447</v>
      </c>
      <c r="AE30" s="10">
        <v>0.183018889584601</v>
      </c>
      <c r="AF30" s="10">
        <v>0.18317357540189752</v>
      </c>
      <c r="AG30" s="10">
        <v>0.18332826121919404</v>
      </c>
      <c r="AH30" s="10">
        <v>0.18348294703649057</v>
      </c>
      <c r="AI30" s="10">
        <v>0.18363763285378709</v>
      </c>
      <c r="AJ30" s="10">
        <v>0.18379231867108362</v>
      </c>
      <c r="AK30" s="10">
        <v>0.18394700448838014</v>
      </c>
      <c r="AL30" s="10">
        <v>0.18410169030567666</v>
      </c>
      <c r="AM30" s="10">
        <v>0.18425637612297319</v>
      </c>
      <c r="AN30" s="10">
        <v>0.18441106194026971</v>
      </c>
      <c r="AO30" s="10">
        <v>0.18456574775756623</v>
      </c>
      <c r="AP30" s="10">
        <v>0.18472043357486276</v>
      </c>
      <c r="AQ30" s="10">
        <v>0.1848751193921595</v>
      </c>
    </row>
    <row r="31" spans="7:43" ht="13.5" customHeight="1" thickTop="1" x14ac:dyDescent="0.15">
      <c r="G31" s="7"/>
      <c r="J31" s="156"/>
      <c r="K31" s="13" t="s">
        <v>40</v>
      </c>
      <c r="L31" s="8">
        <v>0.18463784427634133</v>
      </c>
      <c r="M31" s="8">
        <v>0.18536435049231459</v>
      </c>
      <c r="N31" s="8">
        <v>0.18609085670828784</v>
      </c>
      <c r="O31" s="8">
        <v>0.1868173629242611</v>
      </c>
      <c r="P31" s="8">
        <v>0.18754386914023435</v>
      </c>
      <c r="Q31" s="8">
        <v>0.18827037535620761</v>
      </c>
      <c r="R31" s="8">
        <v>0.18899688157218086</v>
      </c>
      <c r="S31" s="8">
        <v>0.18972338778815412</v>
      </c>
      <c r="T31" s="8">
        <v>0.19044989400412737</v>
      </c>
      <c r="U31" s="8">
        <v>0.19117640022010063</v>
      </c>
      <c r="V31" s="8">
        <v>0.19190290643607388</v>
      </c>
      <c r="W31" s="8">
        <v>0.19262941265204728</v>
      </c>
      <c r="X31" s="8">
        <v>0.19262941265204728</v>
      </c>
      <c r="Y31" s="8">
        <v>0.19262941265204728</v>
      </c>
      <c r="Z31" s="8">
        <v>0.19262941265204728</v>
      </c>
      <c r="AA31" s="8">
        <v>0.19262941265204728</v>
      </c>
      <c r="AB31" s="8">
        <v>0.19262941265204728</v>
      </c>
      <c r="AC31" s="8">
        <v>0.19262941265204728</v>
      </c>
      <c r="AD31" s="8">
        <v>0.19262941265204728</v>
      </c>
      <c r="AE31" s="8">
        <v>0.19262941265204728</v>
      </c>
      <c r="AF31" s="8">
        <v>0.19262941265204728</v>
      </c>
      <c r="AG31" s="8">
        <v>0.19262941265204728</v>
      </c>
      <c r="AH31" s="8">
        <v>0.19262941265204728</v>
      </c>
      <c r="AI31" s="8">
        <v>0.19262941265204728</v>
      </c>
      <c r="AJ31" s="8">
        <v>0.19262941265204728</v>
      </c>
      <c r="AK31" s="8">
        <v>0.19262941265204728</v>
      </c>
      <c r="AL31" s="8">
        <v>0.19262941265204728</v>
      </c>
      <c r="AM31" s="8">
        <v>0.19262941265204728</v>
      </c>
      <c r="AN31" s="8">
        <v>0.19262941265204728</v>
      </c>
      <c r="AO31" s="8">
        <v>0.19262941265204728</v>
      </c>
      <c r="AP31" s="8">
        <v>0.19262941265204728</v>
      </c>
      <c r="AQ31" s="8">
        <v>0.19262941265204728</v>
      </c>
    </row>
    <row r="32" spans="7:43" ht="14.25" customHeight="1" x14ac:dyDescent="0.15">
      <c r="G32" s="7"/>
      <c r="J32" s="156"/>
      <c r="K32" s="5" t="s">
        <v>41</v>
      </c>
      <c r="L32" s="9">
        <v>0.18463784427634133</v>
      </c>
      <c r="M32" s="9">
        <v>0.18492351062031415</v>
      </c>
      <c r="N32" s="9">
        <v>0.18520917696428696</v>
      </c>
      <c r="O32" s="9">
        <v>0.18549484330825977</v>
      </c>
      <c r="P32" s="9">
        <v>0.18578050965223258</v>
      </c>
      <c r="Q32" s="9">
        <v>0.1860661759962054</v>
      </c>
      <c r="R32" s="9">
        <v>0.18635184234017821</v>
      </c>
      <c r="S32" s="9">
        <v>0.18663750868415102</v>
      </c>
      <c r="T32" s="9">
        <v>0.18692317502812383</v>
      </c>
      <c r="U32" s="9">
        <v>0.18720884137209665</v>
      </c>
      <c r="V32" s="9">
        <v>0.18749450771606946</v>
      </c>
      <c r="W32" s="9">
        <v>0.18778017406004235</v>
      </c>
      <c r="X32" s="9">
        <v>0.18802263598964261</v>
      </c>
      <c r="Y32" s="9">
        <v>0.18826509791924287</v>
      </c>
      <c r="Z32" s="9">
        <v>0.18850755984884313</v>
      </c>
      <c r="AA32" s="9">
        <v>0.18875002177844338</v>
      </c>
      <c r="AB32" s="9">
        <v>0.18899248370804364</v>
      </c>
      <c r="AC32" s="9">
        <v>0.1892349456376439</v>
      </c>
      <c r="AD32" s="9">
        <v>0.18947740756724415</v>
      </c>
      <c r="AE32" s="9">
        <v>0.18971986949684441</v>
      </c>
      <c r="AF32" s="9">
        <v>0.18996233142644467</v>
      </c>
      <c r="AG32" s="9">
        <v>0.19020479335604493</v>
      </c>
      <c r="AH32" s="9">
        <v>0.19044725528564518</v>
      </c>
      <c r="AI32" s="9">
        <v>0.19068971721524544</v>
      </c>
      <c r="AJ32" s="9">
        <v>0.1909321791448457</v>
      </c>
      <c r="AK32" s="9">
        <v>0.19117464107444596</v>
      </c>
      <c r="AL32" s="9">
        <v>0.19141710300404621</v>
      </c>
      <c r="AM32" s="9">
        <v>0.19165956493364647</v>
      </c>
      <c r="AN32" s="9">
        <v>0.19190202686324673</v>
      </c>
      <c r="AO32" s="9">
        <v>0.19214448879284698</v>
      </c>
      <c r="AP32" s="9">
        <v>0.19238695072244724</v>
      </c>
      <c r="AQ32" s="9">
        <v>0.19262941265204728</v>
      </c>
    </row>
    <row r="33" spans="7:43" ht="14.25" customHeight="1" thickBot="1" x14ac:dyDescent="0.2">
      <c r="G33" s="7"/>
      <c r="J33" s="157"/>
      <c r="K33" s="14" t="s">
        <v>42</v>
      </c>
      <c r="L33" s="10">
        <v>0.18463784427634133</v>
      </c>
      <c r="M33" s="10">
        <v>0.18463784427634133</v>
      </c>
      <c r="N33" s="10">
        <v>0.18463784427634133</v>
      </c>
      <c r="O33" s="10">
        <v>0.18463784427634133</v>
      </c>
      <c r="P33" s="10">
        <v>0.18463784427634133</v>
      </c>
      <c r="Q33" s="10">
        <v>0.18463784427634133</v>
      </c>
      <c r="R33" s="10">
        <v>0.18463784427634133</v>
      </c>
      <c r="S33" s="10">
        <v>0.18463784427634133</v>
      </c>
      <c r="T33" s="10">
        <v>0.18463784427634133</v>
      </c>
      <c r="U33" s="10">
        <v>0.18463784427634133</v>
      </c>
      <c r="V33" s="10">
        <v>0.18463784427634133</v>
      </c>
      <c r="W33" s="10">
        <v>0.18463784427634133</v>
      </c>
      <c r="X33" s="10">
        <v>0.18479496076552637</v>
      </c>
      <c r="Y33" s="10">
        <v>0.18495207725471141</v>
      </c>
      <c r="Z33" s="10">
        <v>0.18510919374389645</v>
      </c>
      <c r="AA33" s="10">
        <v>0.18526631023308149</v>
      </c>
      <c r="AB33" s="10">
        <v>0.18542342672226653</v>
      </c>
      <c r="AC33" s="10">
        <v>0.18558054321145157</v>
      </c>
      <c r="AD33" s="10">
        <v>0.1857376597006366</v>
      </c>
      <c r="AE33" s="10">
        <v>0.18589477618982164</v>
      </c>
      <c r="AF33" s="10">
        <v>0.18605189267900668</v>
      </c>
      <c r="AG33" s="10">
        <v>0.18620900916819172</v>
      </c>
      <c r="AH33" s="10">
        <v>0.18636612565737676</v>
      </c>
      <c r="AI33" s="10">
        <v>0.1865232421465618</v>
      </c>
      <c r="AJ33" s="10">
        <v>0.18668035863574683</v>
      </c>
      <c r="AK33" s="10">
        <v>0.18683747512493187</v>
      </c>
      <c r="AL33" s="10">
        <v>0.18699459161411691</v>
      </c>
      <c r="AM33" s="10">
        <v>0.18715170810330195</v>
      </c>
      <c r="AN33" s="10">
        <v>0.18730882459248699</v>
      </c>
      <c r="AO33" s="10">
        <v>0.18746594108167203</v>
      </c>
      <c r="AP33" s="10">
        <v>0.18762305757085707</v>
      </c>
      <c r="AQ33" s="10">
        <v>0.18778017406004235</v>
      </c>
    </row>
    <row r="34" spans="7:43" ht="14" customHeight="1" thickTop="1" x14ac:dyDescent="0.15"/>
  </sheetData>
  <mergeCells count="2">
    <mergeCell ref="G1:T1"/>
    <mergeCell ref="J4:J33"/>
  </mergeCells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E5D12-BDD3-44F1-8FC2-0D4ADE7299B6}">
  <dimension ref="A1:DE425"/>
  <sheetViews>
    <sheetView showGridLines="0" zoomScale="85" zoomScaleNormal="85" workbookViewId="0">
      <pane xSplit="5" ySplit="5" topLeftCell="F81" activePane="bottomRight" state="frozen"/>
      <selection activeCell="F6" sqref="F6"/>
      <selection pane="topRight" activeCell="F6" sqref="F6"/>
      <selection pane="bottomLeft" activeCell="F6" sqref="F6"/>
      <selection pane="bottomRight" activeCell="A116" sqref="A116:XFD413"/>
    </sheetView>
  </sheetViews>
  <sheetFormatPr baseColWidth="10" defaultColWidth="9.5" defaultRowHeight="14.25" customHeight="1" x14ac:dyDescent="0.15"/>
  <cols>
    <col min="1" max="1" width="9.5" style="3"/>
    <col min="2" max="7" width="1.5" style="3" customWidth="1"/>
    <col min="8" max="8" width="5.5" style="3" customWidth="1"/>
    <col min="9" max="9" width="7.5" style="3" customWidth="1"/>
    <col min="10" max="10" width="20.5" style="3" customWidth="1"/>
    <col min="11" max="11" width="57.5" style="3" bestFit="1" customWidth="1"/>
    <col min="12" max="12" width="16.6640625" style="3" customWidth="1"/>
    <col min="13" max="15" width="11.5" style="3" customWidth="1"/>
    <col min="16" max="17" width="12.5" style="3" customWidth="1"/>
    <col min="18" max="21" width="11.5" style="3" customWidth="1"/>
    <col min="22" max="22" width="9.5" style="3" bestFit="1" customWidth="1"/>
    <col min="23" max="46" width="11.5" style="3" customWidth="1"/>
    <col min="47" max="16384" width="9.5" style="3"/>
  </cols>
  <sheetData>
    <row r="1" spans="1:109" ht="18" x14ac:dyDescent="0.2">
      <c r="A1" s="153" t="s">
        <v>150</v>
      </c>
      <c r="B1" s="153"/>
      <c r="C1" s="153"/>
      <c r="D1" s="153"/>
      <c r="E1" s="153"/>
      <c r="F1" s="153"/>
      <c r="G1" s="153"/>
      <c r="H1" s="153"/>
      <c r="I1" s="153"/>
      <c r="J1" s="153"/>
      <c r="M1" s="4" t="s">
        <v>149</v>
      </c>
    </row>
    <row r="2" spans="1:109" ht="14.25" hidden="1" customHeight="1" x14ac:dyDescent="0.2">
      <c r="A2"/>
      <c r="B2"/>
      <c r="C2"/>
      <c r="D2"/>
      <c r="E2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2" t="s">
        <v>148</v>
      </c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1"/>
      <c r="BI2" s="151"/>
      <c r="BJ2" s="151"/>
      <c r="BK2" s="151"/>
      <c r="BL2" s="151"/>
      <c r="BM2" s="151"/>
      <c r="BN2" s="151"/>
      <c r="BO2" s="151"/>
      <c r="BP2" s="151"/>
      <c r="BQ2" s="151"/>
      <c r="BR2" s="151"/>
      <c r="BS2" s="151"/>
      <c r="BT2" s="151"/>
      <c r="BU2" s="151"/>
      <c r="BV2" s="151"/>
      <c r="BW2" s="151"/>
      <c r="BX2" s="151"/>
      <c r="BY2" s="151"/>
      <c r="BZ2" s="151"/>
      <c r="CA2" s="151"/>
      <c r="CB2" s="151"/>
      <c r="CC2" s="151"/>
      <c r="CD2" s="151"/>
      <c r="CE2" s="151"/>
      <c r="CF2" s="151"/>
      <c r="CG2" s="151"/>
      <c r="CH2" s="151"/>
      <c r="CI2" s="151"/>
      <c r="CJ2" s="151"/>
      <c r="CK2" s="151"/>
      <c r="CL2" s="151"/>
      <c r="CM2" s="151"/>
      <c r="CN2" s="151"/>
      <c r="CO2" s="151"/>
      <c r="CP2" s="151"/>
      <c r="CQ2" s="151"/>
      <c r="CR2" s="151"/>
      <c r="CS2" s="151"/>
      <c r="CT2" s="151"/>
      <c r="CU2" s="151"/>
      <c r="CV2" s="151"/>
      <c r="CW2" s="151"/>
      <c r="CX2" s="151"/>
      <c r="CY2" s="151"/>
      <c r="CZ2" s="151"/>
      <c r="DA2" s="151"/>
      <c r="DB2" s="151"/>
      <c r="DC2" s="151"/>
      <c r="DD2" s="151"/>
      <c r="DE2" s="151"/>
    </row>
    <row r="3" spans="1:109" ht="14.25" hidden="1" customHeight="1" x14ac:dyDescent="0.2">
      <c r="A3"/>
      <c r="B3"/>
      <c r="C3"/>
      <c r="D3"/>
      <c r="E3"/>
      <c r="U3" s="150" t="s">
        <v>147</v>
      </c>
    </row>
    <row r="4" spans="1:109" ht="14.25" hidden="1" customHeight="1" x14ac:dyDescent="0.15">
      <c r="J4" s="5"/>
      <c r="U4" s="158" t="s">
        <v>146</v>
      </c>
    </row>
    <row r="5" spans="1:109" ht="14.25" hidden="1" customHeight="1" x14ac:dyDescent="0.15">
      <c r="U5" s="159"/>
    </row>
    <row r="6" spans="1:109" ht="14.25" hidden="1" customHeight="1" x14ac:dyDescent="0.15"/>
    <row r="7" spans="1:109" ht="14.25" hidden="1" customHeight="1" x14ac:dyDescent="0.2">
      <c r="B7" s="6" t="s">
        <v>2</v>
      </c>
      <c r="G7" s="154" t="s">
        <v>117</v>
      </c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1"/>
    </row>
    <row r="8" spans="1:109" ht="14.25" hidden="1" customHeight="1" thickBot="1" x14ac:dyDescent="0.2">
      <c r="G8" s="7"/>
    </row>
    <row r="9" spans="1:109" ht="14.25" hidden="1" customHeight="1" thickBot="1" x14ac:dyDescent="0.25">
      <c r="A9"/>
      <c r="G9" s="7"/>
      <c r="H9" s="162" t="s">
        <v>145</v>
      </c>
      <c r="J9" s="165" t="s">
        <v>144</v>
      </c>
      <c r="K9" s="166"/>
      <c r="L9" s="167"/>
      <c r="M9" s="149">
        <v>2020</v>
      </c>
      <c r="N9" s="148"/>
      <c r="O9" s="148"/>
      <c r="P9" s="147"/>
    </row>
    <row r="10" spans="1:109" ht="14.25" hidden="1" customHeight="1" thickBot="1" x14ac:dyDescent="0.2">
      <c r="G10" s="7"/>
      <c r="H10" s="163"/>
      <c r="J10" s="146" t="s">
        <v>143</v>
      </c>
      <c r="P10" s="145"/>
    </row>
    <row r="11" spans="1:109" ht="14.25" hidden="1" customHeight="1" thickBot="1" x14ac:dyDescent="0.25">
      <c r="G11" s="7"/>
      <c r="H11" s="163"/>
      <c r="J11" s="144" t="s">
        <v>142</v>
      </c>
      <c r="K11" s="143"/>
      <c r="L11" s="143"/>
      <c r="M11" s="143"/>
      <c r="N11" s="143"/>
      <c r="O11" s="143"/>
      <c r="P11" s="142"/>
      <c r="W11" s="138"/>
      <c r="X11" s="109"/>
      <c r="Y11" s="109"/>
      <c r="Z11" s="109"/>
      <c r="AA11" s="109"/>
    </row>
    <row r="12" spans="1:109" ht="14.25" hidden="1" customHeight="1" thickBot="1" x14ac:dyDescent="0.25">
      <c r="G12" s="7"/>
      <c r="H12" s="163"/>
      <c r="J12" s="141"/>
      <c r="K12" s="140"/>
      <c r="L12" s="140"/>
      <c r="M12" s="140"/>
      <c r="N12" s="140"/>
      <c r="O12" s="140"/>
      <c r="P12" s="139"/>
      <c r="W12" s="138"/>
      <c r="X12" s="109"/>
      <c r="Y12" s="109"/>
      <c r="Z12" s="109"/>
      <c r="AA12" s="109"/>
    </row>
    <row r="13" spans="1:109" ht="14.25" hidden="1" customHeight="1" thickBot="1" x14ac:dyDescent="0.25">
      <c r="G13" s="7"/>
      <c r="H13" s="163"/>
      <c r="J13" s="141"/>
      <c r="K13" s="140"/>
      <c r="L13" s="140"/>
      <c r="M13" s="140"/>
      <c r="N13" s="140"/>
      <c r="O13" s="140"/>
      <c r="P13" s="139"/>
      <c r="W13" s="138"/>
      <c r="X13" s="109"/>
      <c r="Y13" s="109"/>
      <c r="Z13" s="109"/>
      <c r="AA13" s="109"/>
    </row>
    <row r="14" spans="1:109" ht="14.25" hidden="1" customHeight="1" thickBot="1" x14ac:dyDescent="0.25">
      <c r="G14" s="7"/>
      <c r="H14" s="163"/>
      <c r="J14" s="168" t="s">
        <v>141</v>
      </c>
      <c r="K14" s="169"/>
      <c r="L14" s="169"/>
      <c r="M14" s="169"/>
      <c r="N14" s="169"/>
      <c r="O14" s="169"/>
      <c r="P14" s="170"/>
      <c r="W14" s="109"/>
      <c r="X14" s="109"/>
      <c r="Y14" s="109"/>
      <c r="Z14" s="109"/>
      <c r="AA14" s="109"/>
    </row>
    <row r="15" spans="1:109" ht="14.25" hidden="1" customHeight="1" x14ac:dyDescent="0.2">
      <c r="G15" s="7"/>
      <c r="H15" s="163"/>
      <c r="J15" s="171" t="s">
        <v>140</v>
      </c>
      <c r="K15" s="172"/>
      <c r="L15" s="172"/>
      <c r="M15" s="172"/>
      <c r="N15" s="172"/>
      <c r="O15" s="172"/>
      <c r="P15" s="173"/>
      <c r="W15" s="109"/>
      <c r="X15" s="109"/>
      <c r="Y15" s="109"/>
      <c r="Z15" s="109"/>
      <c r="AA15" s="109"/>
    </row>
    <row r="16" spans="1:109" ht="14.25" hidden="1" customHeight="1" x14ac:dyDescent="0.2">
      <c r="G16" s="7"/>
      <c r="H16" s="163"/>
      <c r="J16" s="174" t="s">
        <v>139</v>
      </c>
      <c r="K16" s="175"/>
      <c r="L16" s="175"/>
      <c r="M16" s="175"/>
      <c r="N16" s="175"/>
      <c r="O16" s="175"/>
      <c r="P16" s="176"/>
      <c r="W16" s="109"/>
      <c r="X16" s="109"/>
      <c r="Y16" s="109"/>
      <c r="Z16" s="109"/>
      <c r="AA16" s="109"/>
    </row>
    <row r="17" spans="7:27" ht="15" hidden="1" customHeight="1" thickBot="1" x14ac:dyDescent="0.25">
      <c r="G17" s="7"/>
      <c r="H17" s="163"/>
      <c r="J17" s="177" t="s">
        <v>138</v>
      </c>
      <c r="K17" s="178"/>
      <c r="L17" s="178"/>
      <c r="M17" s="178"/>
      <c r="N17" s="178"/>
      <c r="O17" s="178"/>
      <c r="P17" s="179"/>
      <c r="W17" s="109"/>
      <c r="X17" s="109"/>
      <c r="Y17" s="109"/>
      <c r="Z17" s="109"/>
      <c r="AA17" s="109"/>
    </row>
    <row r="18" spans="7:27" ht="15" hidden="1" x14ac:dyDescent="0.2">
      <c r="G18" s="7"/>
      <c r="H18" s="163"/>
      <c r="J18" s="137"/>
      <c r="K18" s="136"/>
      <c r="L18" s="136"/>
      <c r="M18" s="136"/>
      <c r="N18" s="136"/>
      <c r="O18" s="136"/>
      <c r="P18" s="135"/>
      <c r="W18" s="109"/>
      <c r="X18" s="109"/>
      <c r="Y18" s="109"/>
      <c r="Z18" s="109"/>
      <c r="AA18" s="109"/>
    </row>
    <row r="19" spans="7:27" ht="16" hidden="1" thickBot="1" x14ac:dyDescent="0.25">
      <c r="G19" s="7"/>
      <c r="H19" s="163"/>
      <c r="J19" s="137"/>
      <c r="K19" s="136"/>
      <c r="L19" s="136"/>
      <c r="M19" s="136"/>
      <c r="N19" s="136"/>
      <c r="O19" s="136"/>
      <c r="P19" s="135"/>
      <c r="W19" s="109"/>
      <c r="X19" s="109"/>
      <c r="Y19" s="109"/>
      <c r="Z19" s="109"/>
      <c r="AA19" s="109"/>
    </row>
    <row r="20" spans="7:27" ht="14.25" hidden="1" customHeight="1" x14ac:dyDescent="0.2">
      <c r="G20" s="7"/>
      <c r="H20" s="163"/>
      <c r="J20" s="134"/>
      <c r="K20" s="133"/>
      <c r="L20" s="133"/>
      <c r="M20" s="133"/>
      <c r="N20" s="132"/>
      <c r="O20" s="131" t="s">
        <v>137</v>
      </c>
      <c r="P20" s="130" t="s">
        <v>137</v>
      </c>
      <c r="W20" s="109"/>
      <c r="X20" s="109"/>
      <c r="Y20" s="109"/>
      <c r="Z20" s="109"/>
      <c r="AA20" s="109"/>
    </row>
    <row r="21" spans="7:27" ht="14.25" hidden="1" customHeight="1" x14ac:dyDescent="0.2">
      <c r="G21" s="7"/>
      <c r="H21" s="163"/>
      <c r="J21" s="128"/>
      <c r="K21" s="127"/>
      <c r="L21" s="127"/>
      <c r="M21" s="127"/>
      <c r="N21" s="126"/>
      <c r="O21" s="125" t="s">
        <v>136</v>
      </c>
      <c r="P21" s="129" t="s">
        <v>135</v>
      </c>
      <c r="W21" s="109"/>
      <c r="X21" s="109"/>
      <c r="Y21" s="109"/>
      <c r="Z21" s="109"/>
      <c r="AA21" s="109"/>
    </row>
    <row r="22" spans="7:27" ht="14.25" hidden="1" customHeight="1" thickBot="1" x14ac:dyDescent="0.25">
      <c r="G22" s="7"/>
      <c r="H22" s="163"/>
      <c r="J22" s="128"/>
      <c r="K22" s="127"/>
      <c r="L22" s="127"/>
      <c r="M22" s="127"/>
      <c r="N22" s="126"/>
      <c r="O22" s="125" t="s">
        <v>134</v>
      </c>
      <c r="P22" s="124" t="s">
        <v>133</v>
      </c>
      <c r="W22" s="109"/>
      <c r="X22" s="109"/>
      <c r="Y22" s="109"/>
      <c r="Z22" s="109"/>
      <c r="AA22" s="109"/>
    </row>
    <row r="23" spans="7:27" ht="14.25" hidden="1" customHeight="1" thickBot="1" x14ac:dyDescent="0.25">
      <c r="G23" s="7"/>
      <c r="H23" s="163"/>
      <c r="J23" s="123"/>
      <c r="K23" s="122"/>
      <c r="L23" s="122"/>
      <c r="M23" s="122"/>
      <c r="N23" s="122"/>
      <c r="O23" s="121">
        <v>731</v>
      </c>
      <c r="P23" s="121">
        <v>926000</v>
      </c>
      <c r="W23" s="109"/>
      <c r="X23" s="109"/>
      <c r="Y23" s="109"/>
      <c r="Z23" s="109"/>
      <c r="AA23" s="109"/>
    </row>
    <row r="24" spans="7:27" ht="14.25" hidden="1" customHeight="1" x14ac:dyDescent="0.2">
      <c r="G24" s="7"/>
      <c r="H24" s="163"/>
      <c r="J24" s="120"/>
      <c r="K24" s="118"/>
      <c r="L24" s="118"/>
      <c r="M24" s="118"/>
      <c r="N24" s="118"/>
      <c r="O24" s="117"/>
      <c r="P24" s="116"/>
      <c r="W24" s="109"/>
      <c r="X24" s="109"/>
      <c r="Y24" s="109"/>
      <c r="Z24" s="109"/>
      <c r="AA24" s="109"/>
    </row>
    <row r="25" spans="7:27" ht="14.25" hidden="1" customHeight="1" thickBot="1" x14ac:dyDescent="0.25">
      <c r="G25" s="7"/>
      <c r="H25" s="164"/>
      <c r="J25" s="120"/>
      <c r="K25" s="118"/>
      <c r="L25" s="119"/>
      <c r="M25" s="118"/>
      <c r="N25" s="118"/>
      <c r="O25" s="117"/>
      <c r="P25" s="116"/>
      <c r="W25" s="109"/>
      <c r="X25" s="109"/>
      <c r="Y25" s="109"/>
      <c r="Z25" s="109"/>
      <c r="AA25" s="109"/>
    </row>
    <row r="26" spans="7:27" ht="14.25" hidden="1" customHeight="1" x14ac:dyDescent="0.2">
      <c r="G26" s="7"/>
      <c r="H26" s="164"/>
      <c r="J26" s="115"/>
      <c r="K26" s="114"/>
      <c r="M26" s="180" t="s">
        <v>132</v>
      </c>
      <c r="N26" s="181"/>
      <c r="O26" s="181"/>
      <c r="P26" s="181"/>
      <c r="Q26" s="181"/>
      <c r="R26" s="181"/>
      <c r="S26" s="181"/>
      <c r="T26" s="182"/>
      <c r="W26" s="109"/>
      <c r="X26" s="109"/>
      <c r="Y26" s="109"/>
      <c r="Z26" s="109"/>
      <c r="AA26" s="109"/>
    </row>
    <row r="27" spans="7:27" ht="14.25" hidden="1" customHeight="1" x14ac:dyDescent="0.2">
      <c r="G27" s="7"/>
      <c r="H27" s="164"/>
      <c r="J27" s="113"/>
      <c r="M27" s="183"/>
      <c r="N27" s="184"/>
      <c r="O27" s="184"/>
      <c r="P27" s="184"/>
      <c r="Q27" s="184"/>
      <c r="R27" s="184"/>
      <c r="S27" s="184"/>
      <c r="T27" s="185"/>
      <c r="W27" s="109"/>
      <c r="X27" s="109"/>
      <c r="Y27" s="109"/>
      <c r="Z27" s="109"/>
      <c r="AA27" s="109"/>
    </row>
    <row r="28" spans="7:27" ht="14.25" hidden="1" customHeight="1" x14ac:dyDescent="0.2">
      <c r="G28" s="7"/>
      <c r="H28" s="164"/>
      <c r="J28" s="113"/>
      <c r="M28" s="183"/>
      <c r="N28" s="184"/>
      <c r="O28" s="184"/>
      <c r="P28" s="184"/>
      <c r="Q28" s="184"/>
      <c r="R28" s="184"/>
      <c r="S28" s="184"/>
      <c r="T28" s="185"/>
      <c r="W28" s="109"/>
      <c r="X28" s="109"/>
      <c r="Y28" s="109"/>
      <c r="Z28" s="109"/>
      <c r="AA28" s="109"/>
    </row>
    <row r="29" spans="7:27" ht="14.25" hidden="1" customHeight="1" x14ac:dyDescent="0.2">
      <c r="G29" s="7"/>
      <c r="H29" s="164"/>
      <c r="J29" s="113"/>
      <c r="M29" s="183"/>
      <c r="N29" s="184"/>
      <c r="O29" s="184"/>
      <c r="P29" s="184"/>
      <c r="Q29" s="184"/>
      <c r="R29" s="184"/>
      <c r="S29" s="184"/>
      <c r="T29" s="185"/>
      <c r="W29" s="109"/>
      <c r="X29" s="109"/>
      <c r="Y29" s="109"/>
      <c r="Z29" s="109"/>
      <c r="AA29" s="109"/>
    </row>
    <row r="30" spans="7:27" ht="14.25" hidden="1" customHeight="1" thickBot="1" x14ac:dyDescent="0.25">
      <c r="G30" s="7"/>
      <c r="H30" s="164"/>
      <c r="J30" s="112"/>
      <c r="K30" s="111"/>
      <c r="L30" s="111"/>
      <c r="M30" s="186"/>
      <c r="N30" s="187"/>
      <c r="O30" s="187"/>
      <c r="P30" s="187"/>
      <c r="Q30" s="187"/>
      <c r="R30" s="187"/>
      <c r="S30" s="187"/>
      <c r="T30" s="188"/>
      <c r="W30" s="109"/>
      <c r="X30" s="109"/>
      <c r="Y30" s="109"/>
      <c r="Z30" s="109"/>
      <c r="AA30" s="109"/>
    </row>
    <row r="31" spans="7:27" ht="14.25" hidden="1" customHeight="1" x14ac:dyDescent="0.2">
      <c r="G31" s="7"/>
      <c r="H31" s="110"/>
      <c r="J31"/>
      <c r="K31"/>
      <c r="L31"/>
      <c r="M31"/>
      <c r="N31"/>
      <c r="W31" s="109"/>
      <c r="X31" s="109"/>
      <c r="Y31" s="109"/>
      <c r="Z31" s="109"/>
      <c r="AA31" s="109"/>
    </row>
    <row r="32" spans="7:27" ht="14.25" hidden="1" customHeight="1" thickBot="1" x14ac:dyDescent="0.25">
      <c r="G32" s="7"/>
      <c r="H32" s="110"/>
      <c r="W32" s="109"/>
      <c r="X32" s="109"/>
      <c r="Y32" s="109"/>
      <c r="Z32" s="109"/>
      <c r="AA32" s="109"/>
    </row>
    <row r="33" spans="7:43" ht="14.25" hidden="1" customHeight="1" x14ac:dyDescent="0.15">
      <c r="G33" s="7"/>
      <c r="H33" s="189" t="s">
        <v>131</v>
      </c>
      <c r="J33" s="191" t="s">
        <v>130</v>
      </c>
      <c r="K33" s="192"/>
      <c r="L33" s="192"/>
      <c r="M33" s="192"/>
      <c r="N33" s="192"/>
      <c r="O33" s="193"/>
    </row>
    <row r="34" spans="7:43" ht="14.25" hidden="1" customHeight="1" x14ac:dyDescent="0.15">
      <c r="G34" s="7"/>
      <c r="H34" s="190"/>
      <c r="J34" s="194" t="s">
        <v>129</v>
      </c>
      <c r="K34" s="195"/>
      <c r="L34" s="195"/>
      <c r="M34" s="195"/>
      <c r="N34" s="195"/>
      <c r="O34" s="108">
        <f>S35</f>
        <v>30</v>
      </c>
      <c r="Q34" s="3" t="s">
        <v>128</v>
      </c>
      <c r="S34" s="107" t="str">
        <f>'[2]Financial and CRP Inputs'!$B$5</f>
        <v>Market</v>
      </c>
    </row>
    <row r="35" spans="7:43" ht="14.25" hidden="1" customHeight="1" x14ac:dyDescent="0.15">
      <c r="G35" s="7"/>
      <c r="H35" s="190"/>
      <c r="J35" s="196" t="s">
        <v>127</v>
      </c>
      <c r="K35" s="197"/>
      <c r="L35" s="197"/>
      <c r="M35" s="197"/>
      <c r="N35" s="197"/>
      <c r="O35" s="106">
        <v>5</v>
      </c>
      <c r="Q35" s="3" t="s">
        <v>126</v>
      </c>
      <c r="S35" s="105">
        <f>IF('[2]Financial and CRP Inputs'!$E$5="Custom",'[2]Financial and CRP Inputs'!$J$10,IF('[2]Financial and CRP Inputs'!$E$5="TechLife",'[2]Financial and CRP Inputs'!$I$10,'[2]Financial and CRP Inputs'!$E$5))</f>
        <v>30</v>
      </c>
    </row>
    <row r="36" spans="7:43" ht="14.25" hidden="1" customHeight="1" thickBot="1" x14ac:dyDescent="0.2">
      <c r="G36" s="7"/>
      <c r="H36" s="190"/>
      <c r="J36" s="104" t="s">
        <v>125</v>
      </c>
      <c r="K36" s="103"/>
      <c r="L36" s="103"/>
      <c r="M36" s="102"/>
      <c r="N36" s="102"/>
      <c r="O36" s="101">
        <v>0.02</v>
      </c>
    </row>
    <row r="37" spans="7:43" ht="14.25" hidden="1" customHeight="1" x14ac:dyDescent="0.15">
      <c r="G37" s="7"/>
      <c r="H37" s="190"/>
      <c r="J37" s="198" t="s">
        <v>124</v>
      </c>
      <c r="K37" s="199"/>
      <c r="L37" s="100"/>
      <c r="O37" s="99">
        <v>0</v>
      </c>
      <c r="V37" s="83"/>
    </row>
    <row r="38" spans="7:43" ht="14.25" hidden="1" customHeight="1" x14ac:dyDescent="0.15">
      <c r="G38" s="7"/>
      <c r="H38" s="190"/>
      <c r="J38" s="98" t="s">
        <v>123</v>
      </c>
      <c r="K38" s="97" t="s">
        <v>122</v>
      </c>
      <c r="L38" s="200" t="s">
        <v>121</v>
      </c>
      <c r="M38" s="203" t="s">
        <v>120</v>
      </c>
      <c r="N38" s="96"/>
    </row>
    <row r="39" spans="7:43" ht="14.25" hidden="1" customHeight="1" x14ac:dyDescent="0.15">
      <c r="G39" s="7"/>
      <c r="H39" s="190"/>
      <c r="J39" s="95" t="s">
        <v>119</v>
      </c>
      <c r="K39" s="65" t="s">
        <v>118</v>
      </c>
      <c r="L39" s="201"/>
      <c r="M39" s="204"/>
    </row>
    <row r="40" spans="7:43" ht="14.25" hidden="1" customHeight="1" x14ac:dyDescent="0.15">
      <c r="G40" s="7"/>
      <c r="H40" s="190"/>
      <c r="J40" s="95"/>
      <c r="K40" s="65"/>
      <c r="L40" s="201"/>
      <c r="M40" s="204"/>
    </row>
    <row r="41" spans="7:43" ht="14.25" hidden="1" customHeight="1" x14ac:dyDescent="0.15">
      <c r="G41" s="7"/>
      <c r="H41" s="190"/>
      <c r="J41" s="95"/>
      <c r="K41" s="65"/>
      <c r="L41" s="202"/>
      <c r="M41" s="205"/>
    </row>
    <row r="42" spans="7:43" ht="14.25" hidden="1" customHeight="1" x14ac:dyDescent="0.15">
      <c r="G42" s="7"/>
      <c r="H42" s="190"/>
      <c r="J42" s="94">
        <v>0</v>
      </c>
      <c r="K42" s="93">
        <v>1</v>
      </c>
      <c r="L42" s="93">
        <v>0.8</v>
      </c>
      <c r="M42" s="92">
        <f>1-L42</f>
        <v>0.19999999999999996</v>
      </c>
    </row>
    <row r="43" spans="7:43" ht="14.25" hidden="1" customHeight="1" x14ac:dyDescent="0.15">
      <c r="G43" s="7"/>
      <c r="H43" s="190"/>
      <c r="J43" s="91">
        <v>1</v>
      </c>
      <c r="K43" s="90">
        <v>0</v>
      </c>
      <c r="L43" s="90">
        <v>0.8</v>
      </c>
      <c r="M43" s="89">
        <f>1-L43</f>
        <v>0.19999999999999996</v>
      </c>
    </row>
    <row r="44" spans="7:43" ht="14.25" hidden="1" customHeight="1" thickBot="1" x14ac:dyDescent="0.2">
      <c r="G44" s="7"/>
      <c r="H44" s="190"/>
      <c r="J44" s="88">
        <v>2</v>
      </c>
      <c r="K44" s="87">
        <v>0</v>
      </c>
      <c r="L44" s="87">
        <v>0.8</v>
      </c>
      <c r="M44" s="86">
        <f>1-L44</f>
        <v>0.19999999999999996</v>
      </c>
    </row>
    <row r="45" spans="7:43" ht="14.25" hidden="1" customHeight="1" x14ac:dyDescent="0.15">
      <c r="G45" s="7"/>
      <c r="H45" s="190"/>
      <c r="J45" s="57"/>
      <c r="K45" s="85"/>
      <c r="L45" s="85"/>
      <c r="M45" s="84"/>
      <c r="V45" s="83"/>
    </row>
    <row r="46" spans="7:43" ht="14.25" hidden="1" customHeight="1" x14ac:dyDescent="0.15">
      <c r="G46" s="7"/>
      <c r="H46" s="190"/>
      <c r="J46" s="57"/>
      <c r="K46" s="85"/>
      <c r="L46" s="85"/>
      <c r="M46" s="84" t="s">
        <v>104</v>
      </c>
      <c r="V46" s="83"/>
    </row>
    <row r="47" spans="7:43" ht="14.25" hidden="1" customHeight="1" x14ac:dyDescent="0.15">
      <c r="G47" s="7"/>
      <c r="H47" s="190"/>
      <c r="M47" s="12">
        <v>2020</v>
      </c>
      <c r="N47" s="12">
        <v>2021</v>
      </c>
      <c r="O47" s="12">
        <v>2022</v>
      </c>
      <c r="P47" s="12">
        <v>2023</v>
      </c>
      <c r="Q47" s="12">
        <v>2024</v>
      </c>
      <c r="R47" s="12">
        <v>2025</v>
      </c>
      <c r="S47" s="12">
        <v>2026</v>
      </c>
      <c r="T47" s="12">
        <v>2027</v>
      </c>
      <c r="U47" s="12">
        <v>2028</v>
      </c>
      <c r="V47" s="12">
        <v>2029</v>
      </c>
      <c r="W47" s="12">
        <v>2030</v>
      </c>
      <c r="X47" s="12">
        <v>2031</v>
      </c>
      <c r="Y47" s="12">
        <v>2032</v>
      </c>
      <c r="Z47" s="12">
        <v>2033</v>
      </c>
      <c r="AA47" s="12">
        <v>2034</v>
      </c>
      <c r="AB47" s="12">
        <v>2035</v>
      </c>
      <c r="AC47" s="12">
        <v>2036</v>
      </c>
      <c r="AD47" s="12">
        <v>2037</v>
      </c>
      <c r="AE47" s="12">
        <v>2038</v>
      </c>
      <c r="AF47" s="12">
        <v>2039</v>
      </c>
      <c r="AG47" s="12">
        <v>2040</v>
      </c>
      <c r="AH47" s="12">
        <v>2041</v>
      </c>
      <c r="AI47" s="12">
        <v>2042</v>
      </c>
      <c r="AJ47" s="12">
        <v>2043</v>
      </c>
      <c r="AK47" s="12">
        <v>2044</v>
      </c>
      <c r="AL47" s="12">
        <v>2045</v>
      </c>
      <c r="AM47" s="12">
        <v>2046</v>
      </c>
      <c r="AN47" s="12">
        <v>2047</v>
      </c>
      <c r="AO47" s="12">
        <v>2048</v>
      </c>
      <c r="AP47" s="12">
        <v>2049</v>
      </c>
      <c r="AQ47" s="12">
        <v>2050</v>
      </c>
    </row>
    <row r="48" spans="7:43" ht="14.25" hidden="1" customHeight="1" x14ac:dyDescent="0.15">
      <c r="G48" s="7"/>
      <c r="H48" s="190"/>
      <c r="J48" s="206" t="s">
        <v>117</v>
      </c>
      <c r="K48" s="47" t="s">
        <v>116</v>
      </c>
      <c r="L48" s="47" t="s">
        <v>68</v>
      </c>
      <c r="M48" s="82">
        <f>IF($S$34="Market",'[2]WACC Calc'!F368,'[2]WACC Calc'!F550)</f>
        <v>2.5000000000000001E-2</v>
      </c>
      <c r="N48" s="82">
        <f>IF($S$34="Market",'[2]WACC Calc'!G368,'[2]WACC Calc'!G550)</f>
        <v>2.5000000000000001E-2</v>
      </c>
      <c r="O48" s="82">
        <f>IF($S$34="Market",'[2]WACC Calc'!H368,'[2]WACC Calc'!H550)</f>
        <v>2.5000000000000001E-2</v>
      </c>
      <c r="P48" s="82">
        <f>IF($S$34="Market",'[2]WACC Calc'!I368,'[2]WACC Calc'!I550)</f>
        <v>2.5000000000000001E-2</v>
      </c>
      <c r="Q48" s="82">
        <f>IF($S$34="Market",'[2]WACC Calc'!J368,'[2]WACC Calc'!J550)</f>
        <v>2.5000000000000001E-2</v>
      </c>
      <c r="R48" s="82">
        <f>IF($S$34="Market",'[2]WACC Calc'!K368,'[2]WACC Calc'!K550)</f>
        <v>2.5000000000000001E-2</v>
      </c>
      <c r="S48" s="82">
        <f>IF($S$34="Market",'[2]WACC Calc'!L368,'[2]WACC Calc'!L550)</f>
        <v>2.5000000000000001E-2</v>
      </c>
      <c r="T48" s="82">
        <f>IF($S$34="Market",'[2]WACC Calc'!M368,'[2]WACC Calc'!M550)</f>
        <v>2.5000000000000001E-2</v>
      </c>
      <c r="U48" s="82">
        <f>IF($S$34="Market",'[2]WACC Calc'!N368,'[2]WACC Calc'!N550)</f>
        <v>2.5000000000000001E-2</v>
      </c>
      <c r="V48" s="82">
        <f>IF($S$34="Market",'[2]WACC Calc'!O368,'[2]WACC Calc'!O550)</f>
        <v>2.5000000000000001E-2</v>
      </c>
      <c r="W48" s="82">
        <f>IF($S$34="Market",'[2]WACC Calc'!P368,'[2]WACC Calc'!P550)</f>
        <v>2.5000000000000001E-2</v>
      </c>
      <c r="X48" s="82">
        <f>IF($S$34="Market",'[2]WACC Calc'!Q368,'[2]WACC Calc'!Q550)</f>
        <v>2.5000000000000001E-2</v>
      </c>
      <c r="Y48" s="82">
        <f>IF($S$34="Market",'[2]WACC Calc'!R368,'[2]WACC Calc'!R550)</f>
        <v>2.5000000000000001E-2</v>
      </c>
      <c r="Z48" s="82">
        <f>IF($S$34="Market",'[2]WACC Calc'!S368,'[2]WACC Calc'!S550)</f>
        <v>2.5000000000000001E-2</v>
      </c>
      <c r="AA48" s="82">
        <f>IF($S$34="Market",'[2]WACC Calc'!T368,'[2]WACC Calc'!T550)</f>
        <v>2.5000000000000001E-2</v>
      </c>
      <c r="AB48" s="82">
        <f>IF($S$34="Market",'[2]WACC Calc'!U368,'[2]WACC Calc'!U550)</f>
        <v>2.5000000000000001E-2</v>
      </c>
      <c r="AC48" s="82">
        <f>IF($S$34="Market",'[2]WACC Calc'!V368,'[2]WACC Calc'!V550)</f>
        <v>2.5000000000000001E-2</v>
      </c>
      <c r="AD48" s="82">
        <f>IF($S$34="Market",'[2]WACC Calc'!W368,'[2]WACC Calc'!W550)</f>
        <v>2.5000000000000001E-2</v>
      </c>
      <c r="AE48" s="82">
        <f>IF($S$34="Market",'[2]WACC Calc'!X368,'[2]WACC Calc'!X550)</f>
        <v>2.5000000000000001E-2</v>
      </c>
      <c r="AF48" s="82">
        <f>IF($S$34="Market",'[2]WACC Calc'!Y368,'[2]WACC Calc'!Y550)</f>
        <v>2.5000000000000001E-2</v>
      </c>
      <c r="AG48" s="82">
        <f>IF($S$34="Market",'[2]WACC Calc'!Z368,'[2]WACC Calc'!Z550)</f>
        <v>2.5000000000000001E-2</v>
      </c>
      <c r="AH48" s="82">
        <f>IF($S$34="Market",'[2]WACC Calc'!AA368,'[2]WACC Calc'!AA550)</f>
        <v>2.5000000000000001E-2</v>
      </c>
      <c r="AI48" s="82">
        <f>IF($S$34="Market",'[2]WACC Calc'!AB368,'[2]WACC Calc'!AB550)</f>
        <v>2.5000000000000001E-2</v>
      </c>
      <c r="AJ48" s="82">
        <f>IF($S$34="Market",'[2]WACC Calc'!AC368,'[2]WACC Calc'!AC550)</f>
        <v>2.5000000000000001E-2</v>
      </c>
      <c r="AK48" s="82">
        <f>IF($S$34="Market",'[2]WACC Calc'!AD368,'[2]WACC Calc'!AD550)</f>
        <v>2.5000000000000001E-2</v>
      </c>
      <c r="AL48" s="82">
        <f>IF($S$34="Market",'[2]WACC Calc'!AE368,'[2]WACC Calc'!AE550)</f>
        <v>2.5000000000000001E-2</v>
      </c>
      <c r="AM48" s="82">
        <f>IF($S$34="Market",'[2]WACC Calc'!AF368,'[2]WACC Calc'!AF550)</f>
        <v>2.5000000000000001E-2</v>
      </c>
      <c r="AN48" s="82">
        <f>IF($S$34="Market",'[2]WACC Calc'!AG368,'[2]WACC Calc'!AG550)</f>
        <v>2.5000000000000001E-2</v>
      </c>
      <c r="AO48" s="82">
        <f>IF($S$34="Market",'[2]WACC Calc'!AH368,'[2]WACC Calc'!AH550)</f>
        <v>2.5000000000000001E-2</v>
      </c>
      <c r="AP48" s="82">
        <f>IF($S$34="Market",'[2]WACC Calc'!AI368,'[2]WACC Calc'!AI550)</f>
        <v>2.5000000000000001E-2</v>
      </c>
      <c r="AQ48" s="82">
        <f>IF($S$34="Market",'[2]WACC Calc'!AJ368,'[2]WACC Calc'!AJ550)</f>
        <v>2.5000000000000001E-2</v>
      </c>
    </row>
    <row r="49" spans="7:43" ht="14.25" hidden="1" customHeight="1" x14ac:dyDescent="0.15">
      <c r="G49" s="7"/>
      <c r="H49" s="190"/>
      <c r="J49" s="206"/>
      <c r="K49" s="47" t="s">
        <v>115</v>
      </c>
      <c r="L49" s="47" t="s">
        <v>67</v>
      </c>
      <c r="M49" s="82">
        <f>IF($S$34="Market",'[2]WACC Calc'!F369,'[2]WACC Calc'!F551)</f>
        <v>0.04</v>
      </c>
      <c r="N49" s="82">
        <f>IF($S$34="Market",'[2]WACC Calc'!G369,'[2]WACC Calc'!G551)</f>
        <v>0.04</v>
      </c>
      <c r="O49" s="82">
        <f>IF($S$34="Market",'[2]WACC Calc'!H369,'[2]WACC Calc'!H551)</f>
        <v>0.04</v>
      </c>
      <c r="P49" s="82">
        <f>IF($S$34="Market",'[2]WACC Calc'!I369,'[2]WACC Calc'!I551)</f>
        <v>0.04</v>
      </c>
      <c r="Q49" s="82">
        <f>IF($S$34="Market",'[2]WACC Calc'!J369,'[2]WACC Calc'!J551)</f>
        <v>0.04</v>
      </c>
      <c r="R49" s="82">
        <f>IF($S$34="Market",'[2]WACC Calc'!K369,'[2]WACC Calc'!K551)</f>
        <v>0.04</v>
      </c>
      <c r="S49" s="82">
        <f>IF($S$34="Market",'[2]WACC Calc'!L369,'[2]WACC Calc'!L551)</f>
        <v>4.2000000000000003E-2</v>
      </c>
      <c r="T49" s="82">
        <f>IF($S$34="Market",'[2]WACC Calc'!M369,'[2]WACC Calc'!M551)</f>
        <v>4.4000000000000004E-2</v>
      </c>
      <c r="U49" s="82">
        <f>IF($S$34="Market",'[2]WACC Calc'!N369,'[2]WACC Calc'!N551)</f>
        <v>4.6000000000000006E-2</v>
      </c>
      <c r="V49" s="82">
        <f>IF($S$34="Market",'[2]WACC Calc'!O369,'[2]WACC Calc'!O551)</f>
        <v>4.8000000000000008E-2</v>
      </c>
      <c r="W49" s="82">
        <f>IF($S$34="Market",'[2]WACC Calc'!P369,'[2]WACC Calc'!P551)</f>
        <v>0.05</v>
      </c>
      <c r="X49" s="82">
        <f>IF($S$34="Market",'[2]WACC Calc'!Q369,'[2]WACC Calc'!Q551)</f>
        <v>0.05</v>
      </c>
      <c r="Y49" s="82">
        <f>IF($S$34="Market",'[2]WACC Calc'!R369,'[2]WACC Calc'!R551)</f>
        <v>0.05</v>
      </c>
      <c r="Z49" s="82">
        <f>IF($S$34="Market",'[2]WACC Calc'!S369,'[2]WACC Calc'!S551)</f>
        <v>0.05</v>
      </c>
      <c r="AA49" s="82">
        <f>IF($S$34="Market",'[2]WACC Calc'!T369,'[2]WACC Calc'!T551)</f>
        <v>0.05</v>
      </c>
      <c r="AB49" s="82">
        <f>IF($S$34="Market",'[2]WACC Calc'!U369,'[2]WACC Calc'!U551)</f>
        <v>0.05</v>
      </c>
      <c r="AC49" s="82">
        <f>IF($S$34="Market",'[2]WACC Calc'!V369,'[2]WACC Calc'!V551)</f>
        <v>0.05</v>
      </c>
      <c r="AD49" s="82">
        <f>IF($S$34="Market",'[2]WACC Calc'!W369,'[2]WACC Calc'!W551)</f>
        <v>0.05</v>
      </c>
      <c r="AE49" s="82">
        <f>IF($S$34="Market",'[2]WACC Calc'!X369,'[2]WACC Calc'!X551)</f>
        <v>0.05</v>
      </c>
      <c r="AF49" s="82">
        <f>IF($S$34="Market",'[2]WACC Calc'!Y369,'[2]WACC Calc'!Y551)</f>
        <v>0.05</v>
      </c>
      <c r="AG49" s="82">
        <f>IF($S$34="Market",'[2]WACC Calc'!Z369,'[2]WACC Calc'!Z551)</f>
        <v>0.05</v>
      </c>
      <c r="AH49" s="82">
        <f>IF($S$34="Market",'[2]WACC Calc'!AA369,'[2]WACC Calc'!AA551)</f>
        <v>0.05</v>
      </c>
      <c r="AI49" s="82">
        <f>IF($S$34="Market",'[2]WACC Calc'!AB369,'[2]WACC Calc'!AB551)</f>
        <v>0.05</v>
      </c>
      <c r="AJ49" s="82">
        <f>IF($S$34="Market",'[2]WACC Calc'!AC369,'[2]WACC Calc'!AC551)</f>
        <v>0.05</v>
      </c>
      <c r="AK49" s="82">
        <f>IF($S$34="Market",'[2]WACC Calc'!AD369,'[2]WACC Calc'!AD551)</f>
        <v>0.05</v>
      </c>
      <c r="AL49" s="82">
        <f>IF($S$34="Market",'[2]WACC Calc'!AE369,'[2]WACC Calc'!AE551)</f>
        <v>0.05</v>
      </c>
      <c r="AM49" s="82">
        <f>IF($S$34="Market",'[2]WACC Calc'!AF369,'[2]WACC Calc'!AF551)</f>
        <v>0.05</v>
      </c>
      <c r="AN49" s="82">
        <f>IF($S$34="Market",'[2]WACC Calc'!AG369,'[2]WACC Calc'!AG551)</f>
        <v>0.05</v>
      </c>
      <c r="AO49" s="82">
        <f>IF($S$34="Market",'[2]WACC Calc'!AH369,'[2]WACC Calc'!AH551)</f>
        <v>0.05</v>
      </c>
      <c r="AP49" s="82">
        <f>IF($S$34="Market",'[2]WACC Calc'!AI369,'[2]WACC Calc'!AI551)</f>
        <v>0.05</v>
      </c>
      <c r="AQ49" s="82">
        <f>IF($S$34="Market",'[2]WACC Calc'!AJ369,'[2]WACC Calc'!AJ551)</f>
        <v>0.05</v>
      </c>
    </row>
    <row r="50" spans="7:43" ht="14.25" hidden="1" customHeight="1" x14ac:dyDescent="0.15">
      <c r="G50" s="7"/>
      <c r="H50" s="190"/>
      <c r="J50" s="206"/>
      <c r="K50" s="47" t="s">
        <v>115</v>
      </c>
      <c r="L50" s="47" t="s">
        <v>66</v>
      </c>
      <c r="M50" s="82">
        <f>IF($S$34="Market",'[2]WACC Calc'!F370,'[2]WACC Calc'!F552)</f>
        <v>0.04</v>
      </c>
      <c r="N50" s="82">
        <f>IF($S$34="Market",'[2]WACC Calc'!G370,'[2]WACC Calc'!G552)</f>
        <v>0.04</v>
      </c>
      <c r="O50" s="82">
        <f>IF($S$34="Market",'[2]WACC Calc'!H370,'[2]WACC Calc'!H552)</f>
        <v>0.04</v>
      </c>
      <c r="P50" s="82">
        <f>IF($S$34="Market",'[2]WACC Calc'!I370,'[2]WACC Calc'!I552)</f>
        <v>0.04</v>
      </c>
      <c r="Q50" s="82">
        <f>IF($S$34="Market",'[2]WACC Calc'!J370,'[2]WACC Calc'!J552)</f>
        <v>0.04</v>
      </c>
      <c r="R50" s="82">
        <f>IF($S$34="Market",'[2]WACC Calc'!K370,'[2]WACC Calc'!K552)</f>
        <v>0.04</v>
      </c>
      <c r="S50" s="82">
        <f>IF($S$34="Market",'[2]WACC Calc'!L370,'[2]WACC Calc'!L552)</f>
        <v>4.2000000000000003E-2</v>
      </c>
      <c r="T50" s="82">
        <f>IF($S$34="Market",'[2]WACC Calc'!M370,'[2]WACC Calc'!M552)</f>
        <v>4.4000000000000004E-2</v>
      </c>
      <c r="U50" s="82">
        <f>IF($S$34="Market",'[2]WACC Calc'!N370,'[2]WACC Calc'!N552)</f>
        <v>4.6000000000000006E-2</v>
      </c>
      <c r="V50" s="82">
        <f>IF($S$34="Market",'[2]WACC Calc'!O370,'[2]WACC Calc'!O552)</f>
        <v>4.8000000000000008E-2</v>
      </c>
      <c r="W50" s="82">
        <f>IF($S$34="Market",'[2]WACC Calc'!P370,'[2]WACC Calc'!P552)</f>
        <v>0.05</v>
      </c>
      <c r="X50" s="82">
        <f>IF($S$34="Market",'[2]WACC Calc'!Q370,'[2]WACC Calc'!Q552)</f>
        <v>0.05</v>
      </c>
      <c r="Y50" s="82">
        <f>IF($S$34="Market",'[2]WACC Calc'!R370,'[2]WACC Calc'!R552)</f>
        <v>0.05</v>
      </c>
      <c r="Z50" s="82">
        <f>IF($S$34="Market",'[2]WACC Calc'!S370,'[2]WACC Calc'!S552)</f>
        <v>0.05</v>
      </c>
      <c r="AA50" s="82">
        <f>IF($S$34="Market",'[2]WACC Calc'!T370,'[2]WACC Calc'!T552)</f>
        <v>0.05</v>
      </c>
      <c r="AB50" s="82">
        <f>IF($S$34="Market",'[2]WACC Calc'!U370,'[2]WACC Calc'!U552)</f>
        <v>0.05</v>
      </c>
      <c r="AC50" s="82">
        <f>IF($S$34="Market",'[2]WACC Calc'!V370,'[2]WACC Calc'!V552)</f>
        <v>0.05</v>
      </c>
      <c r="AD50" s="82">
        <f>IF($S$34="Market",'[2]WACC Calc'!W370,'[2]WACC Calc'!W552)</f>
        <v>0.05</v>
      </c>
      <c r="AE50" s="82">
        <f>IF($S$34="Market",'[2]WACC Calc'!X370,'[2]WACC Calc'!X552)</f>
        <v>0.05</v>
      </c>
      <c r="AF50" s="82">
        <f>IF($S$34="Market",'[2]WACC Calc'!Y370,'[2]WACC Calc'!Y552)</f>
        <v>0.05</v>
      </c>
      <c r="AG50" s="82">
        <f>IF($S$34="Market",'[2]WACC Calc'!Z370,'[2]WACC Calc'!Z552)</f>
        <v>0.05</v>
      </c>
      <c r="AH50" s="82">
        <f>IF($S$34="Market",'[2]WACC Calc'!AA370,'[2]WACC Calc'!AA552)</f>
        <v>0.05</v>
      </c>
      <c r="AI50" s="82">
        <f>IF($S$34="Market",'[2]WACC Calc'!AB370,'[2]WACC Calc'!AB552)</f>
        <v>0.05</v>
      </c>
      <c r="AJ50" s="82">
        <f>IF($S$34="Market",'[2]WACC Calc'!AC370,'[2]WACC Calc'!AC552)</f>
        <v>0.05</v>
      </c>
      <c r="AK50" s="82">
        <f>IF($S$34="Market",'[2]WACC Calc'!AD370,'[2]WACC Calc'!AD552)</f>
        <v>0.05</v>
      </c>
      <c r="AL50" s="82">
        <f>IF($S$34="Market",'[2]WACC Calc'!AE370,'[2]WACC Calc'!AE552)</f>
        <v>0.05</v>
      </c>
      <c r="AM50" s="82">
        <f>IF($S$34="Market",'[2]WACC Calc'!AF370,'[2]WACC Calc'!AF552)</f>
        <v>0.05</v>
      </c>
      <c r="AN50" s="82">
        <f>IF($S$34="Market",'[2]WACC Calc'!AG370,'[2]WACC Calc'!AG552)</f>
        <v>0.05</v>
      </c>
      <c r="AO50" s="82">
        <f>IF($S$34="Market",'[2]WACC Calc'!AH370,'[2]WACC Calc'!AH552)</f>
        <v>0.05</v>
      </c>
      <c r="AP50" s="82">
        <f>IF($S$34="Market",'[2]WACC Calc'!AI370,'[2]WACC Calc'!AI552)</f>
        <v>0.05</v>
      </c>
      <c r="AQ50" s="82">
        <f>IF($S$34="Market",'[2]WACC Calc'!AJ370,'[2]WACC Calc'!AJ552)</f>
        <v>0.05</v>
      </c>
    </row>
    <row r="51" spans="7:43" ht="14.25" hidden="1" customHeight="1" x14ac:dyDescent="0.15">
      <c r="G51" s="7"/>
      <c r="H51" s="190"/>
      <c r="J51" s="206"/>
      <c r="K51" s="47" t="s">
        <v>115</v>
      </c>
      <c r="L51" s="47" t="s">
        <v>62</v>
      </c>
      <c r="M51" s="82">
        <f>IF($S$34="Market",'[2]WACC Calc'!F371,'[2]WACC Calc'!F553)</f>
        <v>0.04</v>
      </c>
      <c r="N51" s="82">
        <f>IF($S$34="Market",'[2]WACC Calc'!G371,'[2]WACC Calc'!G553)</f>
        <v>0.04</v>
      </c>
      <c r="O51" s="82">
        <f>IF($S$34="Market",'[2]WACC Calc'!H371,'[2]WACC Calc'!H553)</f>
        <v>0.04</v>
      </c>
      <c r="P51" s="82">
        <f>IF($S$34="Market",'[2]WACC Calc'!I371,'[2]WACC Calc'!I553)</f>
        <v>0.04</v>
      </c>
      <c r="Q51" s="82">
        <f>IF($S$34="Market",'[2]WACC Calc'!J371,'[2]WACC Calc'!J553)</f>
        <v>0.04</v>
      </c>
      <c r="R51" s="82">
        <f>IF($S$34="Market",'[2]WACC Calc'!K371,'[2]WACC Calc'!K553)</f>
        <v>0.04</v>
      </c>
      <c r="S51" s="82">
        <f>IF($S$34="Market",'[2]WACC Calc'!L371,'[2]WACC Calc'!L553)</f>
        <v>4.2000000000000003E-2</v>
      </c>
      <c r="T51" s="82">
        <f>IF($S$34="Market",'[2]WACC Calc'!M371,'[2]WACC Calc'!M553)</f>
        <v>4.4000000000000004E-2</v>
      </c>
      <c r="U51" s="82">
        <f>IF($S$34="Market",'[2]WACC Calc'!N371,'[2]WACC Calc'!N553)</f>
        <v>4.6000000000000006E-2</v>
      </c>
      <c r="V51" s="82">
        <f>IF($S$34="Market",'[2]WACC Calc'!O371,'[2]WACC Calc'!O553)</f>
        <v>4.8000000000000008E-2</v>
      </c>
      <c r="W51" s="82">
        <f>IF($S$34="Market",'[2]WACC Calc'!P371,'[2]WACC Calc'!P553)</f>
        <v>0.05</v>
      </c>
      <c r="X51" s="82">
        <f>IF($S$34="Market",'[2]WACC Calc'!Q371,'[2]WACC Calc'!Q553)</f>
        <v>0.05</v>
      </c>
      <c r="Y51" s="82">
        <f>IF($S$34="Market",'[2]WACC Calc'!R371,'[2]WACC Calc'!R553)</f>
        <v>0.05</v>
      </c>
      <c r="Z51" s="82">
        <f>IF($S$34="Market",'[2]WACC Calc'!S371,'[2]WACC Calc'!S553)</f>
        <v>0.05</v>
      </c>
      <c r="AA51" s="82">
        <f>IF($S$34="Market",'[2]WACC Calc'!T371,'[2]WACC Calc'!T553)</f>
        <v>0.05</v>
      </c>
      <c r="AB51" s="82">
        <f>IF($S$34="Market",'[2]WACC Calc'!U371,'[2]WACC Calc'!U553)</f>
        <v>0.05</v>
      </c>
      <c r="AC51" s="82">
        <f>IF($S$34="Market",'[2]WACC Calc'!V371,'[2]WACC Calc'!V553)</f>
        <v>0.05</v>
      </c>
      <c r="AD51" s="82">
        <f>IF($S$34="Market",'[2]WACC Calc'!W371,'[2]WACC Calc'!W553)</f>
        <v>0.05</v>
      </c>
      <c r="AE51" s="82">
        <f>IF($S$34="Market",'[2]WACC Calc'!X371,'[2]WACC Calc'!X553)</f>
        <v>0.05</v>
      </c>
      <c r="AF51" s="82">
        <f>IF($S$34="Market",'[2]WACC Calc'!Y371,'[2]WACC Calc'!Y553)</f>
        <v>0.05</v>
      </c>
      <c r="AG51" s="82">
        <f>IF($S$34="Market",'[2]WACC Calc'!Z371,'[2]WACC Calc'!Z553)</f>
        <v>0.05</v>
      </c>
      <c r="AH51" s="82">
        <f>IF($S$34="Market",'[2]WACC Calc'!AA371,'[2]WACC Calc'!AA553)</f>
        <v>0.05</v>
      </c>
      <c r="AI51" s="82">
        <f>IF($S$34="Market",'[2]WACC Calc'!AB371,'[2]WACC Calc'!AB553)</f>
        <v>0.05</v>
      </c>
      <c r="AJ51" s="82">
        <f>IF($S$34="Market",'[2]WACC Calc'!AC371,'[2]WACC Calc'!AC553)</f>
        <v>0.05</v>
      </c>
      <c r="AK51" s="82">
        <f>IF($S$34="Market",'[2]WACC Calc'!AD371,'[2]WACC Calc'!AD553)</f>
        <v>0.05</v>
      </c>
      <c r="AL51" s="82">
        <f>IF($S$34="Market",'[2]WACC Calc'!AE371,'[2]WACC Calc'!AE553)</f>
        <v>0.05</v>
      </c>
      <c r="AM51" s="82">
        <f>IF($S$34="Market",'[2]WACC Calc'!AF371,'[2]WACC Calc'!AF553)</f>
        <v>0.05</v>
      </c>
      <c r="AN51" s="82">
        <f>IF($S$34="Market",'[2]WACC Calc'!AG371,'[2]WACC Calc'!AG553)</f>
        <v>0.05</v>
      </c>
      <c r="AO51" s="82">
        <f>IF($S$34="Market",'[2]WACC Calc'!AH371,'[2]WACC Calc'!AH553)</f>
        <v>0.05</v>
      </c>
      <c r="AP51" s="82">
        <f>IF($S$34="Market",'[2]WACC Calc'!AI371,'[2]WACC Calc'!AI553)</f>
        <v>0.05</v>
      </c>
      <c r="AQ51" s="82">
        <f>IF($S$34="Market",'[2]WACC Calc'!AJ371,'[2]WACC Calc'!AJ553)</f>
        <v>0.05</v>
      </c>
    </row>
    <row r="52" spans="7:43" ht="14.25" hidden="1" customHeight="1" x14ac:dyDescent="0.2">
      <c r="G52" s="7"/>
      <c r="H52" s="190"/>
      <c r="J52" s="206"/>
      <c r="K52" s="47" t="s">
        <v>114</v>
      </c>
      <c r="L52" s="47" t="s">
        <v>67</v>
      </c>
      <c r="M52" s="81">
        <f t="shared" ref="M52:AQ52" si="0">(1+M49)/(1+M$48) - 1</f>
        <v>1.4634146341463428E-2</v>
      </c>
      <c r="N52" s="81">
        <f t="shared" si="0"/>
        <v>1.4634146341463428E-2</v>
      </c>
      <c r="O52" s="81">
        <f t="shared" si="0"/>
        <v>1.4634146341463428E-2</v>
      </c>
      <c r="P52" s="81">
        <f t="shared" si="0"/>
        <v>1.4634146341463428E-2</v>
      </c>
      <c r="Q52" s="81">
        <f t="shared" si="0"/>
        <v>1.4634146341463428E-2</v>
      </c>
      <c r="R52" s="81">
        <f t="shared" si="0"/>
        <v>1.4634146341463428E-2</v>
      </c>
      <c r="S52" s="81">
        <f t="shared" si="0"/>
        <v>1.6585365853658551E-2</v>
      </c>
      <c r="T52" s="81">
        <f t="shared" si="0"/>
        <v>1.8536585365853675E-2</v>
      </c>
      <c r="U52" s="81">
        <f t="shared" si="0"/>
        <v>2.0487804878048799E-2</v>
      </c>
      <c r="V52" s="81">
        <f t="shared" si="0"/>
        <v>2.2439024390243922E-2</v>
      </c>
      <c r="W52" s="81">
        <f t="shared" si="0"/>
        <v>2.4390243902439046E-2</v>
      </c>
      <c r="X52" s="81">
        <f t="shared" si="0"/>
        <v>2.4390243902439046E-2</v>
      </c>
      <c r="Y52" s="81">
        <f t="shared" si="0"/>
        <v>2.4390243902439046E-2</v>
      </c>
      <c r="Z52" s="81">
        <f t="shared" si="0"/>
        <v>2.4390243902439046E-2</v>
      </c>
      <c r="AA52" s="81">
        <f t="shared" si="0"/>
        <v>2.4390243902439046E-2</v>
      </c>
      <c r="AB52" s="81">
        <f t="shared" si="0"/>
        <v>2.4390243902439046E-2</v>
      </c>
      <c r="AC52" s="81">
        <f t="shared" si="0"/>
        <v>2.4390243902439046E-2</v>
      </c>
      <c r="AD52" s="81">
        <f t="shared" si="0"/>
        <v>2.4390243902439046E-2</v>
      </c>
      <c r="AE52" s="81">
        <f t="shared" si="0"/>
        <v>2.4390243902439046E-2</v>
      </c>
      <c r="AF52" s="81">
        <f t="shared" si="0"/>
        <v>2.4390243902439046E-2</v>
      </c>
      <c r="AG52" s="81">
        <f t="shared" si="0"/>
        <v>2.4390243902439046E-2</v>
      </c>
      <c r="AH52" s="81">
        <f t="shared" si="0"/>
        <v>2.4390243902439046E-2</v>
      </c>
      <c r="AI52" s="81">
        <f t="shared" si="0"/>
        <v>2.4390243902439046E-2</v>
      </c>
      <c r="AJ52" s="81">
        <f t="shared" si="0"/>
        <v>2.4390243902439046E-2</v>
      </c>
      <c r="AK52" s="81">
        <f t="shared" si="0"/>
        <v>2.4390243902439046E-2</v>
      </c>
      <c r="AL52" s="81">
        <f t="shared" si="0"/>
        <v>2.4390243902439046E-2</v>
      </c>
      <c r="AM52" s="81">
        <f t="shared" si="0"/>
        <v>2.4390243902439046E-2</v>
      </c>
      <c r="AN52" s="81">
        <f t="shared" si="0"/>
        <v>2.4390243902439046E-2</v>
      </c>
      <c r="AO52" s="81">
        <f t="shared" si="0"/>
        <v>2.4390243902439046E-2</v>
      </c>
      <c r="AP52" s="81">
        <f t="shared" si="0"/>
        <v>2.4390243902439046E-2</v>
      </c>
      <c r="AQ52" s="81">
        <f t="shared" si="0"/>
        <v>2.4390243902439046E-2</v>
      </c>
    </row>
    <row r="53" spans="7:43" ht="14.25" hidden="1" customHeight="1" x14ac:dyDescent="0.2">
      <c r="G53" s="7"/>
      <c r="H53" s="190"/>
      <c r="J53" s="206"/>
      <c r="K53" s="47" t="s">
        <v>114</v>
      </c>
      <c r="L53" s="47" t="s">
        <v>66</v>
      </c>
      <c r="M53" s="81">
        <f t="shared" ref="M53:AQ53" si="1">(1+M50)/(1+M$48) - 1</f>
        <v>1.4634146341463428E-2</v>
      </c>
      <c r="N53" s="81">
        <f t="shared" si="1"/>
        <v>1.4634146341463428E-2</v>
      </c>
      <c r="O53" s="81">
        <f t="shared" si="1"/>
        <v>1.4634146341463428E-2</v>
      </c>
      <c r="P53" s="81">
        <f t="shared" si="1"/>
        <v>1.4634146341463428E-2</v>
      </c>
      <c r="Q53" s="81">
        <f t="shared" si="1"/>
        <v>1.4634146341463428E-2</v>
      </c>
      <c r="R53" s="81">
        <f t="shared" si="1"/>
        <v>1.4634146341463428E-2</v>
      </c>
      <c r="S53" s="81">
        <f t="shared" si="1"/>
        <v>1.6585365853658551E-2</v>
      </c>
      <c r="T53" s="81">
        <f t="shared" si="1"/>
        <v>1.8536585365853675E-2</v>
      </c>
      <c r="U53" s="81">
        <f t="shared" si="1"/>
        <v>2.0487804878048799E-2</v>
      </c>
      <c r="V53" s="81">
        <f t="shared" si="1"/>
        <v>2.2439024390243922E-2</v>
      </c>
      <c r="W53" s="81">
        <f t="shared" si="1"/>
        <v>2.4390243902439046E-2</v>
      </c>
      <c r="X53" s="81">
        <f t="shared" si="1"/>
        <v>2.4390243902439046E-2</v>
      </c>
      <c r="Y53" s="81">
        <f t="shared" si="1"/>
        <v>2.4390243902439046E-2</v>
      </c>
      <c r="Z53" s="81">
        <f t="shared" si="1"/>
        <v>2.4390243902439046E-2</v>
      </c>
      <c r="AA53" s="81">
        <f t="shared" si="1"/>
        <v>2.4390243902439046E-2</v>
      </c>
      <c r="AB53" s="81">
        <f t="shared" si="1"/>
        <v>2.4390243902439046E-2</v>
      </c>
      <c r="AC53" s="81">
        <f t="shared" si="1"/>
        <v>2.4390243902439046E-2</v>
      </c>
      <c r="AD53" s="81">
        <f t="shared" si="1"/>
        <v>2.4390243902439046E-2</v>
      </c>
      <c r="AE53" s="81">
        <f t="shared" si="1"/>
        <v>2.4390243902439046E-2</v>
      </c>
      <c r="AF53" s="81">
        <f t="shared" si="1"/>
        <v>2.4390243902439046E-2</v>
      </c>
      <c r="AG53" s="81">
        <f t="shared" si="1"/>
        <v>2.4390243902439046E-2</v>
      </c>
      <c r="AH53" s="81">
        <f t="shared" si="1"/>
        <v>2.4390243902439046E-2</v>
      </c>
      <c r="AI53" s="81">
        <f t="shared" si="1"/>
        <v>2.4390243902439046E-2</v>
      </c>
      <c r="AJ53" s="81">
        <f t="shared" si="1"/>
        <v>2.4390243902439046E-2</v>
      </c>
      <c r="AK53" s="81">
        <f t="shared" si="1"/>
        <v>2.4390243902439046E-2</v>
      </c>
      <c r="AL53" s="81">
        <f t="shared" si="1"/>
        <v>2.4390243902439046E-2</v>
      </c>
      <c r="AM53" s="81">
        <f t="shared" si="1"/>
        <v>2.4390243902439046E-2</v>
      </c>
      <c r="AN53" s="81">
        <f t="shared" si="1"/>
        <v>2.4390243902439046E-2</v>
      </c>
      <c r="AO53" s="81">
        <f t="shared" si="1"/>
        <v>2.4390243902439046E-2</v>
      </c>
      <c r="AP53" s="81">
        <f t="shared" si="1"/>
        <v>2.4390243902439046E-2</v>
      </c>
      <c r="AQ53" s="81">
        <f t="shared" si="1"/>
        <v>2.4390243902439046E-2</v>
      </c>
    </row>
    <row r="54" spans="7:43" ht="14.25" hidden="1" customHeight="1" x14ac:dyDescent="0.2">
      <c r="G54" s="7"/>
      <c r="H54" s="190"/>
      <c r="J54" s="206"/>
      <c r="K54" s="47" t="s">
        <v>114</v>
      </c>
      <c r="L54" s="47" t="s">
        <v>62</v>
      </c>
      <c r="M54" s="81">
        <f t="shared" ref="M54:AQ54" si="2">(1+M51)/(1+M$48) - 1</f>
        <v>1.4634146341463428E-2</v>
      </c>
      <c r="N54" s="81">
        <f t="shared" si="2"/>
        <v>1.4634146341463428E-2</v>
      </c>
      <c r="O54" s="81">
        <f t="shared" si="2"/>
        <v>1.4634146341463428E-2</v>
      </c>
      <c r="P54" s="81">
        <f t="shared" si="2"/>
        <v>1.4634146341463428E-2</v>
      </c>
      <c r="Q54" s="81">
        <f t="shared" si="2"/>
        <v>1.4634146341463428E-2</v>
      </c>
      <c r="R54" s="81">
        <f t="shared" si="2"/>
        <v>1.4634146341463428E-2</v>
      </c>
      <c r="S54" s="81">
        <f t="shared" si="2"/>
        <v>1.6585365853658551E-2</v>
      </c>
      <c r="T54" s="81">
        <f t="shared" si="2"/>
        <v>1.8536585365853675E-2</v>
      </c>
      <c r="U54" s="81">
        <f t="shared" si="2"/>
        <v>2.0487804878048799E-2</v>
      </c>
      <c r="V54" s="81">
        <f t="shared" si="2"/>
        <v>2.2439024390243922E-2</v>
      </c>
      <c r="W54" s="81">
        <f t="shared" si="2"/>
        <v>2.4390243902439046E-2</v>
      </c>
      <c r="X54" s="81">
        <f t="shared" si="2"/>
        <v>2.4390243902439046E-2</v>
      </c>
      <c r="Y54" s="81">
        <f t="shared" si="2"/>
        <v>2.4390243902439046E-2</v>
      </c>
      <c r="Z54" s="81">
        <f t="shared" si="2"/>
        <v>2.4390243902439046E-2</v>
      </c>
      <c r="AA54" s="81">
        <f t="shared" si="2"/>
        <v>2.4390243902439046E-2</v>
      </c>
      <c r="AB54" s="81">
        <f t="shared" si="2"/>
        <v>2.4390243902439046E-2</v>
      </c>
      <c r="AC54" s="81">
        <f t="shared" si="2"/>
        <v>2.4390243902439046E-2</v>
      </c>
      <c r="AD54" s="81">
        <f t="shared" si="2"/>
        <v>2.4390243902439046E-2</v>
      </c>
      <c r="AE54" s="81">
        <f t="shared" si="2"/>
        <v>2.4390243902439046E-2</v>
      </c>
      <c r="AF54" s="81">
        <f t="shared" si="2"/>
        <v>2.4390243902439046E-2</v>
      </c>
      <c r="AG54" s="81">
        <f t="shared" si="2"/>
        <v>2.4390243902439046E-2</v>
      </c>
      <c r="AH54" s="81">
        <f t="shared" si="2"/>
        <v>2.4390243902439046E-2</v>
      </c>
      <c r="AI54" s="81">
        <f t="shared" si="2"/>
        <v>2.4390243902439046E-2</v>
      </c>
      <c r="AJ54" s="81">
        <f t="shared" si="2"/>
        <v>2.4390243902439046E-2</v>
      </c>
      <c r="AK54" s="81">
        <f t="shared" si="2"/>
        <v>2.4390243902439046E-2</v>
      </c>
      <c r="AL54" s="81">
        <f t="shared" si="2"/>
        <v>2.4390243902439046E-2</v>
      </c>
      <c r="AM54" s="81">
        <f t="shared" si="2"/>
        <v>2.4390243902439046E-2</v>
      </c>
      <c r="AN54" s="81">
        <f t="shared" si="2"/>
        <v>2.4390243902439046E-2</v>
      </c>
      <c r="AO54" s="81">
        <f t="shared" si="2"/>
        <v>2.4390243902439046E-2</v>
      </c>
      <c r="AP54" s="81">
        <f t="shared" si="2"/>
        <v>2.4390243902439046E-2</v>
      </c>
      <c r="AQ54" s="81">
        <f t="shared" si="2"/>
        <v>2.4390243902439046E-2</v>
      </c>
    </row>
    <row r="55" spans="7:43" ht="14.25" hidden="1" customHeight="1" x14ac:dyDescent="0.15">
      <c r="G55" s="7"/>
      <c r="H55" s="190"/>
      <c r="J55" s="206"/>
      <c r="K55" s="47" t="s">
        <v>113</v>
      </c>
      <c r="L55" s="47" t="s">
        <v>68</v>
      </c>
      <c r="M55" s="82">
        <f>IF($S$34="Market",'[2]WACC Calc'!F375,'[2]WACC Calc'!F557)</f>
        <v>3.5000000000000003E-2</v>
      </c>
      <c r="N55" s="82">
        <f>IF($S$34="Market",'[2]WACC Calc'!G375,'[2]WACC Calc'!G557)</f>
        <v>3.5000000000000003E-2</v>
      </c>
      <c r="O55" s="82">
        <f>IF($S$34="Market",'[2]WACC Calc'!H375,'[2]WACC Calc'!H557)</f>
        <v>3.5000000000000003E-2</v>
      </c>
      <c r="P55" s="82">
        <f>IF($S$34="Market",'[2]WACC Calc'!I375,'[2]WACC Calc'!I557)</f>
        <v>3.5000000000000003E-2</v>
      </c>
      <c r="Q55" s="82">
        <f>IF($S$34="Market",'[2]WACC Calc'!J375,'[2]WACC Calc'!J557)</f>
        <v>3.5000000000000003E-2</v>
      </c>
      <c r="R55" s="82">
        <f>IF($S$34="Market",'[2]WACC Calc'!K375,'[2]WACC Calc'!K557)</f>
        <v>3.5000000000000003E-2</v>
      </c>
      <c r="S55" s="82">
        <f>IF($S$34="Market",'[2]WACC Calc'!L375,'[2]WACC Calc'!L557)</f>
        <v>3.7000000000000005E-2</v>
      </c>
      <c r="T55" s="82">
        <f>IF($S$34="Market",'[2]WACC Calc'!M375,'[2]WACC Calc'!M557)</f>
        <v>3.9000000000000007E-2</v>
      </c>
      <c r="U55" s="82">
        <f>IF($S$34="Market",'[2]WACC Calc'!N375,'[2]WACC Calc'!N557)</f>
        <v>4.1000000000000009E-2</v>
      </c>
      <c r="V55" s="82">
        <f>IF($S$34="Market",'[2]WACC Calc'!O375,'[2]WACC Calc'!O557)</f>
        <v>4.300000000000001E-2</v>
      </c>
      <c r="W55" s="82">
        <f>IF($S$34="Market",'[2]WACC Calc'!P375,'[2]WACC Calc'!P557)</f>
        <v>4.4999999999999998E-2</v>
      </c>
      <c r="X55" s="82">
        <f>IF($S$34="Market",'[2]WACC Calc'!Q375,'[2]WACC Calc'!Q557)</f>
        <v>4.4999999999999998E-2</v>
      </c>
      <c r="Y55" s="82">
        <f>IF($S$34="Market",'[2]WACC Calc'!R375,'[2]WACC Calc'!R557)</f>
        <v>4.4999999999999998E-2</v>
      </c>
      <c r="Z55" s="82">
        <f>IF($S$34="Market",'[2]WACC Calc'!S375,'[2]WACC Calc'!S557)</f>
        <v>4.4999999999999998E-2</v>
      </c>
      <c r="AA55" s="82">
        <f>IF($S$34="Market",'[2]WACC Calc'!T375,'[2]WACC Calc'!T557)</f>
        <v>4.4999999999999998E-2</v>
      </c>
      <c r="AB55" s="82">
        <f>IF($S$34="Market",'[2]WACC Calc'!U375,'[2]WACC Calc'!U557)</f>
        <v>4.4999999999999998E-2</v>
      </c>
      <c r="AC55" s="82">
        <f>IF($S$34="Market",'[2]WACC Calc'!V375,'[2]WACC Calc'!V557)</f>
        <v>4.4999999999999998E-2</v>
      </c>
      <c r="AD55" s="82">
        <f>IF($S$34="Market",'[2]WACC Calc'!W375,'[2]WACC Calc'!W557)</f>
        <v>4.4999999999999998E-2</v>
      </c>
      <c r="AE55" s="82">
        <f>IF($S$34="Market",'[2]WACC Calc'!X375,'[2]WACC Calc'!X557)</f>
        <v>4.4999999999999998E-2</v>
      </c>
      <c r="AF55" s="82">
        <f>IF($S$34="Market",'[2]WACC Calc'!Y375,'[2]WACC Calc'!Y557)</f>
        <v>4.4999999999999998E-2</v>
      </c>
      <c r="AG55" s="82">
        <f>IF($S$34="Market",'[2]WACC Calc'!Z375,'[2]WACC Calc'!Z557)</f>
        <v>4.4999999999999998E-2</v>
      </c>
      <c r="AH55" s="82">
        <f>IF($S$34="Market",'[2]WACC Calc'!AA375,'[2]WACC Calc'!AA557)</f>
        <v>4.4999999999999998E-2</v>
      </c>
      <c r="AI55" s="82">
        <f>IF($S$34="Market",'[2]WACC Calc'!AB375,'[2]WACC Calc'!AB557)</f>
        <v>4.4999999999999998E-2</v>
      </c>
      <c r="AJ55" s="82">
        <f>IF($S$34="Market",'[2]WACC Calc'!AC375,'[2]WACC Calc'!AC557)</f>
        <v>4.4999999999999998E-2</v>
      </c>
      <c r="AK55" s="82">
        <f>IF($S$34="Market",'[2]WACC Calc'!AD375,'[2]WACC Calc'!AD557)</f>
        <v>4.4999999999999998E-2</v>
      </c>
      <c r="AL55" s="82">
        <f>IF($S$34="Market",'[2]WACC Calc'!AE375,'[2]WACC Calc'!AE557)</f>
        <v>4.4999999999999998E-2</v>
      </c>
      <c r="AM55" s="82">
        <f>IF($S$34="Market",'[2]WACC Calc'!AF375,'[2]WACC Calc'!AF557)</f>
        <v>4.4999999999999998E-2</v>
      </c>
      <c r="AN55" s="82">
        <f>IF($S$34="Market",'[2]WACC Calc'!AG375,'[2]WACC Calc'!AG557)</f>
        <v>4.4999999999999998E-2</v>
      </c>
      <c r="AO55" s="82">
        <f>IF($S$34="Market",'[2]WACC Calc'!AH375,'[2]WACC Calc'!AH557)</f>
        <v>4.4999999999999998E-2</v>
      </c>
      <c r="AP55" s="82">
        <f>IF($S$34="Market",'[2]WACC Calc'!AI375,'[2]WACC Calc'!AI557)</f>
        <v>4.4999999999999998E-2</v>
      </c>
      <c r="AQ55" s="82">
        <f>IF($S$34="Market",'[2]WACC Calc'!AJ375,'[2]WACC Calc'!AJ557)</f>
        <v>4.4999999999999998E-2</v>
      </c>
    </row>
    <row r="56" spans="7:43" ht="14.25" hidden="1" customHeight="1" x14ac:dyDescent="0.15">
      <c r="G56" s="7"/>
      <c r="H56" s="190"/>
      <c r="J56" s="206"/>
      <c r="K56" s="47" t="s">
        <v>112</v>
      </c>
      <c r="L56" s="47" t="s">
        <v>67</v>
      </c>
      <c r="M56" s="82">
        <f>IF($S$34="Market",'[2]WACC Calc'!F376,'[2]WACC Calc'!F558)</f>
        <v>8.7999999999999995E-2</v>
      </c>
      <c r="N56" s="82">
        <f>IF($S$34="Market",'[2]WACC Calc'!G376,'[2]WACC Calc'!G558)</f>
        <v>8.7999999999999995E-2</v>
      </c>
      <c r="O56" s="82">
        <f>IF($S$34="Market",'[2]WACC Calc'!H376,'[2]WACC Calc'!H558)</f>
        <v>8.7999999999999995E-2</v>
      </c>
      <c r="P56" s="82">
        <f>IF($S$34="Market",'[2]WACC Calc'!I376,'[2]WACC Calc'!I558)</f>
        <v>8.7999999999999995E-2</v>
      </c>
      <c r="Q56" s="82">
        <f>IF($S$34="Market",'[2]WACC Calc'!J376,'[2]WACC Calc'!J558)</f>
        <v>8.7999999999999995E-2</v>
      </c>
      <c r="R56" s="82">
        <f>IF($S$34="Market",'[2]WACC Calc'!K376,'[2]WACC Calc'!K558)</f>
        <v>8.7999999999999995E-2</v>
      </c>
      <c r="S56" s="82">
        <f>IF($S$34="Market",'[2]WACC Calc'!L376,'[2]WACC Calc'!L558)</f>
        <v>8.7999999999999995E-2</v>
      </c>
      <c r="T56" s="82">
        <f>IF($S$34="Market",'[2]WACC Calc'!M376,'[2]WACC Calc'!M558)</f>
        <v>8.7999999999999995E-2</v>
      </c>
      <c r="U56" s="82">
        <f>IF($S$34="Market",'[2]WACC Calc'!N376,'[2]WACC Calc'!N558)</f>
        <v>8.7999999999999995E-2</v>
      </c>
      <c r="V56" s="82">
        <f>IF($S$34="Market",'[2]WACC Calc'!O376,'[2]WACC Calc'!O558)</f>
        <v>8.7999999999999995E-2</v>
      </c>
      <c r="W56" s="82">
        <f>IF($S$34="Market",'[2]WACC Calc'!P376,'[2]WACC Calc'!P558)</f>
        <v>8.7999999999999995E-2</v>
      </c>
      <c r="X56" s="82">
        <f>IF($S$34="Market",'[2]WACC Calc'!Q376,'[2]WACC Calc'!Q558)</f>
        <v>8.7999999999999995E-2</v>
      </c>
      <c r="Y56" s="82">
        <f>IF($S$34="Market",'[2]WACC Calc'!R376,'[2]WACC Calc'!R558)</f>
        <v>8.7999999999999995E-2</v>
      </c>
      <c r="Z56" s="82">
        <f>IF($S$34="Market",'[2]WACC Calc'!S376,'[2]WACC Calc'!S558)</f>
        <v>8.7999999999999995E-2</v>
      </c>
      <c r="AA56" s="82">
        <f>IF($S$34="Market",'[2]WACC Calc'!T376,'[2]WACC Calc'!T558)</f>
        <v>8.7999999999999995E-2</v>
      </c>
      <c r="AB56" s="82">
        <f>IF($S$34="Market",'[2]WACC Calc'!U376,'[2]WACC Calc'!U558)</f>
        <v>8.7999999999999995E-2</v>
      </c>
      <c r="AC56" s="82">
        <f>IF($S$34="Market",'[2]WACC Calc'!V376,'[2]WACC Calc'!V558)</f>
        <v>8.7999999999999995E-2</v>
      </c>
      <c r="AD56" s="82">
        <f>IF($S$34="Market",'[2]WACC Calc'!W376,'[2]WACC Calc'!W558)</f>
        <v>8.7999999999999995E-2</v>
      </c>
      <c r="AE56" s="82">
        <f>IF($S$34="Market",'[2]WACC Calc'!X376,'[2]WACC Calc'!X558)</f>
        <v>8.7999999999999995E-2</v>
      </c>
      <c r="AF56" s="82">
        <f>IF($S$34="Market",'[2]WACC Calc'!Y376,'[2]WACC Calc'!Y558)</f>
        <v>8.7999999999999995E-2</v>
      </c>
      <c r="AG56" s="82">
        <f>IF($S$34="Market",'[2]WACC Calc'!Z376,'[2]WACC Calc'!Z558)</f>
        <v>8.7999999999999995E-2</v>
      </c>
      <c r="AH56" s="82">
        <f>IF($S$34="Market",'[2]WACC Calc'!AA376,'[2]WACC Calc'!AA558)</f>
        <v>8.7999999999999995E-2</v>
      </c>
      <c r="AI56" s="82">
        <f>IF($S$34="Market",'[2]WACC Calc'!AB376,'[2]WACC Calc'!AB558)</f>
        <v>8.7999999999999995E-2</v>
      </c>
      <c r="AJ56" s="82">
        <f>IF($S$34="Market",'[2]WACC Calc'!AC376,'[2]WACC Calc'!AC558)</f>
        <v>8.7999999999999995E-2</v>
      </c>
      <c r="AK56" s="82">
        <f>IF($S$34="Market",'[2]WACC Calc'!AD376,'[2]WACC Calc'!AD558)</f>
        <v>8.7999999999999995E-2</v>
      </c>
      <c r="AL56" s="82">
        <f>IF($S$34="Market",'[2]WACC Calc'!AE376,'[2]WACC Calc'!AE558)</f>
        <v>8.7999999999999995E-2</v>
      </c>
      <c r="AM56" s="82">
        <f>IF($S$34="Market",'[2]WACC Calc'!AF376,'[2]WACC Calc'!AF558)</f>
        <v>8.7999999999999995E-2</v>
      </c>
      <c r="AN56" s="82">
        <f>IF($S$34="Market",'[2]WACC Calc'!AG376,'[2]WACC Calc'!AG558)</f>
        <v>8.7999999999999995E-2</v>
      </c>
      <c r="AO56" s="82">
        <f>IF($S$34="Market",'[2]WACC Calc'!AH376,'[2]WACC Calc'!AH558)</f>
        <v>8.7999999999999995E-2</v>
      </c>
      <c r="AP56" s="82">
        <f>IF($S$34="Market",'[2]WACC Calc'!AI376,'[2]WACC Calc'!AI558)</f>
        <v>8.7999999999999995E-2</v>
      </c>
      <c r="AQ56" s="82">
        <f>IF($S$34="Market",'[2]WACC Calc'!AJ376,'[2]WACC Calc'!AJ558)</f>
        <v>8.7999999999999995E-2</v>
      </c>
    </row>
    <row r="57" spans="7:43" ht="14.25" hidden="1" customHeight="1" x14ac:dyDescent="0.15">
      <c r="G57" s="7"/>
      <c r="H57" s="190"/>
      <c r="J57" s="206"/>
      <c r="K57" s="47" t="s">
        <v>112</v>
      </c>
      <c r="L57" s="47" t="s">
        <v>66</v>
      </c>
      <c r="M57" s="82">
        <f>IF($S$34="Market",'[2]WACC Calc'!F377,'[2]WACC Calc'!F559)</f>
        <v>8.7999999999999995E-2</v>
      </c>
      <c r="N57" s="82">
        <f>IF($S$34="Market",'[2]WACC Calc'!G377,'[2]WACC Calc'!G559)</f>
        <v>8.7999999999999995E-2</v>
      </c>
      <c r="O57" s="82">
        <f>IF($S$34="Market",'[2]WACC Calc'!H377,'[2]WACC Calc'!H559)</f>
        <v>8.7999999999999995E-2</v>
      </c>
      <c r="P57" s="82">
        <f>IF($S$34="Market",'[2]WACC Calc'!I377,'[2]WACC Calc'!I559)</f>
        <v>8.7999999999999995E-2</v>
      </c>
      <c r="Q57" s="82">
        <f>IF($S$34="Market",'[2]WACC Calc'!J377,'[2]WACC Calc'!J559)</f>
        <v>8.7999999999999995E-2</v>
      </c>
      <c r="R57" s="82">
        <f>IF($S$34="Market",'[2]WACC Calc'!K377,'[2]WACC Calc'!K559)</f>
        <v>8.7999999999999995E-2</v>
      </c>
      <c r="S57" s="82">
        <f>IF($S$34="Market",'[2]WACC Calc'!L377,'[2]WACC Calc'!L559)</f>
        <v>8.7999999999999995E-2</v>
      </c>
      <c r="T57" s="82">
        <f>IF($S$34="Market",'[2]WACC Calc'!M377,'[2]WACC Calc'!M559)</f>
        <v>8.7999999999999995E-2</v>
      </c>
      <c r="U57" s="82">
        <f>IF($S$34="Market",'[2]WACC Calc'!N377,'[2]WACC Calc'!N559)</f>
        <v>8.7999999999999995E-2</v>
      </c>
      <c r="V57" s="82">
        <f>IF($S$34="Market",'[2]WACC Calc'!O377,'[2]WACC Calc'!O559)</f>
        <v>8.7999999999999995E-2</v>
      </c>
      <c r="W57" s="82">
        <f>IF($S$34="Market",'[2]WACC Calc'!P377,'[2]WACC Calc'!P559)</f>
        <v>8.7999999999999995E-2</v>
      </c>
      <c r="X57" s="82">
        <f>IF($S$34="Market",'[2]WACC Calc'!Q377,'[2]WACC Calc'!Q559)</f>
        <v>8.7999999999999995E-2</v>
      </c>
      <c r="Y57" s="82">
        <f>IF($S$34="Market",'[2]WACC Calc'!R377,'[2]WACC Calc'!R559)</f>
        <v>8.7999999999999995E-2</v>
      </c>
      <c r="Z57" s="82">
        <f>IF($S$34="Market",'[2]WACC Calc'!S377,'[2]WACC Calc'!S559)</f>
        <v>8.7999999999999995E-2</v>
      </c>
      <c r="AA57" s="82">
        <f>IF($S$34="Market",'[2]WACC Calc'!T377,'[2]WACC Calc'!T559)</f>
        <v>8.7999999999999995E-2</v>
      </c>
      <c r="AB57" s="82">
        <f>IF($S$34="Market",'[2]WACC Calc'!U377,'[2]WACC Calc'!U559)</f>
        <v>8.7999999999999995E-2</v>
      </c>
      <c r="AC57" s="82">
        <f>IF($S$34="Market",'[2]WACC Calc'!V377,'[2]WACC Calc'!V559)</f>
        <v>8.7999999999999995E-2</v>
      </c>
      <c r="AD57" s="82">
        <f>IF($S$34="Market",'[2]WACC Calc'!W377,'[2]WACC Calc'!W559)</f>
        <v>8.7999999999999995E-2</v>
      </c>
      <c r="AE57" s="82">
        <f>IF($S$34="Market",'[2]WACC Calc'!X377,'[2]WACC Calc'!X559)</f>
        <v>8.7999999999999995E-2</v>
      </c>
      <c r="AF57" s="82">
        <f>IF($S$34="Market",'[2]WACC Calc'!Y377,'[2]WACC Calc'!Y559)</f>
        <v>8.7999999999999995E-2</v>
      </c>
      <c r="AG57" s="82">
        <f>IF($S$34="Market",'[2]WACC Calc'!Z377,'[2]WACC Calc'!Z559)</f>
        <v>8.7999999999999995E-2</v>
      </c>
      <c r="AH57" s="82">
        <f>IF($S$34="Market",'[2]WACC Calc'!AA377,'[2]WACC Calc'!AA559)</f>
        <v>8.7999999999999995E-2</v>
      </c>
      <c r="AI57" s="82">
        <f>IF($S$34="Market",'[2]WACC Calc'!AB377,'[2]WACC Calc'!AB559)</f>
        <v>8.7999999999999995E-2</v>
      </c>
      <c r="AJ57" s="82">
        <f>IF($S$34="Market",'[2]WACC Calc'!AC377,'[2]WACC Calc'!AC559)</f>
        <v>8.7999999999999995E-2</v>
      </c>
      <c r="AK57" s="82">
        <f>IF($S$34="Market",'[2]WACC Calc'!AD377,'[2]WACC Calc'!AD559)</f>
        <v>8.7999999999999995E-2</v>
      </c>
      <c r="AL57" s="82">
        <f>IF($S$34="Market",'[2]WACC Calc'!AE377,'[2]WACC Calc'!AE559)</f>
        <v>8.7999999999999995E-2</v>
      </c>
      <c r="AM57" s="82">
        <f>IF($S$34="Market",'[2]WACC Calc'!AF377,'[2]WACC Calc'!AF559)</f>
        <v>8.7999999999999995E-2</v>
      </c>
      <c r="AN57" s="82">
        <f>IF($S$34="Market",'[2]WACC Calc'!AG377,'[2]WACC Calc'!AG559)</f>
        <v>8.7999999999999995E-2</v>
      </c>
      <c r="AO57" s="82">
        <f>IF($S$34="Market",'[2]WACC Calc'!AH377,'[2]WACC Calc'!AH559)</f>
        <v>8.7999999999999995E-2</v>
      </c>
      <c r="AP57" s="82">
        <f>IF($S$34="Market",'[2]WACC Calc'!AI377,'[2]WACC Calc'!AI559)</f>
        <v>8.7999999999999995E-2</v>
      </c>
      <c r="AQ57" s="82">
        <f>IF($S$34="Market",'[2]WACC Calc'!AJ377,'[2]WACC Calc'!AJ559)</f>
        <v>8.7999999999999995E-2</v>
      </c>
    </row>
    <row r="58" spans="7:43" ht="14.25" hidden="1" customHeight="1" x14ac:dyDescent="0.15">
      <c r="G58" s="7"/>
      <c r="H58" s="190"/>
      <c r="J58" s="206"/>
      <c r="K58" s="47" t="s">
        <v>112</v>
      </c>
      <c r="L58" s="47" t="s">
        <v>62</v>
      </c>
      <c r="M58" s="82">
        <f>IF($S$34="Market",'[2]WACC Calc'!F378,'[2]WACC Calc'!F560)</f>
        <v>8.7999999999999995E-2</v>
      </c>
      <c r="N58" s="82">
        <f>IF($S$34="Market",'[2]WACC Calc'!G378,'[2]WACC Calc'!G560)</f>
        <v>8.7999999999999995E-2</v>
      </c>
      <c r="O58" s="82">
        <f>IF($S$34="Market",'[2]WACC Calc'!H378,'[2]WACC Calc'!H560)</f>
        <v>8.7999999999999995E-2</v>
      </c>
      <c r="P58" s="82">
        <f>IF($S$34="Market",'[2]WACC Calc'!I378,'[2]WACC Calc'!I560)</f>
        <v>8.7999999999999995E-2</v>
      </c>
      <c r="Q58" s="82">
        <f>IF($S$34="Market",'[2]WACC Calc'!J378,'[2]WACC Calc'!J560)</f>
        <v>8.7999999999999995E-2</v>
      </c>
      <c r="R58" s="82">
        <f>IF($S$34="Market",'[2]WACC Calc'!K378,'[2]WACC Calc'!K560)</f>
        <v>8.7999999999999995E-2</v>
      </c>
      <c r="S58" s="82">
        <f>IF($S$34="Market",'[2]WACC Calc'!L378,'[2]WACC Calc'!L560)</f>
        <v>8.7999999999999995E-2</v>
      </c>
      <c r="T58" s="82">
        <f>IF($S$34="Market",'[2]WACC Calc'!M378,'[2]WACC Calc'!M560)</f>
        <v>8.7999999999999995E-2</v>
      </c>
      <c r="U58" s="82">
        <f>IF($S$34="Market",'[2]WACC Calc'!N378,'[2]WACC Calc'!N560)</f>
        <v>8.7999999999999995E-2</v>
      </c>
      <c r="V58" s="82">
        <f>IF($S$34="Market",'[2]WACC Calc'!O378,'[2]WACC Calc'!O560)</f>
        <v>8.7999999999999995E-2</v>
      </c>
      <c r="W58" s="82">
        <f>IF($S$34="Market",'[2]WACC Calc'!P378,'[2]WACC Calc'!P560)</f>
        <v>8.7999999999999995E-2</v>
      </c>
      <c r="X58" s="82">
        <f>IF($S$34="Market",'[2]WACC Calc'!Q378,'[2]WACC Calc'!Q560)</f>
        <v>8.7999999999999995E-2</v>
      </c>
      <c r="Y58" s="82">
        <f>IF($S$34="Market",'[2]WACC Calc'!R378,'[2]WACC Calc'!R560)</f>
        <v>8.7999999999999995E-2</v>
      </c>
      <c r="Z58" s="82">
        <f>IF($S$34="Market",'[2]WACC Calc'!S378,'[2]WACC Calc'!S560)</f>
        <v>8.7999999999999995E-2</v>
      </c>
      <c r="AA58" s="82">
        <f>IF($S$34="Market",'[2]WACC Calc'!T378,'[2]WACC Calc'!T560)</f>
        <v>8.7999999999999995E-2</v>
      </c>
      <c r="AB58" s="82">
        <f>IF($S$34="Market",'[2]WACC Calc'!U378,'[2]WACC Calc'!U560)</f>
        <v>8.7999999999999995E-2</v>
      </c>
      <c r="AC58" s="82">
        <f>IF($S$34="Market",'[2]WACC Calc'!V378,'[2]WACC Calc'!V560)</f>
        <v>8.7999999999999995E-2</v>
      </c>
      <c r="AD58" s="82">
        <f>IF($S$34="Market",'[2]WACC Calc'!W378,'[2]WACC Calc'!W560)</f>
        <v>8.7999999999999995E-2</v>
      </c>
      <c r="AE58" s="82">
        <f>IF($S$34="Market",'[2]WACC Calc'!X378,'[2]WACC Calc'!X560)</f>
        <v>8.7999999999999995E-2</v>
      </c>
      <c r="AF58" s="82">
        <f>IF($S$34="Market",'[2]WACC Calc'!Y378,'[2]WACC Calc'!Y560)</f>
        <v>8.7999999999999995E-2</v>
      </c>
      <c r="AG58" s="82">
        <f>IF($S$34="Market",'[2]WACC Calc'!Z378,'[2]WACC Calc'!Z560)</f>
        <v>8.7999999999999995E-2</v>
      </c>
      <c r="AH58" s="82">
        <f>IF($S$34="Market",'[2]WACC Calc'!AA378,'[2]WACC Calc'!AA560)</f>
        <v>8.7999999999999995E-2</v>
      </c>
      <c r="AI58" s="82">
        <f>IF($S$34="Market",'[2]WACC Calc'!AB378,'[2]WACC Calc'!AB560)</f>
        <v>8.7999999999999995E-2</v>
      </c>
      <c r="AJ58" s="82">
        <f>IF($S$34="Market",'[2]WACC Calc'!AC378,'[2]WACC Calc'!AC560)</f>
        <v>8.7999999999999995E-2</v>
      </c>
      <c r="AK58" s="82">
        <f>IF($S$34="Market",'[2]WACC Calc'!AD378,'[2]WACC Calc'!AD560)</f>
        <v>8.7999999999999995E-2</v>
      </c>
      <c r="AL58" s="82">
        <f>IF($S$34="Market",'[2]WACC Calc'!AE378,'[2]WACC Calc'!AE560)</f>
        <v>8.7999999999999995E-2</v>
      </c>
      <c r="AM58" s="82">
        <f>IF($S$34="Market",'[2]WACC Calc'!AF378,'[2]WACC Calc'!AF560)</f>
        <v>8.7999999999999995E-2</v>
      </c>
      <c r="AN58" s="82">
        <f>IF($S$34="Market",'[2]WACC Calc'!AG378,'[2]WACC Calc'!AG560)</f>
        <v>8.7999999999999995E-2</v>
      </c>
      <c r="AO58" s="82">
        <f>IF($S$34="Market",'[2]WACC Calc'!AH378,'[2]WACC Calc'!AH560)</f>
        <v>8.7999999999999995E-2</v>
      </c>
      <c r="AP58" s="82">
        <f>IF($S$34="Market",'[2]WACC Calc'!AI378,'[2]WACC Calc'!AI560)</f>
        <v>8.7999999999999995E-2</v>
      </c>
      <c r="AQ58" s="82">
        <f>IF($S$34="Market",'[2]WACC Calc'!AJ378,'[2]WACC Calc'!AJ560)</f>
        <v>8.7999999999999995E-2</v>
      </c>
    </row>
    <row r="59" spans="7:43" ht="14.25" hidden="1" customHeight="1" x14ac:dyDescent="0.2">
      <c r="G59" s="7"/>
      <c r="H59" s="190"/>
      <c r="J59" s="206"/>
      <c r="K59" s="47" t="s">
        <v>111</v>
      </c>
      <c r="L59" s="47" t="s">
        <v>67</v>
      </c>
      <c r="M59" s="81">
        <f t="shared" ref="M59:AQ59" si="3">(1+M56)/(1+M$48) - 1</f>
        <v>6.1463414634146618E-2</v>
      </c>
      <c r="N59" s="81">
        <f t="shared" si="3"/>
        <v>6.1463414634146618E-2</v>
      </c>
      <c r="O59" s="81">
        <f t="shared" si="3"/>
        <v>6.1463414634146618E-2</v>
      </c>
      <c r="P59" s="81">
        <f t="shared" si="3"/>
        <v>6.1463414634146618E-2</v>
      </c>
      <c r="Q59" s="81">
        <f t="shared" si="3"/>
        <v>6.1463414634146618E-2</v>
      </c>
      <c r="R59" s="81">
        <f t="shared" si="3"/>
        <v>6.1463414634146618E-2</v>
      </c>
      <c r="S59" s="81">
        <f t="shared" si="3"/>
        <v>6.1463414634146618E-2</v>
      </c>
      <c r="T59" s="81">
        <f t="shared" si="3"/>
        <v>6.1463414634146618E-2</v>
      </c>
      <c r="U59" s="81">
        <f t="shared" si="3"/>
        <v>6.1463414634146618E-2</v>
      </c>
      <c r="V59" s="81">
        <f t="shared" si="3"/>
        <v>6.1463414634146618E-2</v>
      </c>
      <c r="W59" s="81">
        <f t="shared" si="3"/>
        <v>6.1463414634146618E-2</v>
      </c>
      <c r="X59" s="81">
        <f t="shared" si="3"/>
        <v>6.1463414634146618E-2</v>
      </c>
      <c r="Y59" s="81">
        <f t="shared" si="3"/>
        <v>6.1463414634146618E-2</v>
      </c>
      <c r="Z59" s="81">
        <f t="shared" si="3"/>
        <v>6.1463414634146618E-2</v>
      </c>
      <c r="AA59" s="81">
        <f t="shared" si="3"/>
        <v>6.1463414634146618E-2</v>
      </c>
      <c r="AB59" s="81">
        <f t="shared" si="3"/>
        <v>6.1463414634146618E-2</v>
      </c>
      <c r="AC59" s="81">
        <f t="shared" si="3"/>
        <v>6.1463414634146618E-2</v>
      </c>
      <c r="AD59" s="81">
        <f t="shared" si="3"/>
        <v>6.1463414634146618E-2</v>
      </c>
      <c r="AE59" s="81">
        <f t="shared" si="3"/>
        <v>6.1463414634146618E-2</v>
      </c>
      <c r="AF59" s="81">
        <f t="shared" si="3"/>
        <v>6.1463414634146618E-2</v>
      </c>
      <c r="AG59" s="81">
        <f t="shared" si="3"/>
        <v>6.1463414634146618E-2</v>
      </c>
      <c r="AH59" s="81">
        <f t="shared" si="3"/>
        <v>6.1463414634146618E-2</v>
      </c>
      <c r="AI59" s="81">
        <f t="shared" si="3"/>
        <v>6.1463414634146618E-2</v>
      </c>
      <c r="AJ59" s="81">
        <f t="shared" si="3"/>
        <v>6.1463414634146618E-2</v>
      </c>
      <c r="AK59" s="81">
        <f t="shared" si="3"/>
        <v>6.1463414634146618E-2</v>
      </c>
      <c r="AL59" s="81">
        <f t="shared" si="3"/>
        <v>6.1463414634146618E-2</v>
      </c>
      <c r="AM59" s="81">
        <f t="shared" si="3"/>
        <v>6.1463414634146618E-2</v>
      </c>
      <c r="AN59" s="81">
        <f t="shared" si="3"/>
        <v>6.1463414634146618E-2</v>
      </c>
      <c r="AO59" s="81">
        <f t="shared" si="3"/>
        <v>6.1463414634146618E-2</v>
      </c>
      <c r="AP59" s="81">
        <f t="shared" si="3"/>
        <v>6.1463414634146618E-2</v>
      </c>
      <c r="AQ59" s="81">
        <f t="shared" si="3"/>
        <v>6.1463414634146618E-2</v>
      </c>
    </row>
    <row r="60" spans="7:43" ht="14.25" hidden="1" customHeight="1" x14ac:dyDescent="0.2">
      <c r="G60" s="7"/>
      <c r="H60" s="190"/>
      <c r="J60" s="206"/>
      <c r="K60" s="47" t="s">
        <v>111</v>
      </c>
      <c r="L60" s="47" t="s">
        <v>66</v>
      </c>
      <c r="M60" s="81">
        <f t="shared" ref="M60:AQ60" si="4">(1+M57)/(1+M$48) - 1</f>
        <v>6.1463414634146618E-2</v>
      </c>
      <c r="N60" s="81">
        <f t="shared" si="4"/>
        <v>6.1463414634146618E-2</v>
      </c>
      <c r="O60" s="81">
        <f t="shared" si="4"/>
        <v>6.1463414634146618E-2</v>
      </c>
      <c r="P60" s="81">
        <f t="shared" si="4"/>
        <v>6.1463414634146618E-2</v>
      </c>
      <c r="Q60" s="81">
        <f t="shared" si="4"/>
        <v>6.1463414634146618E-2</v>
      </c>
      <c r="R60" s="81">
        <f t="shared" si="4"/>
        <v>6.1463414634146618E-2</v>
      </c>
      <c r="S60" s="81">
        <f t="shared" si="4"/>
        <v>6.1463414634146618E-2</v>
      </c>
      <c r="T60" s="81">
        <f t="shared" si="4"/>
        <v>6.1463414634146618E-2</v>
      </c>
      <c r="U60" s="81">
        <f t="shared" si="4"/>
        <v>6.1463414634146618E-2</v>
      </c>
      <c r="V60" s="81">
        <f t="shared" si="4"/>
        <v>6.1463414634146618E-2</v>
      </c>
      <c r="W60" s="81">
        <f t="shared" si="4"/>
        <v>6.1463414634146618E-2</v>
      </c>
      <c r="X60" s="81">
        <f t="shared" si="4"/>
        <v>6.1463414634146618E-2</v>
      </c>
      <c r="Y60" s="81">
        <f t="shared" si="4"/>
        <v>6.1463414634146618E-2</v>
      </c>
      <c r="Z60" s="81">
        <f t="shared" si="4"/>
        <v>6.1463414634146618E-2</v>
      </c>
      <c r="AA60" s="81">
        <f t="shared" si="4"/>
        <v>6.1463414634146618E-2</v>
      </c>
      <c r="AB60" s="81">
        <f t="shared" si="4"/>
        <v>6.1463414634146618E-2</v>
      </c>
      <c r="AC60" s="81">
        <f t="shared" si="4"/>
        <v>6.1463414634146618E-2</v>
      </c>
      <c r="AD60" s="81">
        <f t="shared" si="4"/>
        <v>6.1463414634146618E-2</v>
      </c>
      <c r="AE60" s="81">
        <f t="shared" si="4"/>
        <v>6.1463414634146618E-2</v>
      </c>
      <c r="AF60" s="81">
        <f t="shared" si="4"/>
        <v>6.1463414634146618E-2</v>
      </c>
      <c r="AG60" s="81">
        <f t="shared" si="4"/>
        <v>6.1463414634146618E-2</v>
      </c>
      <c r="AH60" s="81">
        <f t="shared" si="4"/>
        <v>6.1463414634146618E-2</v>
      </c>
      <c r="AI60" s="81">
        <f t="shared" si="4"/>
        <v>6.1463414634146618E-2</v>
      </c>
      <c r="AJ60" s="81">
        <f t="shared" si="4"/>
        <v>6.1463414634146618E-2</v>
      </c>
      <c r="AK60" s="81">
        <f t="shared" si="4"/>
        <v>6.1463414634146618E-2</v>
      </c>
      <c r="AL60" s="81">
        <f t="shared" si="4"/>
        <v>6.1463414634146618E-2</v>
      </c>
      <c r="AM60" s="81">
        <f t="shared" si="4"/>
        <v>6.1463414634146618E-2</v>
      </c>
      <c r="AN60" s="81">
        <f t="shared" si="4"/>
        <v>6.1463414634146618E-2</v>
      </c>
      <c r="AO60" s="81">
        <f t="shared" si="4"/>
        <v>6.1463414634146618E-2</v>
      </c>
      <c r="AP60" s="81">
        <f t="shared" si="4"/>
        <v>6.1463414634146618E-2</v>
      </c>
      <c r="AQ60" s="81">
        <f t="shared" si="4"/>
        <v>6.1463414634146618E-2</v>
      </c>
    </row>
    <row r="61" spans="7:43" ht="14.25" hidden="1" customHeight="1" x14ac:dyDescent="0.2">
      <c r="G61" s="7"/>
      <c r="H61" s="190"/>
      <c r="J61" s="206"/>
      <c r="K61" s="47" t="s">
        <v>111</v>
      </c>
      <c r="L61" s="47" t="s">
        <v>62</v>
      </c>
      <c r="M61" s="81">
        <f t="shared" ref="M61:AQ61" si="5">(1+M58)/(1+M$48) - 1</f>
        <v>6.1463414634146618E-2</v>
      </c>
      <c r="N61" s="81">
        <f t="shared" si="5"/>
        <v>6.1463414634146618E-2</v>
      </c>
      <c r="O61" s="81">
        <f t="shared" si="5"/>
        <v>6.1463414634146618E-2</v>
      </c>
      <c r="P61" s="81">
        <f t="shared" si="5"/>
        <v>6.1463414634146618E-2</v>
      </c>
      <c r="Q61" s="81">
        <f t="shared" si="5"/>
        <v>6.1463414634146618E-2</v>
      </c>
      <c r="R61" s="81">
        <f t="shared" si="5"/>
        <v>6.1463414634146618E-2</v>
      </c>
      <c r="S61" s="81">
        <f t="shared" si="5"/>
        <v>6.1463414634146618E-2</v>
      </c>
      <c r="T61" s="81">
        <f t="shared" si="5"/>
        <v>6.1463414634146618E-2</v>
      </c>
      <c r="U61" s="81">
        <f t="shared" si="5"/>
        <v>6.1463414634146618E-2</v>
      </c>
      <c r="V61" s="81">
        <f t="shared" si="5"/>
        <v>6.1463414634146618E-2</v>
      </c>
      <c r="W61" s="81">
        <f t="shared" si="5"/>
        <v>6.1463414634146618E-2</v>
      </c>
      <c r="X61" s="81">
        <f t="shared" si="5"/>
        <v>6.1463414634146618E-2</v>
      </c>
      <c r="Y61" s="81">
        <f t="shared" si="5"/>
        <v>6.1463414634146618E-2</v>
      </c>
      <c r="Z61" s="81">
        <f t="shared" si="5"/>
        <v>6.1463414634146618E-2</v>
      </c>
      <c r="AA61" s="81">
        <f t="shared" si="5"/>
        <v>6.1463414634146618E-2</v>
      </c>
      <c r="AB61" s="81">
        <f t="shared" si="5"/>
        <v>6.1463414634146618E-2</v>
      </c>
      <c r="AC61" s="81">
        <f t="shared" si="5"/>
        <v>6.1463414634146618E-2</v>
      </c>
      <c r="AD61" s="81">
        <f t="shared" si="5"/>
        <v>6.1463414634146618E-2</v>
      </c>
      <c r="AE61" s="81">
        <f t="shared" si="5"/>
        <v>6.1463414634146618E-2</v>
      </c>
      <c r="AF61" s="81">
        <f t="shared" si="5"/>
        <v>6.1463414634146618E-2</v>
      </c>
      <c r="AG61" s="81">
        <f t="shared" si="5"/>
        <v>6.1463414634146618E-2</v>
      </c>
      <c r="AH61" s="81">
        <f t="shared" si="5"/>
        <v>6.1463414634146618E-2</v>
      </c>
      <c r="AI61" s="81">
        <f t="shared" si="5"/>
        <v>6.1463414634146618E-2</v>
      </c>
      <c r="AJ61" s="81">
        <f t="shared" si="5"/>
        <v>6.1463414634146618E-2</v>
      </c>
      <c r="AK61" s="81">
        <f t="shared" si="5"/>
        <v>6.1463414634146618E-2</v>
      </c>
      <c r="AL61" s="81">
        <f t="shared" si="5"/>
        <v>6.1463414634146618E-2</v>
      </c>
      <c r="AM61" s="81">
        <f t="shared" si="5"/>
        <v>6.1463414634146618E-2</v>
      </c>
      <c r="AN61" s="81">
        <f t="shared" si="5"/>
        <v>6.1463414634146618E-2</v>
      </c>
      <c r="AO61" s="81">
        <f t="shared" si="5"/>
        <v>6.1463414634146618E-2</v>
      </c>
      <c r="AP61" s="81">
        <f t="shared" si="5"/>
        <v>6.1463414634146618E-2</v>
      </c>
      <c r="AQ61" s="81">
        <f t="shared" si="5"/>
        <v>6.1463414634146618E-2</v>
      </c>
    </row>
    <row r="62" spans="7:43" ht="14.25" hidden="1" customHeight="1" x14ac:dyDescent="0.15">
      <c r="G62" s="7"/>
      <c r="H62" s="190"/>
      <c r="J62" s="206"/>
      <c r="K62" s="47" t="s">
        <v>110</v>
      </c>
      <c r="L62" s="47" t="s">
        <v>67</v>
      </c>
      <c r="M62" s="82">
        <f>IF($S$34="Market",'[2]WACC Calc'!F382,'[2]WACC Calc'!F564)</f>
        <v>0.53694430872108401</v>
      </c>
      <c r="N62" s="82">
        <f>IF($S$34="Market",'[2]WACC Calc'!G382,'[2]WACC Calc'!G564)</f>
        <v>0.53694430872108401</v>
      </c>
      <c r="O62" s="82">
        <f>IF($S$34="Market",'[2]WACC Calc'!H382,'[2]WACC Calc'!H564)</f>
        <v>0.53694430872108401</v>
      </c>
      <c r="P62" s="82">
        <f>IF($S$34="Market",'[2]WACC Calc'!I382,'[2]WACC Calc'!I564)</f>
        <v>0.53694430872108401</v>
      </c>
      <c r="Q62" s="82">
        <f>IF($S$34="Market",'[2]WACC Calc'!J382,'[2]WACC Calc'!J564)</f>
        <v>0.56650043095204661</v>
      </c>
      <c r="R62" s="82">
        <f>IF($S$34="Market",'[2]WACC Calc'!K382,'[2]WACC Calc'!K564)</f>
        <v>0.56650043095204661</v>
      </c>
      <c r="S62" s="82">
        <f>IF($S$34="Market",'[2]WACC Calc'!L382,'[2]WACC Calc'!L564)</f>
        <v>0.68472491987589723</v>
      </c>
      <c r="T62" s="82">
        <f>IF($S$34="Market",'[2]WACC Calc'!M382,'[2]WACC Calc'!M564)</f>
        <v>0.6810640481543333</v>
      </c>
      <c r="U62" s="82">
        <f>IF($S$34="Market",'[2]WACC Calc'!N382,'[2]WACC Calc'!N564)</f>
        <v>0.67740317643276937</v>
      </c>
      <c r="V62" s="82">
        <f>IF($S$34="Market",'[2]WACC Calc'!O382,'[2]WACC Calc'!O564)</f>
        <v>0.67374230471120544</v>
      </c>
      <c r="W62" s="82">
        <f>IF($S$34="Market",'[2]WACC Calc'!P382,'[2]WACC Calc'!P564)</f>
        <v>0.6700814329896414</v>
      </c>
      <c r="X62" s="82">
        <f>IF($S$34="Market",'[2]WACC Calc'!Q382,'[2]WACC Calc'!Q564)</f>
        <v>0.6700814329896414</v>
      </c>
      <c r="Y62" s="82">
        <f>IF($S$34="Market",'[2]WACC Calc'!R382,'[2]WACC Calc'!R564)</f>
        <v>0.6700814329896414</v>
      </c>
      <c r="Z62" s="82">
        <f>IF($S$34="Market",'[2]WACC Calc'!S382,'[2]WACC Calc'!S564)</f>
        <v>0.6700814329896414</v>
      </c>
      <c r="AA62" s="82">
        <f>IF($S$34="Market",'[2]WACC Calc'!T382,'[2]WACC Calc'!T564)</f>
        <v>0.6700814329896414</v>
      </c>
      <c r="AB62" s="82">
        <f>IF($S$34="Market",'[2]WACC Calc'!U382,'[2]WACC Calc'!U564)</f>
        <v>0.6700814329896414</v>
      </c>
      <c r="AC62" s="82">
        <f>IF($S$34="Market",'[2]WACC Calc'!V382,'[2]WACC Calc'!V564)</f>
        <v>0.6700814329896414</v>
      </c>
      <c r="AD62" s="82">
        <f>IF($S$34="Market",'[2]WACC Calc'!W382,'[2]WACC Calc'!W564)</f>
        <v>0.6700814329896414</v>
      </c>
      <c r="AE62" s="82">
        <f>IF($S$34="Market",'[2]WACC Calc'!X382,'[2]WACC Calc'!X564)</f>
        <v>0.6700814329896414</v>
      </c>
      <c r="AF62" s="82">
        <f>IF($S$34="Market",'[2]WACC Calc'!Y382,'[2]WACC Calc'!Y564)</f>
        <v>0.6700814329896414</v>
      </c>
      <c r="AG62" s="82">
        <f>IF($S$34="Market",'[2]WACC Calc'!Z382,'[2]WACC Calc'!Z564)</f>
        <v>0.6700814329896414</v>
      </c>
      <c r="AH62" s="82">
        <f>IF($S$34="Market",'[2]WACC Calc'!AA382,'[2]WACC Calc'!AA564)</f>
        <v>0.6700814329896414</v>
      </c>
      <c r="AI62" s="82">
        <f>IF($S$34="Market",'[2]WACC Calc'!AB382,'[2]WACC Calc'!AB564)</f>
        <v>0.6700814329896414</v>
      </c>
      <c r="AJ62" s="82">
        <f>IF($S$34="Market",'[2]WACC Calc'!AC382,'[2]WACC Calc'!AC564)</f>
        <v>0.6700814329896414</v>
      </c>
      <c r="AK62" s="82">
        <f>IF($S$34="Market",'[2]WACC Calc'!AD382,'[2]WACC Calc'!AD564)</f>
        <v>0.6700814329896414</v>
      </c>
      <c r="AL62" s="82">
        <f>IF($S$34="Market",'[2]WACC Calc'!AE382,'[2]WACC Calc'!AE564)</f>
        <v>0.6700814329896414</v>
      </c>
      <c r="AM62" s="82">
        <f>IF($S$34="Market",'[2]WACC Calc'!AF382,'[2]WACC Calc'!AF564)</f>
        <v>0.6700814329896414</v>
      </c>
      <c r="AN62" s="82">
        <f>IF($S$34="Market",'[2]WACC Calc'!AG382,'[2]WACC Calc'!AG564)</f>
        <v>0.6700814329896414</v>
      </c>
      <c r="AO62" s="82">
        <f>IF($S$34="Market",'[2]WACC Calc'!AH382,'[2]WACC Calc'!AH564)</f>
        <v>0.6700814329896414</v>
      </c>
      <c r="AP62" s="82">
        <f>IF($S$34="Market",'[2]WACC Calc'!AI382,'[2]WACC Calc'!AI564)</f>
        <v>0.6700814329896414</v>
      </c>
      <c r="AQ62" s="82">
        <f>IF($S$34="Market",'[2]WACC Calc'!AJ382,'[2]WACC Calc'!AJ564)</f>
        <v>0.6700814329896414</v>
      </c>
    </row>
    <row r="63" spans="7:43" ht="14.25" hidden="1" customHeight="1" x14ac:dyDescent="0.15">
      <c r="G63" s="7"/>
      <c r="H63" s="190"/>
      <c r="J63" s="206"/>
      <c r="K63" s="47" t="s">
        <v>110</v>
      </c>
      <c r="L63" s="47" t="s">
        <v>66</v>
      </c>
      <c r="M63" s="82">
        <f>IF($S$34="Market",'[2]WACC Calc'!F383,'[2]WACC Calc'!F565)</f>
        <v>0.53694430872108401</v>
      </c>
      <c r="N63" s="82">
        <f>IF($S$34="Market",'[2]WACC Calc'!G383,'[2]WACC Calc'!G565)</f>
        <v>0.53694430872108401</v>
      </c>
      <c r="O63" s="82">
        <f>IF($S$34="Market",'[2]WACC Calc'!H383,'[2]WACC Calc'!H565)</f>
        <v>0.53694430872108401</v>
      </c>
      <c r="P63" s="82">
        <f>IF($S$34="Market",'[2]WACC Calc'!I383,'[2]WACC Calc'!I565)</f>
        <v>0.53694430872108401</v>
      </c>
      <c r="Q63" s="82">
        <f>IF($S$34="Market",'[2]WACC Calc'!J383,'[2]WACC Calc'!J565)</f>
        <v>0.56650043095204661</v>
      </c>
      <c r="R63" s="82">
        <f>IF($S$34="Market",'[2]WACC Calc'!K383,'[2]WACC Calc'!K565)</f>
        <v>0.56650043095204661</v>
      </c>
      <c r="S63" s="82">
        <f>IF($S$34="Market",'[2]WACC Calc'!L383,'[2]WACC Calc'!L565)</f>
        <v>0.68472491987589723</v>
      </c>
      <c r="T63" s="82">
        <f>IF($S$34="Market",'[2]WACC Calc'!M383,'[2]WACC Calc'!M565)</f>
        <v>0.6810640481543333</v>
      </c>
      <c r="U63" s="82">
        <f>IF($S$34="Market",'[2]WACC Calc'!N383,'[2]WACC Calc'!N565)</f>
        <v>0.67740317643276937</v>
      </c>
      <c r="V63" s="82">
        <f>IF($S$34="Market",'[2]WACC Calc'!O383,'[2]WACC Calc'!O565)</f>
        <v>0.67374230471120544</v>
      </c>
      <c r="W63" s="82">
        <f>IF($S$34="Market",'[2]WACC Calc'!P383,'[2]WACC Calc'!P565)</f>
        <v>0.6700814329896414</v>
      </c>
      <c r="X63" s="82">
        <f>IF($S$34="Market",'[2]WACC Calc'!Q383,'[2]WACC Calc'!Q565)</f>
        <v>0.6700814329896414</v>
      </c>
      <c r="Y63" s="82">
        <f>IF($S$34="Market",'[2]WACC Calc'!R383,'[2]WACC Calc'!R565)</f>
        <v>0.6700814329896414</v>
      </c>
      <c r="Z63" s="82">
        <f>IF($S$34="Market",'[2]WACC Calc'!S383,'[2]WACC Calc'!S565)</f>
        <v>0.6700814329896414</v>
      </c>
      <c r="AA63" s="82">
        <f>IF($S$34="Market",'[2]WACC Calc'!T383,'[2]WACC Calc'!T565)</f>
        <v>0.6700814329896414</v>
      </c>
      <c r="AB63" s="82">
        <f>IF($S$34="Market",'[2]WACC Calc'!U383,'[2]WACC Calc'!U565)</f>
        <v>0.6700814329896414</v>
      </c>
      <c r="AC63" s="82">
        <f>IF($S$34="Market",'[2]WACC Calc'!V383,'[2]WACC Calc'!V565)</f>
        <v>0.6700814329896414</v>
      </c>
      <c r="AD63" s="82">
        <f>IF($S$34="Market",'[2]WACC Calc'!W383,'[2]WACC Calc'!W565)</f>
        <v>0.6700814329896414</v>
      </c>
      <c r="AE63" s="82">
        <f>IF($S$34="Market",'[2]WACC Calc'!X383,'[2]WACC Calc'!X565)</f>
        <v>0.6700814329896414</v>
      </c>
      <c r="AF63" s="82">
        <f>IF($S$34="Market",'[2]WACC Calc'!Y383,'[2]WACC Calc'!Y565)</f>
        <v>0.6700814329896414</v>
      </c>
      <c r="AG63" s="82">
        <f>IF($S$34="Market",'[2]WACC Calc'!Z383,'[2]WACC Calc'!Z565)</f>
        <v>0.6700814329896414</v>
      </c>
      <c r="AH63" s="82">
        <f>IF($S$34="Market",'[2]WACC Calc'!AA383,'[2]WACC Calc'!AA565)</f>
        <v>0.6700814329896414</v>
      </c>
      <c r="AI63" s="82">
        <f>IF($S$34="Market",'[2]WACC Calc'!AB383,'[2]WACC Calc'!AB565)</f>
        <v>0.6700814329896414</v>
      </c>
      <c r="AJ63" s="82">
        <f>IF($S$34="Market",'[2]WACC Calc'!AC383,'[2]WACC Calc'!AC565)</f>
        <v>0.6700814329896414</v>
      </c>
      <c r="AK63" s="82">
        <f>IF($S$34="Market",'[2]WACC Calc'!AD383,'[2]WACC Calc'!AD565)</f>
        <v>0.6700814329896414</v>
      </c>
      <c r="AL63" s="82">
        <f>IF($S$34="Market",'[2]WACC Calc'!AE383,'[2]WACC Calc'!AE565)</f>
        <v>0.6700814329896414</v>
      </c>
      <c r="AM63" s="82">
        <f>IF($S$34="Market",'[2]WACC Calc'!AF383,'[2]WACC Calc'!AF565)</f>
        <v>0.6700814329896414</v>
      </c>
      <c r="AN63" s="82">
        <f>IF($S$34="Market",'[2]WACC Calc'!AG383,'[2]WACC Calc'!AG565)</f>
        <v>0.6700814329896414</v>
      </c>
      <c r="AO63" s="82">
        <f>IF($S$34="Market",'[2]WACC Calc'!AH383,'[2]WACC Calc'!AH565)</f>
        <v>0.6700814329896414</v>
      </c>
      <c r="AP63" s="82">
        <f>IF($S$34="Market",'[2]WACC Calc'!AI383,'[2]WACC Calc'!AI565)</f>
        <v>0.6700814329896414</v>
      </c>
      <c r="AQ63" s="82">
        <f>IF($S$34="Market",'[2]WACC Calc'!AJ383,'[2]WACC Calc'!AJ565)</f>
        <v>0.6700814329896414</v>
      </c>
    </row>
    <row r="64" spans="7:43" ht="14.25" hidden="1" customHeight="1" x14ac:dyDescent="0.15">
      <c r="G64" s="7"/>
      <c r="H64" s="190"/>
      <c r="J64" s="206"/>
      <c r="K64" s="47" t="s">
        <v>110</v>
      </c>
      <c r="L64" s="47" t="s">
        <v>62</v>
      </c>
      <c r="M64" s="82">
        <f>IF($S$34="Market",'[2]WACC Calc'!F384,'[2]WACC Calc'!F566)</f>
        <v>0.53694430872108401</v>
      </c>
      <c r="N64" s="82">
        <f>IF($S$34="Market",'[2]WACC Calc'!G384,'[2]WACC Calc'!G566)</f>
        <v>0.53694430872108401</v>
      </c>
      <c r="O64" s="82">
        <f>IF($S$34="Market",'[2]WACC Calc'!H384,'[2]WACC Calc'!H566)</f>
        <v>0.53694430872108401</v>
      </c>
      <c r="P64" s="82">
        <f>IF($S$34="Market",'[2]WACC Calc'!I384,'[2]WACC Calc'!I566)</f>
        <v>0.53694430872108401</v>
      </c>
      <c r="Q64" s="82">
        <f>IF($S$34="Market",'[2]WACC Calc'!J384,'[2]WACC Calc'!J566)</f>
        <v>0.56650043095204661</v>
      </c>
      <c r="R64" s="82">
        <f>IF($S$34="Market",'[2]WACC Calc'!K384,'[2]WACC Calc'!K566)</f>
        <v>0.56650043095204661</v>
      </c>
      <c r="S64" s="82">
        <f>IF($S$34="Market",'[2]WACC Calc'!L384,'[2]WACC Calc'!L566)</f>
        <v>0.68472491987589723</v>
      </c>
      <c r="T64" s="82">
        <f>IF($S$34="Market",'[2]WACC Calc'!M384,'[2]WACC Calc'!M566)</f>
        <v>0.6810640481543333</v>
      </c>
      <c r="U64" s="82">
        <f>IF($S$34="Market",'[2]WACC Calc'!N384,'[2]WACC Calc'!N566)</f>
        <v>0.67740317643276937</v>
      </c>
      <c r="V64" s="82">
        <f>IF($S$34="Market",'[2]WACC Calc'!O384,'[2]WACC Calc'!O566)</f>
        <v>0.67374230471120544</v>
      </c>
      <c r="W64" s="82">
        <f>IF($S$34="Market",'[2]WACC Calc'!P384,'[2]WACC Calc'!P566)</f>
        <v>0.6700814329896414</v>
      </c>
      <c r="X64" s="82">
        <f>IF($S$34="Market",'[2]WACC Calc'!Q384,'[2]WACC Calc'!Q566)</f>
        <v>0.6700814329896414</v>
      </c>
      <c r="Y64" s="82">
        <f>IF($S$34="Market",'[2]WACC Calc'!R384,'[2]WACC Calc'!R566)</f>
        <v>0.6700814329896414</v>
      </c>
      <c r="Z64" s="82">
        <f>IF($S$34="Market",'[2]WACC Calc'!S384,'[2]WACC Calc'!S566)</f>
        <v>0.6700814329896414</v>
      </c>
      <c r="AA64" s="82">
        <f>IF($S$34="Market",'[2]WACC Calc'!T384,'[2]WACC Calc'!T566)</f>
        <v>0.6700814329896414</v>
      </c>
      <c r="AB64" s="82">
        <f>IF($S$34="Market",'[2]WACC Calc'!U384,'[2]WACC Calc'!U566)</f>
        <v>0.6700814329896414</v>
      </c>
      <c r="AC64" s="82">
        <f>IF($S$34="Market",'[2]WACC Calc'!V384,'[2]WACC Calc'!V566)</f>
        <v>0.6700814329896414</v>
      </c>
      <c r="AD64" s="82">
        <f>IF($S$34="Market",'[2]WACC Calc'!W384,'[2]WACC Calc'!W566)</f>
        <v>0.6700814329896414</v>
      </c>
      <c r="AE64" s="82">
        <f>IF($S$34="Market",'[2]WACC Calc'!X384,'[2]WACC Calc'!X566)</f>
        <v>0.6700814329896414</v>
      </c>
      <c r="AF64" s="82">
        <f>IF($S$34="Market",'[2]WACC Calc'!Y384,'[2]WACC Calc'!Y566)</f>
        <v>0.6700814329896414</v>
      </c>
      <c r="AG64" s="82">
        <f>IF($S$34="Market",'[2]WACC Calc'!Z384,'[2]WACC Calc'!Z566)</f>
        <v>0.6700814329896414</v>
      </c>
      <c r="AH64" s="82">
        <f>IF($S$34="Market",'[2]WACC Calc'!AA384,'[2]WACC Calc'!AA566)</f>
        <v>0.6700814329896414</v>
      </c>
      <c r="AI64" s="82">
        <f>IF($S$34="Market",'[2]WACC Calc'!AB384,'[2]WACC Calc'!AB566)</f>
        <v>0.6700814329896414</v>
      </c>
      <c r="AJ64" s="82">
        <f>IF($S$34="Market",'[2]WACC Calc'!AC384,'[2]WACC Calc'!AC566)</f>
        <v>0.6700814329896414</v>
      </c>
      <c r="AK64" s="82">
        <f>IF($S$34="Market",'[2]WACC Calc'!AD384,'[2]WACC Calc'!AD566)</f>
        <v>0.6700814329896414</v>
      </c>
      <c r="AL64" s="82">
        <f>IF($S$34="Market",'[2]WACC Calc'!AE384,'[2]WACC Calc'!AE566)</f>
        <v>0.6700814329896414</v>
      </c>
      <c r="AM64" s="82">
        <f>IF($S$34="Market",'[2]WACC Calc'!AF384,'[2]WACC Calc'!AF566)</f>
        <v>0.6700814329896414</v>
      </c>
      <c r="AN64" s="82">
        <f>IF($S$34="Market",'[2]WACC Calc'!AG384,'[2]WACC Calc'!AG566)</f>
        <v>0.6700814329896414</v>
      </c>
      <c r="AO64" s="82">
        <f>IF($S$34="Market",'[2]WACC Calc'!AH384,'[2]WACC Calc'!AH566)</f>
        <v>0.6700814329896414</v>
      </c>
      <c r="AP64" s="82">
        <f>IF($S$34="Market",'[2]WACC Calc'!AI384,'[2]WACC Calc'!AI566)</f>
        <v>0.6700814329896414</v>
      </c>
      <c r="AQ64" s="82">
        <f>IF($S$34="Market",'[2]WACC Calc'!AJ384,'[2]WACC Calc'!AJ566)</f>
        <v>0.6700814329896414</v>
      </c>
    </row>
    <row r="65" spans="7:43" ht="14.25" hidden="1" customHeight="1" x14ac:dyDescent="0.15">
      <c r="G65" s="7"/>
      <c r="H65" s="190"/>
      <c r="J65" s="206"/>
      <c r="K65" s="47" t="s">
        <v>109</v>
      </c>
      <c r="L65" s="47" t="s">
        <v>68</v>
      </c>
      <c r="M65" s="82">
        <f>IF($S$34="Market",'[2]WACC Calc'!F385,'[2]WACC Calc'!F567)</f>
        <v>0.25739999999999996</v>
      </c>
      <c r="N65" s="82">
        <f>IF($S$34="Market",'[2]WACC Calc'!G385,'[2]WACC Calc'!G567)</f>
        <v>0.25739999999999996</v>
      </c>
      <c r="O65" s="82">
        <f>IF($S$34="Market",'[2]WACC Calc'!H385,'[2]WACC Calc'!H567)</f>
        <v>0.25739999999999996</v>
      </c>
      <c r="P65" s="82">
        <f>IF($S$34="Market",'[2]WACC Calc'!I385,'[2]WACC Calc'!I567)</f>
        <v>0.25739999999999996</v>
      </c>
      <c r="Q65" s="82">
        <f>IF($S$34="Market",'[2]WACC Calc'!J385,'[2]WACC Calc'!J567)</f>
        <v>0.25739999999999996</v>
      </c>
      <c r="R65" s="82">
        <f>IF($S$34="Market",'[2]WACC Calc'!K385,'[2]WACC Calc'!K567)</f>
        <v>0.25739999999999996</v>
      </c>
      <c r="S65" s="82">
        <f>IF($S$34="Market",'[2]WACC Calc'!L385,'[2]WACC Calc'!L567)</f>
        <v>0.25739999999999996</v>
      </c>
      <c r="T65" s="82">
        <f>IF($S$34="Market",'[2]WACC Calc'!M385,'[2]WACC Calc'!M567)</f>
        <v>0.25739999999999996</v>
      </c>
      <c r="U65" s="82">
        <f>IF($S$34="Market",'[2]WACC Calc'!N385,'[2]WACC Calc'!N567)</f>
        <v>0.25739999999999996</v>
      </c>
      <c r="V65" s="82">
        <f>IF($S$34="Market",'[2]WACC Calc'!O385,'[2]WACC Calc'!O567)</f>
        <v>0.25739999999999996</v>
      </c>
      <c r="W65" s="82">
        <f>IF($S$34="Market",'[2]WACC Calc'!P385,'[2]WACC Calc'!P567)</f>
        <v>0.25739999999999996</v>
      </c>
      <c r="X65" s="82">
        <f>IF($S$34="Market",'[2]WACC Calc'!Q385,'[2]WACC Calc'!Q567)</f>
        <v>0.25739999999999996</v>
      </c>
      <c r="Y65" s="82">
        <f>IF($S$34="Market",'[2]WACC Calc'!R385,'[2]WACC Calc'!R567)</f>
        <v>0.25739999999999996</v>
      </c>
      <c r="Z65" s="82">
        <f>IF($S$34="Market",'[2]WACC Calc'!S385,'[2]WACC Calc'!S567)</f>
        <v>0.25739999999999996</v>
      </c>
      <c r="AA65" s="82">
        <f>IF($S$34="Market",'[2]WACC Calc'!T385,'[2]WACC Calc'!T567)</f>
        <v>0.25739999999999996</v>
      </c>
      <c r="AB65" s="82">
        <f>IF($S$34="Market",'[2]WACC Calc'!U385,'[2]WACC Calc'!U567)</f>
        <v>0.25739999999999996</v>
      </c>
      <c r="AC65" s="82">
        <f>IF($S$34="Market",'[2]WACC Calc'!V385,'[2]WACC Calc'!V567)</f>
        <v>0.25739999999999996</v>
      </c>
      <c r="AD65" s="82">
        <f>IF($S$34="Market",'[2]WACC Calc'!W385,'[2]WACC Calc'!W567)</f>
        <v>0.25739999999999996</v>
      </c>
      <c r="AE65" s="82">
        <f>IF($S$34="Market",'[2]WACC Calc'!X385,'[2]WACC Calc'!X567)</f>
        <v>0.25739999999999996</v>
      </c>
      <c r="AF65" s="82">
        <f>IF($S$34="Market",'[2]WACC Calc'!Y385,'[2]WACC Calc'!Y567)</f>
        <v>0.25739999999999996</v>
      </c>
      <c r="AG65" s="82">
        <f>IF($S$34="Market",'[2]WACC Calc'!Z385,'[2]WACC Calc'!Z567)</f>
        <v>0.25739999999999996</v>
      </c>
      <c r="AH65" s="82">
        <f>IF($S$34="Market",'[2]WACC Calc'!AA385,'[2]WACC Calc'!AA567)</f>
        <v>0.25739999999999996</v>
      </c>
      <c r="AI65" s="82">
        <f>IF($S$34="Market",'[2]WACC Calc'!AB385,'[2]WACC Calc'!AB567)</f>
        <v>0.25739999999999996</v>
      </c>
      <c r="AJ65" s="82">
        <f>IF($S$34="Market",'[2]WACC Calc'!AC385,'[2]WACC Calc'!AC567)</f>
        <v>0.25739999999999996</v>
      </c>
      <c r="AK65" s="82">
        <f>IF($S$34="Market",'[2]WACC Calc'!AD385,'[2]WACC Calc'!AD567)</f>
        <v>0.25739999999999996</v>
      </c>
      <c r="AL65" s="82">
        <f>IF($S$34="Market",'[2]WACC Calc'!AE385,'[2]WACC Calc'!AE567)</f>
        <v>0.25739999999999996</v>
      </c>
      <c r="AM65" s="82">
        <f>IF($S$34="Market",'[2]WACC Calc'!AF385,'[2]WACC Calc'!AF567)</f>
        <v>0.25739999999999996</v>
      </c>
      <c r="AN65" s="82">
        <f>IF($S$34="Market",'[2]WACC Calc'!AG385,'[2]WACC Calc'!AG567)</f>
        <v>0.25739999999999996</v>
      </c>
      <c r="AO65" s="82">
        <f>IF($S$34="Market",'[2]WACC Calc'!AH385,'[2]WACC Calc'!AH567)</f>
        <v>0.25739999999999996</v>
      </c>
      <c r="AP65" s="82">
        <f>IF($S$34="Market",'[2]WACC Calc'!AI385,'[2]WACC Calc'!AI567)</f>
        <v>0.25739999999999996</v>
      </c>
      <c r="AQ65" s="82">
        <f>IF($S$34="Market",'[2]WACC Calc'!AJ385,'[2]WACC Calc'!AJ567)</f>
        <v>0.25739999999999996</v>
      </c>
    </row>
    <row r="66" spans="7:43" ht="14.25" hidden="1" customHeight="1" x14ac:dyDescent="0.15">
      <c r="G66" s="7"/>
      <c r="H66" s="190"/>
      <c r="J66" s="206"/>
      <c r="K66" s="47" t="s">
        <v>108</v>
      </c>
      <c r="L66" s="47" t="s">
        <v>67</v>
      </c>
      <c r="M66" s="76">
        <f t="shared" ref="M66:AQ66" si="6">M62*M49*(1-M$65)+(1-M62)*(M56)</f>
        <v>5.6698294578795688E-2</v>
      </c>
      <c r="N66" s="76">
        <f t="shared" si="6"/>
        <v>5.6698294578795688E-2</v>
      </c>
      <c r="O66" s="76">
        <f t="shared" si="6"/>
        <v>5.6698294578795688E-2</v>
      </c>
      <c r="P66" s="76">
        <f t="shared" si="6"/>
        <v>5.6698294578795688E-2</v>
      </c>
      <c r="Q66" s="76">
        <f t="shared" si="6"/>
        <v>5.4975290877219488E-2</v>
      </c>
      <c r="R66" s="76">
        <f t="shared" si="6"/>
        <v>5.4975290877219488E-2</v>
      </c>
      <c r="S66" s="76">
        <f t="shared" si="6"/>
        <v>4.9100229521914382E-2</v>
      </c>
      <c r="T66" s="76">
        <f t="shared" si="6"/>
        <v>5.0319722897432619E-2</v>
      </c>
      <c r="U66" s="76">
        <f t="shared" si="6"/>
        <v>5.1528342019589127E-2</v>
      </c>
      <c r="V66" s="76">
        <f t="shared" si="6"/>
        <v>5.27260868883839E-2</v>
      </c>
      <c r="W66" s="76">
        <f t="shared" si="6"/>
        <v>5.3912957503816944E-2</v>
      </c>
      <c r="X66" s="76">
        <f t="shared" si="6"/>
        <v>5.3912957503816944E-2</v>
      </c>
      <c r="Y66" s="76">
        <f t="shared" si="6"/>
        <v>5.3912957503816944E-2</v>
      </c>
      <c r="Z66" s="76">
        <f t="shared" si="6"/>
        <v>5.3912957503816944E-2</v>
      </c>
      <c r="AA66" s="76">
        <f t="shared" si="6"/>
        <v>5.3912957503816944E-2</v>
      </c>
      <c r="AB66" s="76">
        <f t="shared" si="6"/>
        <v>5.3912957503816944E-2</v>
      </c>
      <c r="AC66" s="76">
        <f t="shared" si="6"/>
        <v>5.3912957503816944E-2</v>
      </c>
      <c r="AD66" s="76">
        <f t="shared" si="6"/>
        <v>5.3912957503816944E-2</v>
      </c>
      <c r="AE66" s="76">
        <f t="shared" si="6"/>
        <v>5.3912957503816944E-2</v>
      </c>
      <c r="AF66" s="76">
        <f t="shared" si="6"/>
        <v>5.3912957503816944E-2</v>
      </c>
      <c r="AG66" s="76">
        <f t="shared" si="6"/>
        <v>5.3912957503816944E-2</v>
      </c>
      <c r="AH66" s="76">
        <f t="shared" si="6"/>
        <v>5.3912957503816944E-2</v>
      </c>
      <c r="AI66" s="76">
        <f t="shared" si="6"/>
        <v>5.3912957503816944E-2</v>
      </c>
      <c r="AJ66" s="76">
        <f t="shared" si="6"/>
        <v>5.3912957503816944E-2</v>
      </c>
      <c r="AK66" s="76">
        <f t="shared" si="6"/>
        <v>5.3912957503816944E-2</v>
      </c>
      <c r="AL66" s="76">
        <f t="shared" si="6"/>
        <v>5.3912957503816944E-2</v>
      </c>
      <c r="AM66" s="76">
        <f t="shared" si="6"/>
        <v>5.3912957503816944E-2</v>
      </c>
      <c r="AN66" s="76">
        <f t="shared" si="6"/>
        <v>5.3912957503816944E-2</v>
      </c>
      <c r="AO66" s="76">
        <f t="shared" si="6"/>
        <v>5.3912957503816944E-2</v>
      </c>
      <c r="AP66" s="76">
        <f t="shared" si="6"/>
        <v>5.3912957503816944E-2</v>
      </c>
      <c r="AQ66" s="76">
        <f t="shared" si="6"/>
        <v>5.3912957503816944E-2</v>
      </c>
    </row>
    <row r="67" spans="7:43" ht="14.25" hidden="1" customHeight="1" x14ac:dyDescent="0.15">
      <c r="G67" s="7"/>
      <c r="H67" s="190"/>
      <c r="J67" s="206"/>
      <c r="K67" s="47" t="s">
        <v>108</v>
      </c>
      <c r="L67" s="47" t="s">
        <v>66</v>
      </c>
      <c r="M67" s="76">
        <f t="shared" ref="M67:AQ67" si="7">M63*M50*(1-M$65)+(1-M63)*(M57)</f>
        <v>5.6698294578795688E-2</v>
      </c>
      <c r="N67" s="76">
        <f t="shared" si="7"/>
        <v>5.6698294578795688E-2</v>
      </c>
      <c r="O67" s="76">
        <f t="shared" si="7"/>
        <v>5.6698294578795688E-2</v>
      </c>
      <c r="P67" s="76">
        <f t="shared" si="7"/>
        <v>5.6698294578795688E-2</v>
      </c>
      <c r="Q67" s="76">
        <f t="shared" si="7"/>
        <v>5.4975290877219488E-2</v>
      </c>
      <c r="R67" s="76">
        <f t="shared" si="7"/>
        <v>5.4975290877219488E-2</v>
      </c>
      <c r="S67" s="76">
        <f t="shared" si="7"/>
        <v>4.9100229521914382E-2</v>
      </c>
      <c r="T67" s="76">
        <f t="shared" si="7"/>
        <v>5.0319722897432619E-2</v>
      </c>
      <c r="U67" s="76">
        <f t="shared" si="7"/>
        <v>5.1528342019589127E-2</v>
      </c>
      <c r="V67" s="76">
        <f t="shared" si="7"/>
        <v>5.27260868883839E-2</v>
      </c>
      <c r="W67" s="76">
        <f t="shared" si="7"/>
        <v>5.3912957503816944E-2</v>
      </c>
      <c r="X67" s="76">
        <f t="shared" si="7"/>
        <v>5.3912957503816944E-2</v>
      </c>
      <c r="Y67" s="76">
        <f t="shared" si="7"/>
        <v>5.3912957503816944E-2</v>
      </c>
      <c r="Z67" s="76">
        <f t="shared" si="7"/>
        <v>5.3912957503816944E-2</v>
      </c>
      <c r="AA67" s="76">
        <f t="shared" si="7"/>
        <v>5.3912957503816944E-2</v>
      </c>
      <c r="AB67" s="76">
        <f t="shared" si="7"/>
        <v>5.3912957503816944E-2</v>
      </c>
      <c r="AC67" s="76">
        <f t="shared" si="7"/>
        <v>5.3912957503816944E-2</v>
      </c>
      <c r="AD67" s="76">
        <f t="shared" si="7"/>
        <v>5.3912957503816944E-2</v>
      </c>
      <c r="AE67" s="76">
        <f t="shared" si="7"/>
        <v>5.3912957503816944E-2</v>
      </c>
      <c r="AF67" s="76">
        <f t="shared" si="7"/>
        <v>5.3912957503816944E-2</v>
      </c>
      <c r="AG67" s="76">
        <f t="shared" si="7"/>
        <v>5.3912957503816944E-2</v>
      </c>
      <c r="AH67" s="76">
        <f t="shared" si="7"/>
        <v>5.3912957503816944E-2</v>
      </c>
      <c r="AI67" s="76">
        <f t="shared" si="7"/>
        <v>5.3912957503816944E-2</v>
      </c>
      <c r="AJ67" s="76">
        <f t="shared" si="7"/>
        <v>5.3912957503816944E-2</v>
      </c>
      <c r="AK67" s="76">
        <f t="shared" si="7"/>
        <v>5.3912957503816944E-2</v>
      </c>
      <c r="AL67" s="76">
        <f t="shared" si="7"/>
        <v>5.3912957503816944E-2</v>
      </c>
      <c r="AM67" s="76">
        <f t="shared" si="7"/>
        <v>5.3912957503816944E-2</v>
      </c>
      <c r="AN67" s="76">
        <f t="shared" si="7"/>
        <v>5.3912957503816944E-2</v>
      </c>
      <c r="AO67" s="76">
        <f t="shared" si="7"/>
        <v>5.3912957503816944E-2</v>
      </c>
      <c r="AP67" s="76">
        <f t="shared" si="7"/>
        <v>5.3912957503816944E-2</v>
      </c>
      <c r="AQ67" s="76">
        <f t="shared" si="7"/>
        <v>5.3912957503816944E-2</v>
      </c>
    </row>
    <row r="68" spans="7:43" ht="14.25" hidden="1" customHeight="1" x14ac:dyDescent="0.15">
      <c r="G68" s="7"/>
      <c r="H68" s="190"/>
      <c r="J68" s="206"/>
      <c r="K68" s="47" t="s">
        <v>108</v>
      </c>
      <c r="L68" s="47" t="s">
        <v>62</v>
      </c>
      <c r="M68" s="76">
        <f t="shared" ref="M68:AQ68" si="8">M64*M51*(1-M$65)+(1-M64)*(M58)</f>
        <v>5.6698294578795688E-2</v>
      </c>
      <c r="N68" s="76">
        <f t="shared" si="8"/>
        <v>5.6698294578795688E-2</v>
      </c>
      <c r="O68" s="76">
        <f t="shared" si="8"/>
        <v>5.6698294578795688E-2</v>
      </c>
      <c r="P68" s="76">
        <f t="shared" si="8"/>
        <v>5.6698294578795688E-2</v>
      </c>
      <c r="Q68" s="76">
        <f t="shared" si="8"/>
        <v>5.4975290877219488E-2</v>
      </c>
      <c r="R68" s="76">
        <f t="shared" si="8"/>
        <v>5.4975290877219488E-2</v>
      </c>
      <c r="S68" s="76">
        <f t="shared" si="8"/>
        <v>4.9100229521914382E-2</v>
      </c>
      <c r="T68" s="76">
        <f t="shared" si="8"/>
        <v>5.0319722897432619E-2</v>
      </c>
      <c r="U68" s="76">
        <f t="shared" si="8"/>
        <v>5.1528342019589127E-2</v>
      </c>
      <c r="V68" s="76">
        <f t="shared" si="8"/>
        <v>5.27260868883839E-2</v>
      </c>
      <c r="W68" s="76">
        <f t="shared" si="8"/>
        <v>5.3912957503816944E-2</v>
      </c>
      <c r="X68" s="76">
        <f t="shared" si="8"/>
        <v>5.3912957503816944E-2</v>
      </c>
      <c r="Y68" s="76">
        <f t="shared" si="8"/>
        <v>5.3912957503816944E-2</v>
      </c>
      <c r="Z68" s="76">
        <f t="shared" si="8"/>
        <v>5.3912957503816944E-2</v>
      </c>
      <c r="AA68" s="76">
        <f t="shared" si="8"/>
        <v>5.3912957503816944E-2</v>
      </c>
      <c r="AB68" s="76">
        <f t="shared" si="8"/>
        <v>5.3912957503816944E-2</v>
      </c>
      <c r="AC68" s="76">
        <f t="shared" si="8"/>
        <v>5.3912957503816944E-2</v>
      </c>
      <c r="AD68" s="76">
        <f t="shared" si="8"/>
        <v>5.3912957503816944E-2</v>
      </c>
      <c r="AE68" s="76">
        <f t="shared" si="8"/>
        <v>5.3912957503816944E-2</v>
      </c>
      <c r="AF68" s="76">
        <f t="shared" si="8"/>
        <v>5.3912957503816944E-2</v>
      </c>
      <c r="AG68" s="76">
        <f t="shared" si="8"/>
        <v>5.3912957503816944E-2</v>
      </c>
      <c r="AH68" s="76">
        <f t="shared" si="8"/>
        <v>5.3912957503816944E-2</v>
      </c>
      <c r="AI68" s="76">
        <f t="shared" si="8"/>
        <v>5.3912957503816944E-2</v>
      </c>
      <c r="AJ68" s="76">
        <f t="shared" si="8"/>
        <v>5.3912957503816944E-2</v>
      </c>
      <c r="AK68" s="76">
        <f t="shared" si="8"/>
        <v>5.3912957503816944E-2</v>
      </c>
      <c r="AL68" s="76">
        <f t="shared" si="8"/>
        <v>5.3912957503816944E-2</v>
      </c>
      <c r="AM68" s="76">
        <f t="shared" si="8"/>
        <v>5.3912957503816944E-2</v>
      </c>
      <c r="AN68" s="76">
        <f t="shared" si="8"/>
        <v>5.3912957503816944E-2</v>
      </c>
      <c r="AO68" s="76">
        <f t="shared" si="8"/>
        <v>5.3912957503816944E-2</v>
      </c>
      <c r="AP68" s="76">
        <f t="shared" si="8"/>
        <v>5.3912957503816944E-2</v>
      </c>
      <c r="AQ68" s="76">
        <f t="shared" si="8"/>
        <v>5.3912957503816944E-2</v>
      </c>
    </row>
    <row r="69" spans="7:43" ht="14.25" hidden="1" customHeight="1" x14ac:dyDescent="0.2">
      <c r="G69" s="7"/>
      <c r="H69" s="190"/>
      <c r="J69" s="206"/>
      <c r="K69" s="47" t="s">
        <v>107</v>
      </c>
      <c r="L69" s="47" t="s">
        <v>67</v>
      </c>
      <c r="M69" s="81">
        <f t="shared" ref="M69:AQ69" si="9">(1+M66)/(1+M$48) - 1</f>
        <v>3.0925165442727609E-2</v>
      </c>
      <c r="N69" s="81">
        <f t="shared" si="9"/>
        <v>3.0925165442727609E-2</v>
      </c>
      <c r="O69" s="81">
        <f t="shared" si="9"/>
        <v>3.0925165442727609E-2</v>
      </c>
      <c r="P69" s="81">
        <f t="shared" si="9"/>
        <v>3.0925165442727609E-2</v>
      </c>
      <c r="Q69" s="81">
        <f t="shared" si="9"/>
        <v>2.924418622167746E-2</v>
      </c>
      <c r="R69" s="81">
        <f t="shared" si="9"/>
        <v>2.924418622167746E-2</v>
      </c>
      <c r="S69" s="81">
        <f t="shared" si="9"/>
        <v>2.3512419045770061E-2</v>
      </c>
      <c r="T69" s="81">
        <f t="shared" si="9"/>
        <v>2.4702168680422076E-2</v>
      </c>
      <c r="U69" s="81">
        <f t="shared" si="9"/>
        <v>2.5881309287404175E-2</v>
      </c>
      <c r="V69" s="81">
        <f t="shared" si="9"/>
        <v>2.7049840866716135E-2</v>
      </c>
      <c r="W69" s="81">
        <f t="shared" si="9"/>
        <v>2.8207763418357956E-2</v>
      </c>
      <c r="X69" s="81">
        <f t="shared" si="9"/>
        <v>2.8207763418357956E-2</v>
      </c>
      <c r="Y69" s="81">
        <f t="shared" si="9"/>
        <v>2.8207763418357956E-2</v>
      </c>
      <c r="Z69" s="81">
        <f t="shared" si="9"/>
        <v>2.8207763418357956E-2</v>
      </c>
      <c r="AA69" s="81">
        <f t="shared" si="9"/>
        <v>2.8207763418357956E-2</v>
      </c>
      <c r="AB69" s="81">
        <f t="shared" si="9"/>
        <v>2.8207763418357956E-2</v>
      </c>
      <c r="AC69" s="81">
        <f t="shared" si="9"/>
        <v>2.8207763418357956E-2</v>
      </c>
      <c r="AD69" s="81">
        <f t="shared" si="9"/>
        <v>2.8207763418357956E-2</v>
      </c>
      <c r="AE69" s="81">
        <f t="shared" si="9"/>
        <v>2.8207763418357956E-2</v>
      </c>
      <c r="AF69" s="81">
        <f t="shared" si="9"/>
        <v>2.8207763418357956E-2</v>
      </c>
      <c r="AG69" s="81">
        <f t="shared" si="9"/>
        <v>2.8207763418357956E-2</v>
      </c>
      <c r="AH69" s="81">
        <f t="shared" si="9"/>
        <v>2.8207763418357956E-2</v>
      </c>
      <c r="AI69" s="81">
        <f t="shared" si="9"/>
        <v>2.8207763418357956E-2</v>
      </c>
      <c r="AJ69" s="81">
        <f t="shared" si="9"/>
        <v>2.8207763418357956E-2</v>
      </c>
      <c r="AK69" s="81">
        <f t="shared" si="9"/>
        <v>2.8207763418357956E-2</v>
      </c>
      <c r="AL69" s="81">
        <f t="shared" si="9"/>
        <v>2.8207763418357956E-2</v>
      </c>
      <c r="AM69" s="81">
        <f t="shared" si="9"/>
        <v>2.8207763418357956E-2</v>
      </c>
      <c r="AN69" s="81">
        <f t="shared" si="9"/>
        <v>2.8207763418357956E-2</v>
      </c>
      <c r="AO69" s="81">
        <f t="shared" si="9"/>
        <v>2.8207763418357956E-2</v>
      </c>
      <c r="AP69" s="81">
        <f t="shared" si="9"/>
        <v>2.8207763418357956E-2</v>
      </c>
      <c r="AQ69" s="81">
        <f t="shared" si="9"/>
        <v>2.8207763418357956E-2</v>
      </c>
    </row>
    <row r="70" spans="7:43" ht="14.25" hidden="1" customHeight="1" x14ac:dyDescent="0.2">
      <c r="G70" s="7"/>
      <c r="H70" s="190"/>
      <c r="J70" s="206"/>
      <c r="K70" s="47" t="s">
        <v>107</v>
      </c>
      <c r="L70" s="47" t="s">
        <v>66</v>
      </c>
      <c r="M70" s="81">
        <f t="shared" ref="M70:AQ70" si="10">(1+M67)/(1+M$48) - 1</f>
        <v>3.0925165442727609E-2</v>
      </c>
      <c r="N70" s="81">
        <f t="shared" si="10"/>
        <v>3.0925165442727609E-2</v>
      </c>
      <c r="O70" s="81">
        <f t="shared" si="10"/>
        <v>3.0925165442727609E-2</v>
      </c>
      <c r="P70" s="81">
        <f t="shared" si="10"/>
        <v>3.0925165442727609E-2</v>
      </c>
      <c r="Q70" s="81">
        <f t="shared" si="10"/>
        <v>2.924418622167746E-2</v>
      </c>
      <c r="R70" s="81">
        <f t="shared" si="10"/>
        <v>2.924418622167746E-2</v>
      </c>
      <c r="S70" s="81">
        <f t="shared" si="10"/>
        <v>2.3512419045770061E-2</v>
      </c>
      <c r="T70" s="81">
        <f t="shared" si="10"/>
        <v>2.4702168680422076E-2</v>
      </c>
      <c r="U70" s="81">
        <f t="shared" si="10"/>
        <v>2.5881309287404175E-2</v>
      </c>
      <c r="V70" s="81">
        <f t="shared" si="10"/>
        <v>2.7049840866716135E-2</v>
      </c>
      <c r="W70" s="81">
        <f t="shared" si="10"/>
        <v>2.8207763418357956E-2</v>
      </c>
      <c r="X70" s="81">
        <f t="shared" si="10"/>
        <v>2.8207763418357956E-2</v>
      </c>
      <c r="Y70" s="81">
        <f t="shared" si="10"/>
        <v>2.8207763418357956E-2</v>
      </c>
      <c r="Z70" s="81">
        <f t="shared" si="10"/>
        <v>2.8207763418357956E-2</v>
      </c>
      <c r="AA70" s="81">
        <f t="shared" si="10"/>
        <v>2.8207763418357956E-2</v>
      </c>
      <c r="AB70" s="81">
        <f t="shared" si="10"/>
        <v>2.8207763418357956E-2</v>
      </c>
      <c r="AC70" s="81">
        <f t="shared" si="10"/>
        <v>2.8207763418357956E-2</v>
      </c>
      <c r="AD70" s="81">
        <f t="shared" si="10"/>
        <v>2.8207763418357956E-2</v>
      </c>
      <c r="AE70" s="81">
        <f t="shared" si="10"/>
        <v>2.8207763418357956E-2</v>
      </c>
      <c r="AF70" s="81">
        <f t="shared" si="10"/>
        <v>2.8207763418357956E-2</v>
      </c>
      <c r="AG70" s="81">
        <f t="shared" si="10"/>
        <v>2.8207763418357956E-2</v>
      </c>
      <c r="AH70" s="81">
        <f t="shared" si="10"/>
        <v>2.8207763418357956E-2</v>
      </c>
      <c r="AI70" s="81">
        <f t="shared" si="10"/>
        <v>2.8207763418357956E-2</v>
      </c>
      <c r="AJ70" s="81">
        <f t="shared" si="10"/>
        <v>2.8207763418357956E-2</v>
      </c>
      <c r="AK70" s="81">
        <f t="shared" si="10"/>
        <v>2.8207763418357956E-2</v>
      </c>
      <c r="AL70" s="81">
        <f t="shared" si="10"/>
        <v>2.8207763418357956E-2</v>
      </c>
      <c r="AM70" s="81">
        <f t="shared" si="10"/>
        <v>2.8207763418357956E-2</v>
      </c>
      <c r="AN70" s="81">
        <f t="shared" si="10"/>
        <v>2.8207763418357956E-2</v>
      </c>
      <c r="AO70" s="81">
        <f t="shared" si="10"/>
        <v>2.8207763418357956E-2</v>
      </c>
      <c r="AP70" s="81">
        <f t="shared" si="10"/>
        <v>2.8207763418357956E-2</v>
      </c>
      <c r="AQ70" s="81">
        <f t="shared" si="10"/>
        <v>2.8207763418357956E-2</v>
      </c>
    </row>
    <row r="71" spans="7:43" ht="14.25" hidden="1" customHeight="1" x14ac:dyDescent="0.2">
      <c r="G71" s="7"/>
      <c r="H71" s="190"/>
      <c r="J71" s="206"/>
      <c r="K71" s="47" t="s">
        <v>107</v>
      </c>
      <c r="L71" s="47" t="s">
        <v>62</v>
      </c>
      <c r="M71" s="81">
        <f t="shared" ref="M71:AQ71" si="11">(1+M68)/(1+M$48) - 1</f>
        <v>3.0925165442727609E-2</v>
      </c>
      <c r="N71" s="81">
        <f t="shared" si="11"/>
        <v>3.0925165442727609E-2</v>
      </c>
      <c r="O71" s="81">
        <f t="shared" si="11"/>
        <v>3.0925165442727609E-2</v>
      </c>
      <c r="P71" s="81">
        <f t="shared" si="11"/>
        <v>3.0925165442727609E-2</v>
      </c>
      <c r="Q71" s="81">
        <f t="shared" si="11"/>
        <v>2.924418622167746E-2</v>
      </c>
      <c r="R71" s="81">
        <f t="shared" si="11"/>
        <v>2.924418622167746E-2</v>
      </c>
      <c r="S71" s="81">
        <f t="shared" si="11"/>
        <v>2.3512419045770061E-2</v>
      </c>
      <c r="T71" s="81">
        <f t="shared" si="11"/>
        <v>2.4702168680422076E-2</v>
      </c>
      <c r="U71" s="81">
        <f t="shared" si="11"/>
        <v>2.5881309287404175E-2</v>
      </c>
      <c r="V71" s="81">
        <f t="shared" si="11"/>
        <v>2.7049840866716135E-2</v>
      </c>
      <c r="W71" s="81">
        <f t="shared" si="11"/>
        <v>2.8207763418357956E-2</v>
      </c>
      <c r="X71" s="81">
        <f t="shared" si="11"/>
        <v>2.8207763418357956E-2</v>
      </c>
      <c r="Y71" s="81">
        <f t="shared" si="11"/>
        <v>2.8207763418357956E-2</v>
      </c>
      <c r="Z71" s="81">
        <f t="shared" si="11"/>
        <v>2.8207763418357956E-2</v>
      </c>
      <c r="AA71" s="81">
        <f t="shared" si="11"/>
        <v>2.8207763418357956E-2</v>
      </c>
      <c r="AB71" s="81">
        <f t="shared" si="11"/>
        <v>2.8207763418357956E-2</v>
      </c>
      <c r="AC71" s="81">
        <f t="shared" si="11"/>
        <v>2.8207763418357956E-2</v>
      </c>
      <c r="AD71" s="81">
        <f t="shared" si="11"/>
        <v>2.8207763418357956E-2</v>
      </c>
      <c r="AE71" s="81">
        <f t="shared" si="11"/>
        <v>2.8207763418357956E-2</v>
      </c>
      <c r="AF71" s="81">
        <f t="shared" si="11"/>
        <v>2.8207763418357956E-2</v>
      </c>
      <c r="AG71" s="81">
        <f t="shared" si="11"/>
        <v>2.8207763418357956E-2</v>
      </c>
      <c r="AH71" s="81">
        <f t="shared" si="11"/>
        <v>2.8207763418357956E-2</v>
      </c>
      <c r="AI71" s="81">
        <f t="shared" si="11"/>
        <v>2.8207763418357956E-2</v>
      </c>
      <c r="AJ71" s="81">
        <f t="shared" si="11"/>
        <v>2.8207763418357956E-2</v>
      </c>
      <c r="AK71" s="81">
        <f t="shared" si="11"/>
        <v>2.8207763418357956E-2</v>
      </c>
      <c r="AL71" s="81">
        <f t="shared" si="11"/>
        <v>2.8207763418357956E-2</v>
      </c>
      <c r="AM71" s="81">
        <f t="shared" si="11"/>
        <v>2.8207763418357956E-2</v>
      </c>
      <c r="AN71" s="81">
        <f t="shared" si="11"/>
        <v>2.8207763418357956E-2</v>
      </c>
      <c r="AO71" s="81">
        <f t="shared" si="11"/>
        <v>2.8207763418357956E-2</v>
      </c>
      <c r="AP71" s="81">
        <f t="shared" si="11"/>
        <v>2.8207763418357956E-2</v>
      </c>
      <c r="AQ71" s="81">
        <f t="shared" si="11"/>
        <v>2.8207763418357956E-2</v>
      </c>
    </row>
    <row r="72" spans="7:43" ht="14.25" hidden="1" customHeight="1" x14ac:dyDescent="0.15">
      <c r="G72" s="7"/>
      <c r="H72" s="190"/>
      <c r="J72" s="206"/>
      <c r="K72" s="77" t="s">
        <v>106</v>
      </c>
      <c r="L72" s="47" t="s">
        <v>67</v>
      </c>
      <c r="M72" s="76">
        <f t="shared" ref="M72:AQ72" si="12" xml:space="preserve"> M66 / (1 - (1 / (1 + M66)^$O$34))</f>
        <v>7.0101058976990469E-2</v>
      </c>
      <c r="N72" s="76">
        <f t="shared" si="12"/>
        <v>7.0101058976990469E-2</v>
      </c>
      <c r="O72" s="76">
        <f t="shared" si="12"/>
        <v>7.0101058976990469E-2</v>
      </c>
      <c r="P72" s="76">
        <f t="shared" si="12"/>
        <v>7.0101058976990469E-2</v>
      </c>
      <c r="Q72" s="76">
        <f t="shared" si="12"/>
        <v>6.878661433974026E-2</v>
      </c>
      <c r="R72" s="76">
        <f t="shared" si="12"/>
        <v>6.878661433974026E-2</v>
      </c>
      <c r="S72" s="76">
        <f t="shared" si="12"/>
        <v>6.4385753065910295E-2</v>
      </c>
      <c r="T72" s="76">
        <f t="shared" si="12"/>
        <v>6.528871229510759E-2</v>
      </c>
      <c r="U72" s="76">
        <f t="shared" si="12"/>
        <v>6.6189124612892725E-2</v>
      </c>
      <c r="V72" s="76">
        <f t="shared" si="12"/>
        <v>6.708677979668129E-2</v>
      </c>
      <c r="W72" s="76">
        <f t="shared" si="12"/>
        <v>6.7981472009935207E-2</v>
      </c>
      <c r="X72" s="76">
        <f t="shared" si="12"/>
        <v>6.7981472009935207E-2</v>
      </c>
      <c r="Y72" s="76">
        <f t="shared" si="12"/>
        <v>6.7981472009935207E-2</v>
      </c>
      <c r="Z72" s="76">
        <f t="shared" si="12"/>
        <v>6.7981472009935207E-2</v>
      </c>
      <c r="AA72" s="76">
        <f t="shared" si="12"/>
        <v>6.7981472009935207E-2</v>
      </c>
      <c r="AB72" s="76">
        <f t="shared" si="12"/>
        <v>6.7981472009935207E-2</v>
      </c>
      <c r="AC72" s="76">
        <f t="shared" si="12"/>
        <v>6.7981472009935207E-2</v>
      </c>
      <c r="AD72" s="76">
        <f t="shared" si="12"/>
        <v>6.7981472009935207E-2</v>
      </c>
      <c r="AE72" s="76">
        <f t="shared" si="12"/>
        <v>6.7981472009935207E-2</v>
      </c>
      <c r="AF72" s="76">
        <f t="shared" si="12"/>
        <v>6.7981472009935207E-2</v>
      </c>
      <c r="AG72" s="76">
        <f t="shared" si="12"/>
        <v>6.7981472009935207E-2</v>
      </c>
      <c r="AH72" s="76">
        <f t="shared" si="12"/>
        <v>6.7981472009935207E-2</v>
      </c>
      <c r="AI72" s="76">
        <f t="shared" si="12"/>
        <v>6.7981472009935207E-2</v>
      </c>
      <c r="AJ72" s="76">
        <f t="shared" si="12"/>
        <v>6.7981472009935207E-2</v>
      </c>
      <c r="AK72" s="76">
        <f t="shared" si="12"/>
        <v>6.7981472009935207E-2</v>
      </c>
      <c r="AL72" s="76">
        <f t="shared" si="12"/>
        <v>6.7981472009935207E-2</v>
      </c>
      <c r="AM72" s="76">
        <f t="shared" si="12"/>
        <v>6.7981472009935207E-2</v>
      </c>
      <c r="AN72" s="76">
        <f t="shared" si="12"/>
        <v>6.7981472009935207E-2</v>
      </c>
      <c r="AO72" s="76">
        <f t="shared" si="12"/>
        <v>6.7981472009935207E-2</v>
      </c>
      <c r="AP72" s="76">
        <f t="shared" si="12"/>
        <v>6.7981472009935207E-2</v>
      </c>
      <c r="AQ72" s="76">
        <f t="shared" si="12"/>
        <v>6.7981472009935207E-2</v>
      </c>
    </row>
    <row r="73" spans="7:43" ht="14.25" hidden="1" customHeight="1" x14ac:dyDescent="0.15">
      <c r="G73" s="7"/>
      <c r="H73" s="190"/>
      <c r="J73" s="206"/>
      <c r="K73" s="77" t="s">
        <v>106</v>
      </c>
      <c r="L73" s="47" t="s">
        <v>66</v>
      </c>
      <c r="M73" s="76">
        <f t="shared" ref="M73:AQ73" si="13" xml:space="preserve"> M67 / (1 - (1 / (1 + M67)^$O$34))</f>
        <v>7.0101058976990469E-2</v>
      </c>
      <c r="N73" s="76">
        <f t="shared" si="13"/>
        <v>7.0101058976990469E-2</v>
      </c>
      <c r="O73" s="76">
        <f t="shared" si="13"/>
        <v>7.0101058976990469E-2</v>
      </c>
      <c r="P73" s="76">
        <f t="shared" si="13"/>
        <v>7.0101058976990469E-2</v>
      </c>
      <c r="Q73" s="76">
        <f t="shared" si="13"/>
        <v>6.878661433974026E-2</v>
      </c>
      <c r="R73" s="76">
        <f t="shared" si="13"/>
        <v>6.878661433974026E-2</v>
      </c>
      <c r="S73" s="76">
        <f t="shared" si="13"/>
        <v>6.4385753065910295E-2</v>
      </c>
      <c r="T73" s="76">
        <f t="shared" si="13"/>
        <v>6.528871229510759E-2</v>
      </c>
      <c r="U73" s="76">
        <f t="shared" si="13"/>
        <v>6.6189124612892725E-2</v>
      </c>
      <c r="V73" s="76">
        <f t="shared" si="13"/>
        <v>6.708677979668129E-2</v>
      </c>
      <c r="W73" s="76">
        <f t="shared" si="13"/>
        <v>6.7981472009935207E-2</v>
      </c>
      <c r="X73" s="76">
        <f t="shared" si="13"/>
        <v>6.7981472009935207E-2</v>
      </c>
      <c r="Y73" s="76">
        <f t="shared" si="13"/>
        <v>6.7981472009935207E-2</v>
      </c>
      <c r="Z73" s="76">
        <f t="shared" si="13"/>
        <v>6.7981472009935207E-2</v>
      </c>
      <c r="AA73" s="76">
        <f t="shared" si="13"/>
        <v>6.7981472009935207E-2</v>
      </c>
      <c r="AB73" s="76">
        <f t="shared" si="13"/>
        <v>6.7981472009935207E-2</v>
      </c>
      <c r="AC73" s="76">
        <f t="shared" si="13"/>
        <v>6.7981472009935207E-2</v>
      </c>
      <c r="AD73" s="76">
        <f t="shared" si="13"/>
        <v>6.7981472009935207E-2</v>
      </c>
      <c r="AE73" s="76">
        <f t="shared" si="13"/>
        <v>6.7981472009935207E-2</v>
      </c>
      <c r="AF73" s="76">
        <f t="shared" si="13"/>
        <v>6.7981472009935207E-2</v>
      </c>
      <c r="AG73" s="76">
        <f t="shared" si="13"/>
        <v>6.7981472009935207E-2</v>
      </c>
      <c r="AH73" s="76">
        <f t="shared" si="13"/>
        <v>6.7981472009935207E-2</v>
      </c>
      <c r="AI73" s="76">
        <f t="shared" si="13"/>
        <v>6.7981472009935207E-2</v>
      </c>
      <c r="AJ73" s="76">
        <f t="shared" si="13"/>
        <v>6.7981472009935207E-2</v>
      </c>
      <c r="AK73" s="76">
        <f t="shared" si="13"/>
        <v>6.7981472009935207E-2</v>
      </c>
      <c r="AL73" s="76">
        <f t="shared" si="13"/>
        <v>6.7981472009935207E-2</v>
      </c>
      <c r="AM73" s="76">
        <f t="shared" si="13"/>
        <v>6.7981472009935207E-2</v>
      </c>
      <c r="AN73" s="76">
        <f t="shared" si="13"/>
        <v>6.7981472009935207E-2</v>
      </c>
      <c r="AO73" s="76">
        <f t="shared" si="13"/>
        <v>6.7981472009935207E-2</v>
      </c>
      <c r="AP73" s="76">
        <f t="shared" si="13"/>
        <v>6.7981472009935207E-2</v>
      </c>
      <c r="AQ73" s="76">
        <f t="shared" si="13"/>
        <v>6.7981472009935207E-2</v>
      </c>
    </row>
    <row r="74" spans="7:43" ht="14.25" hidden="1" customHeight="1" thickBot="1" x14ac:dyDescent="0.2">
      <c r="G74" s="80"/>
      <c r="H74" s="190"/>
      <c r="J74" s="206"/>
      <c r="K74" s="77" t="s">
        <v>106</v>
      </c>
      <c r="L74" s="47" t="s">
        <v>62</v>
      </c>
      <c r="M74" s="76">
        <f t="shared" ref="M74:AQ74" si="14" xml:space="preserve"> M68 / (1 - (1 / (1 + M68)^$O$34))</f>
        <v>7.0101058976990469E-2</v>
      </c>
      <c r="N74" s="76">
        <f t="shared" si="14"/>
        <v>7.0101058976990469E-2</v>
      </c>
      <c r="O74" s="76">
        <f t="shared" si="14"/>
        <v>7.0101058976990469E-2</v>
      </c>
      <c r="P74" s="76">
        <f t="shared" si="14"/>
        <v>7.0101058976990469E-2</v>
      </c>
      <c r="Q74" s="76">
        <f t="shared" si="14"/>
        <v>6.878661433974026E-2</v>
      </c>
      <c r="R74" s="76">
        <f t="shared" si="14"/>
        <v>6.878661433974026E-2</v>
      </c>
      <c r="S74" s="76">
        <f t="shared" si="14"/>
        <v>6.4385753065910295E-2</v>
      </c>
      <c r="T74" s="76">
        <f t="shared" si="14"/>
        <v>6.528871229510759E-2</v>
      </c>
      <c r="U74" s="76">
        <f t="shared" si="14"/>
        <v>6.6189124612892725E-2</v>
      </c>
      <c r="V74" s="76">
        <f t="shared" si="14"/>
        <v>6.708677979668129E-2</v>
      </c>
      <c r="W74" s="76">
        <f t="shared" si="14"/>
        <v>6.7981472009935207E-2</v>
      </c>
      <c r="X74" s="76">
        <f t="shared" si="14"/>
        <v>6.7981472009935207E-2</v>
      </c>
      <c r="Y74" s="76">
        <f t="shared" si="14"/>
        <v>6.7981472009935207E-2</v>
      </c>
      <c r="Z74" s="76">
        <f t="shared" si="14"/>
        <v>6.7981472009935207E-2</v>
      </c>
      <c r="AA74" s="76">
        <f t="shared" si="14"/>
        <v>6.7981472009935207E-2</v>
      </c>
      <c r="AB74" s="76">
        <f t="shared" si="14"/>
        <v>6.7981472009935207E-2</v>
      </c>
      <c r="AC74" s="76">
        <f t="shared" si="14"/>
        <v>6.7981472009935207E-2</v>
      </c>
      <c r="AD74" s="76">
        <f t="shared" si="14"/>
        <v>6.7981472009935207E-2</v>
      </c>
      <c r="AE74" s="76">
        <f t="shared" si="14"/>
        <v>6.7981472009935207E-2</v>
      </c>
      <c r="AF74" s="76">
        <f t="shared" si="14"/>
        <v>6.7981472009935207E-2</v>
      </c>
      <c r="AG74" s="76">
        <f t="shared" si="14"/>
        <v>6.7981472009935207E-2</v>
      </c>
      <c r="AH74" s="76">
        <f t="shared" si="14"/>
        <v>6.7981472009935207E-2</v>
      </c>
      <c r="AI74" s="76">
        <f t="shared" si="14"/>
        <v>6.7981472009935207E-2</v>
      </c>
      <c r="AJ74" s="76">
        <f t="shared" si="14"/>
        <v>6.7981472009935207E-2</v>
      </c>
      <c r="AK74" s="76">
        <f t="shared" si="14"/>
        <v>6.7981472009935207E-2</v>
      </c>
      <c r="AL74" s="76">
        <f t="shared" si="14"/>
        <v>6.7981472009935207E-2</v>
      </c>
      <c r="AM74" s="76">
        <f t="shared" si="14"/>
        <v>6.7981472009935207E-2</v>
      </c>
      <c r="AN74" s="76">
        <f t="shared" si="14"/>
        <v>6.7981472009935207E-2</v>
      </c>
      <c r="AO74" s="76">
        <f t="shared" si="14"/>
        <v>6.7981472009935207E-2</v>
      </c>
      <c r="AP74" s="76">
        <f t="shared" si="14"/>
        <v>6.7981472009935207E-2</v>
      </c>
      <c r="AQ74" s="76">
        <f t="shared" si="14"/>
        <v>6.7981472009935207E-2</v>
      </c>
    </row>
    <row r="75" spans="7:43" ht="14.25" hidden="1" customHeight="1" x14ac:dyDescent="0.15">
      <c r="G75" s="79"/>
      <c r="H75" s="190"/>
      <c r="J75" s="206"/>
      <c r="K75" s="77" t="s">
        <v>105</v>
      </c>
      <c r="L75" s="47" t="s">
        <v>67</v>
      </c>
      <c r="M75" s="76">
        <f t="shared" ref="M75:AQ75" si="15" xml:space="preserve"> M69 / (1 - (1 / (1 + M69)^$O$34))</f>
        <v>5.16312836525014E-2</v>
      </c>
      <c r="N75" s="76">
        <f t="shared" si="15"/>
        <v>5.16312836525014E-2</v>
      </c>
      <c r="O75" s="76">
        <f t="shared" si="15"/>
        <v>5.16312836525014E-2</v>
      </c>
      <c r="P75" s="76">
        <f t="shared" si="15"/>
        <v>5.16312836525014E-2</v>
      </c>
      <c r="Q75" s="76">
        <f t="shared" si="15"/>
        <v>5.0522072377460668E-2</v>
      </c>
      <c r="R75" s="76">
        <f t="shared" si="15"/>
        <v>5.0522072377460668E-2</v>
      </c>
      <c r="S75" s="76">
        <f t="shared" si="15"/>
        <v>4.6835044477560733E-2</v>
      </c>
      <c r="T75" s="76">
        <f t="shared" si="15"/>
        <v>4.7588111651695152E-2</v>
      </c>
      <c r="U75" s="76">
        <f t="shared" si="15"/>
        <v>4.8340839340472015E-2</v>
      </c>
      <c r="V75" s="76">
        <f t="shared" si="15"/>
        <v>4.9093013552093528E-2</v>
      </c>
      <c r="W75" s="76">
        <f t="shared" si="15"/>
        <v>4.984442309345697E-2</v>
      </c>
      <c r="X75" s="76">
        <f t="shared" si="15"/>
        <v>4.984442309345697E-2</v>
      </c>
      <c r="Y75" s="76">
        <f t="shared" si="15"/>
        <v>4.984442309345697E-2</v>
      </c>
      <c r="Z75" s="76">
        <f t="shared" si="15"/>
        <v>4.984442309345697E-2</v>
      </c>
      <c r="AA75" s="76">
        <f t="shared" si="15"/>
        <v>4.984442309345697E-2</v>
      </c>
      <c r="AB75" s="76">
        <f t="shared" si="15"/>
        <v>4.984442309345697E-2</v>
      </c>
      <c r="AC75" s="76">
        <f t="shared" si="15"/>
        <v>4.984442309345697E-2</v>
      </c>
      <c r="AD75" s="76">
        <f t="shared" si="15"/>
        <v>4.984442309345697E-2</v>
      </c>
      <c r="AE75" s="76">
        <f t="shared" si="15"/>
        <v>4.984442309345697E-2</v>
      </c>
      <c r="AF75" s="76">
        <f t="shared" si="15"/>
        <v>4.984442309345697E-2</v>
      </c>
      <c r="AG75" s="76">
        <f t="shared" si="15"/>
        <v>4.984442309345697E-2</v>
      </c>
      <c r="AH75" s="76">
        <f t="shared" si="15"/>
        <v>4.984442309345697E-2</v>
      </c>
      <c r="AI75" s="76">
        <f t="shared" si="15"/>
        <v>4.984442309345697E-2</v>
      </c>
      <c r="AJ75" s="76">
        <f t="shared" si="15"/>
        <v>4.984442309345697E-2</v>
      </c>
      <c r="AK75" s="76">
        <f t="shared" si="15"/>
        <v>4.984442309345697E-2</v>
      </c>
      <c r="AL75" s="76">
        <f t="shared" si="15"/>
        <v>4.984442309345697E-2</v>
      </c>
      <c r="AM75" s="76">
        <f t="shared" si="15"/>
        <v>4.984442309345697E-2</v>
      </c>
      <c r="AN75" s="76">
        <f t="shared" si="15"/>
        <v>4.984442309345697E-2</v>
      </c>
      <c r="AO75" s="76">
        <f t="shared" si="15"/>
        <v>4.984442309345697E-2</v>
      </c>
      <c r="AP75" s="76">
        <f t="shared" si="15"/>
        <v>4.984442309345697E-2</v>
      </c>
      <c r="AQ75" s="76">
        <f t="shared" si="15"/>
        <v>4.984442309345697E-2</v>
      </c>
    </row>
    <row r="76" spans="7:43" ht="14.25" hidden="1" customHeight="1" x14ac:dyDescent="0.2">
      <c r="G76" s="7"/>
      <c r="H76" s="190"/>
      <c r="I76"/>
      <c r="J76" s="78"/>
      <c r="K76" s="77" t="s">
        <v>105</v>
      </c>
      <c r="L76" s="47" t="s">
        <v>66</v>
      </c>
      <c r="M76" s="76">
        <f t="shared" ref="M76:AQ76" si="16" xml:space="preserve"> M70 / (1 - (1 / (1 + M70)^$O$34))</f>
        <v>5.16312836525014E-2</v>
      </c>
      <c r="N76" s="76">
        <f t="shared" si="16"/>
        <v>5.16312836525014E-2</v>
      </c>
      <c r="O76" s="76">
        <f t="shared" si="16"/>
        <v>5.16312836525014E-2</v>
      </c>
      <c r="P76" s="76">
        <f t="shared" si="16"/>
        <v>5.16312836525014E-2</v>
      </c>
      <c r="Q76" s="76">
        <f t="shared" si="16"/>
        <v>5.0522072377460668E-2</v>
      </c>
      <c r="R76" s="76">
        <f t="shared" si="16"/>
        <v>5.0522072377460668E-2</v>
      </c>
      <c r="S76" s="76">
        <f t="shared" si="16"/>
        <v>4.6835044477560733E-2</v>
      </c>
      <c r="T76" s="76">
        <f t="shared" si="16"/>
        <v>4.7588111651695152E-2</v>
      </c>
      <c r="U76" s="76">
        <f t="shared" si="16"/>
        <v>4.8340839340472015E-2</v>
      </c>
      <c r="V76" s="76">
        <f t="shared" si="16"/>
        <v>4.9093013552093528E-2</v>
      </c>
      <c r="W76" s="76">
        <f t="shared" si="16"/>
        <v>4.984442309345697E-2</v>
      </c>
      <c r="X76" s="76">
        <f t="shared" si="16"/>
        <v>4.984442309345697E-2</v>
      </c>
      <c r="Y76" s="76">
        <f t="shared" si="16"/>
        <v>4.984442309345697E-2</v>
      </c>
      <c r="Z76" s="76">
        <f t="shared" si="16"/>
        <v>4.984442309345697E-2</v>
      </c>
      <c r="AA76" s="76">
        <f t="shared" si="16"/>
        <v>4.984442309345697E-2</v>
      </c>
      <c r="AB76" s="76">
        <f t="shared" si="16"/>
        <v>4.984442309345697E-2</v>
      </c>
      <c r="AC76" s="76">
        <f t="shared" si="16"/>
        <v>4.984442309345697E-2</v>
      </c>
      <c r="AD76" s="76">
        <f t="shared" si="16"/>
        <v>4.984442309345697E-2</v>
      </c>
      <c r="AE76" s="76">
        <f t="shared" si="16"/>
        <v>4.984442309345697E-2</v>
      </c>
      <c r="AF76" s="76">
        <f t="shared" si="16"/>
        <v>4.984442309345697E-2</v>
      </c>
      <c r="AG76" s="76">
        <f t="shared" si="16"/>
        <v>4.984442309345697E-2</v>
      </c>
      <c r="AH76" s="76">
        <f t="shared" si="16"/>
        <v>4.984442309345697E-2</v>
      </c>
      <c r="AI76" s="76">
        <f t="shared" si="16"/>
        <v>4.984442309345697E-2</v>
      </c>
      <c r="AJ76" s="76">
        <f t="shared" si="16"/>
        <v>4.984442309345697E-2</v>
      </c>
      <c r="AK76" s="76">
        <f t="shared" si="16"/>
        <v>4.984442309345697E-2</v>
      </c>
      <c r="AL76" s="76">
        <f t="shared" si="16"/>
        <v>4.984442309345697E-2</v>
      </c>
      <c r="AM76" s="76">
        <f t="shared" si="16"/>
        <v>4.984442309345697E-2</v>
      </c>
      <c r="AN76" s="76">
        <f t="shared" si="16"/>
        <v>4.984442309345697E-2</v>
      </c>
      <c r="AO76" s="76">
        <f t="shared" si="16"/>
        <v>4.984442309345697E-2</v>
      </c>
      <c r="AP76" s="76">
        <f t="shared" si="16"/>
        <v>4.984442309345697E-2</v>
      </c>
      <c r="AQ76" s="76">
        <f t="shared" si="16"/>
        <v>4.984442309345697E-2</v>
      </c>
    </row>
    <row r="77" spans="7:43" ht="14.25" hidden="1" customHeight="1" x14ac:dyDescent="0.2">
      <c r="G77" s="7"/>
      <c r="H77" s="190"/>
      <c r="I77"/>
      <c r="J77" s="78"/>
      <c r="K77" s="77" t="s">
        <v>105</v>
      </c>
      <c r="L77" s="47" t="s">
        <v>62</v>
      </c>
      <c r="M77" s="76">
        <f t="shared" ref="M77:AQ77" si="17" xml:space="preserve"> M71 / (1 - (1 / (1 + M71)^$O$34))</f>
        <v>5.16312836525014E-2</v>
      </c>
      <c r="N77" s="76">
        <f t="shared" si="17"/>
        <v>5.16312836525014E-2</v>
      </c>
      <c r="O77" s="76">
        <f t="shared" si="17"/>
        <v>5.16312836525014E-2</v>
      </c>
      <c r="P77" s="76">
        <f t="shared" si="17"/>
        <v>5.16312836525014E-2</v>
      </c>
      <c r="Q77" s="76">
        <f t="shared" si="17"/>
        <v>5.0522072377460668E-2</v>
      </c>
      <c r="R77" s="76">
        <f t="shared" si="17"/>
        <v>5.0522072377460668E-2</v>
      </c>
      <c r="S77" s="76">
        <f t="shared" si="17"/>
        <v>4.6835044477560733E-2</v>
      </c>
      <c r="T77" s="76">
        <f t="shared" si="17"/>
        <v>4.7588111651695152E-2</v>
      </c>
      <c r="U77" s="76">
        <f t="shared" si="17"/>
        <v>4.8340839340472015E-2</v>
      </c>
      <c r="V77" s="76">
        <f t="shared" si="17"/>
        <v>4.9093013552093528E-2</v>
      </c>
      <c r="W77" s="76">
        <f t="shared" si="17"/>
        <v>4.984442309345697E-2</v>
      </c>
      <c r="X77" s="76">
        <f t="shared" si="17"/>
        <v>4.984442309345697E-2</v>
      </c>
      <c r="Y77" s="76">
        <f t="shared" si="17"/>
        <v>4.984442309345697E-2</v>
      </c>
      <c r="Z77" s="76">
        <f t="shared" si="17"/>
        <v>4.984442309345697E-2</v>
      </c>
      <c r="AA77" s="76">
        <f t="shared" si="17"/>
        <v>4.984442309345697E-2</v>
      </c>
      <c r="AB77" s="76">
        <f t="shared" si="17"/>
        <v>4.984442309345697E-2</v>
      </c>
      <c r="AC77" s="76">
        <f t="shared" si="17"/>
        <v>4.984442309345697E-2</v>
      </c>
      <c r="AD77" s="76">
        <f t="shared" si="17"/>
        <v>4.984442309345697E-2</v>
      </c>
      <c r="AE77" s="76">
        <f t="shared" si="17"/>
        <v>4.984442309345697E-2</v>
      </c>
      <c r="AF77" s="76">
        <f t="shared" si="17"/>
        <v>4.984442309345697E-2</v>
      </c>
      <c r="AG77" s="76">
        <f t="shared" si="17"/>
        <v>4.984442309345697E-2</v>
      </c>
      <c r="AH77" s="76">
        <f t="shared" si="17"/>
        <v>4.984442309345697E-2</v>
      </c>
      <c r="AI77" s="76">
        <f t="shared" si="17"/>
        <v>4.984442309345697E-2</v>
      </c>
      <c r="AJ77" s="76">
        <f t="shared" si="17"/>
        <v>4.984442309345697E-2</v>
      </c>
      <c r="AK77" s="76">
        <f t="shared" si="17"/>
        <v>4.984442309345697E-2</v>
      </c>
      <c r="AL77" s="76">
        <f t="shared" si="17"/>
        <v>4.984442309345697E-2</v>
      </c>
      <c r="AM77" s="76">
        <f t="shared" si="17"/>
        <v>4.984442309345697E-2</v>
      </c>
      <c r="AN77" s="76">
        <f t="shared" si="17"/>
        <v>4.984442309345697E-2</v>
      </c>
      <c r="AO77" s="76">
        <f t="shared" si="17"/>
        <v>4.984442309345697E-2</v>
      </c>
      <c r="AP77" s="76">
        <f t="shared" si="17"/>
        <v>4.984442309345697E-2</v>
      </c>
      <c r="AQ77" s="76">
        <f t="shared" si="17"/>
        <v>4.984442309345697E-2</v>
      </c>
    </row>
    <row r="78" spans="7:43" ht="14.25" hidden="1" customHeight="1" x14ac:dyDescent="0.2">
      <c r="G78" s="37"/>
      <c r="H78" s="75"/>
      <c r="I78" s="75"/>
      <c r="J78" s="75"/>
      <c r="K78" s="75"/>
      <c r="L78" s="75"/>
      <c r="M78" s="75"/>
      <c r="N78" s="29"/>
      <c r="O78" s="29"/>
      <c r="P78" s="29"/>
      <c r="Q78" s="29"/>
      <c r="R78" s="29"/>
      <c r="S78" s="29"/>
      <c r="T78" s="29"/>
      <c r="U78" s="74"/>
    </row>
    <row r="79" spans="7:43" ht="14.25" hidden="1" customHeight="1" x14ac:dyDescent="0.15"/>
    <row r="80" spans="7:43" ht="14.25" hidden="1" customHeight="1" x14ac:dyDescent="0.15"/>
    <row r="81" spans="4:44" ht="14.25" customHeight="1" x14ac:dyDescent="0.15">
      <c r="G81" s="73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</row>
    <row r="82" spans="4:44" ht="14.25" customHeight="1" x14ac:dyDescent="0.15">
      <c r="D82" s="6" t="s">
        <v>2</v>
      </c>
      <c r="G82" s="154" t="s">
        <v>5</v>
      </c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"/>
      <c r="W82" s="15"/>
      <c r="X82" s="15"/>
      <c r="Y82" s="15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</row>
    <row r="83" spans="4:44" ht="14.25" customHeight="1" x14ac:dyDescent="0.15">
      <c r="G83" s="7"/>
      <c r="M83" s="3" t="s">
        <v>104</v>
      </c>
    </row>
    <row r="84" spans="4:44" ht="14.25" customHeight="1" x14ac:dyDescent="0.15">
      <c r="G84" s="7"/>
      <c r="M84" s="12">
        <v>2020</v>
      </c>
      <c r="N84" s="12">
        <v>2021</v>
      </c>
      <c r="O84" s="12">
        <v>2022</v>
      </c>
      <c r="P84" s="12">
        <v>2023</v>
      </c>
      <c r="Q84" s="12">
        <v>2024</v>
      </c>
      <c r="R84" s="12">
        <v>2025</v>
      </c>
      <c r="S84" s="12">
        <v>2026</v>
      </c>
      <c r="T84" s="12">
        <v>2027</v>
      </c>
      <c r="U84" s="12">
        <v>2028</v>
      </c>
      <c r="V84" s="12">
        <v>2029</v>
      </c>
      <c r="W84" s="12">
        <v>2030</v>
      </c>
      <c r="X84" s="12">
        <v>2031</v>
      </c>
      <c r="Y84" s="12">
        <v>2032</v>
      </c>
      <c r="Z84" s="12">
        <v>2033</v>
      </c>
      <c r="AA84" s="12">
        <v>2034</v>
      </c>
      <c r="AB84" s="12">
        <v>2035</v>
      </c>
      <c r="AC84" s="12">
        <v>2036</v>
      </c>
      <c r="AD84" s="12">
        <v>2037</v>
      </c>
      <c r="AE84" s="12">
        <v>2038</v>
      </c>
      <c r="AF84" s="12">
        <v>2039</v>
      </c>
      <c r="AG84" s="12">
        <v>2040</v>
      </c>
      <c r="AH84" s="12">
        <v>2041</v>
      </c>
      <c r="AI84" s="12">
        <v>2042</v>
      </c>
      <c r="AJ84" s="12">
        <v>2043</v>
      </c>
      <c r="AK84" s="12">
        <v>2044</v>
      </c>
      <c r="AL84" s="12">
        <v>2045</v>
      </c>
      <c r="AM84" s="12">
        <v>2046</v>
      </c>
      <c r="AN84" s="12">
        <v>2047</v>
      </c>
      <c r="AO84" s="12">
        <v>2048</v>
      </c>
      <c r="AP84" s="12">
        <v>2049</v>
      </c>
      <c r="AQ84" s="12">
        <v>2050</v>
      </c>
    </row>
    <row r="85" spans="4:44" ht="14.25" customHeight="1" x14ac:dyDescent="0.15">
      <c r="G85" s="7"/>
      <c r="H85" s="207" t="s">
        <v>3</v>
      </c>
      <c r="J85" s="155" t="s">
        <v>4</v>
      </c>
      <c r="K85" s="13" t="s">
        <v>94</v>
      </c>
      <c r="L85" s="13" t="s">
        <v>67</v>
      </c>
      <c r="M85" s="8">
        <v>0.12013139357850224</v>
      </c>
      <c r="N85" s="8">
        <v>0.1206022295506647</v>
      </c>
      <c r="O85" s="8">
        <v>0.12107306552282716</v>
      </c>
      <c r="P85" s="8">
        <v>0.12154390149498963</v>
      </c>
      <c r="Q85" s="8">
        <v>0.12201473746715209</v>
      </c>
      <c r="R85" s="8">
        <v>0.12248557343931456</v>
      </c>
      <c r="S85" s="8">
        <v>0.12295640941147702</v>
      </c>
      <c r="T85" s="8">
        <v>0.12342724538363949</v>
      </c>
      <c r="U85" s="8">
        <v>0.12389808135580195</v>
      </c>
      <c r="V85" s="8">
        <v>0.12436891732796442</v>
      </c>
      <c r="W85" s="8">
        <v>0.12483975330012691</v>
      </c>
      <c r="X85" s="8">
        <v>0.12483975330012691</v>
      </c>
      <c r="Y85" s="8">
        <v>0.12483975330012691</v>
      </c>
      <c r="Z85" s="8">
        <v>0.12483975330012691</v>
      </c>
      <c r="AA85" s="8">
        <v>0.12483975330012691</v>
      </c>
      <c r="AB85" s="8">
        <v>0.12483975330012691</v>
      </c>
      <c r="AC85" s="8">
        <v>0.12483975330012691</v>
      </c>
      <c r="AD85" s="8">
        <v>0.12483975330012691</v>
      </c>
      <c r="AE85" s="8">
        <v>0.12483975330012691</v>
      </c>
      <c r="AF85" s="8">
        <v>0.12483975330012691</v>
      </c>
      <c r="AG85" s="8">
        <v>0.12483975330012691</v>
      </c>
      <c r="AH85" s="8">
        <v>0.12483975330012691</v>
      </c>
      <c r="AI85" s="8">
        <v>0.12483975330012691</v>
      </c>
      <c r="AJ85" s="8">
        <v>0.12483975330012691</v>
      </c>
      <c r="AK85" s="8">
        <v>0.12483975330012691</v>
      </c>
      <c r="AL85" s="8">
        <v>0.12483975330012691</v>
      </c>
      <c r="AM85" s="8">
        <v>0.12483975330012691</v>
      </c>
      <c r="AN85" s="8">
        <v>0.12483975330012691</v>
      </c>
      <c r="AO85" s="8">
        <v>0.12483975330012691</v>
      </c>
      <c r="AP85" s="8">
        <v>0.12483975330012691</v>
      </c>
      <c r="AQ85" s="8">
        <v>0.12483975330012691</v>
      </c>
    </row>
    <row r="86" spans="4:44" ht="14.25" customHeight="1" x14ac:dyDescent="0.15">
      <c r="G86" s="7"/>
      <c r="H86" s="207"/>
      <c r="J86" s="156"/>
      <c r="K86" s="5" t="s">
        <v>94</v>
      </c>
      <c r="L86" s="47" t="s">
        <v>66</v>
      </c>
      <c r="M86" s="9">
        <v>0.11984569296763652</v>
      </c>
      <c r="N86" s="9">
        <v>0.12003082832893326</v>
      </c>
      <c r="O86" s="9">
        <v>0.12021596369023001</v>
      </c>
      <c r="P86" s="9">
        <v>0.12040109905152675</v>
      </c>
      <c r="Q86" s="9">
        <v>0.1205862344128235</v>
      </c>
      <c r="R86" s="9">
        <v>0.12077136977412024</v>
      </c>
      <c r="S86" s="9">
        <v>0.12095650513541699</v>
      </c>
      <c r="T86" s="9">
        <v>0.12114164049671373</v>
      </c>
      <c r="U86" s="9">
        <v>0.12132677585801048</v>
      </c>
      <c r="V86" s="9">
        <v>0.12151191121930723</v>
      </c>
      <c r="W86" s="9">
        <v>0.12169704658060394</v>
      </c>
      <c r="X86" s="9">
        <v>0.1218541819165801</v>
      </c>
      <c r="Y86" s="9">
        <v>0.12201131725255625</v>
      </c>
      <c r="Z86" s="9">
        <v>0.1221684525885324</v>
      </c>
      <c r="AA86" s="9">
        <v>0.12232558792450855</v>
      </c>
      <c r="AB86" s="9">
        <v>0.1224827232604847</v>
      </c>
      <c r="AC86" s="9">
        <v>0.12263985859646086</v>
      </c>
      <c r="AD86" s="9">
        <v>0.12279699393243701</v>
      </c>
      <c r="AE86" s="9">
        <v>0.12295412926841316</v>
      </c>
      <c r="AF86" s="9">
        <v>0.12311126460438931</v>
      </c>
      <c r="AG86" s="9">
        <v>0.12326839994036547</v>
      </c>
      <c r="AH86" s="9">
        <v>0.12342553527634162</v>
      </c>
      <c r="AI86" s="9">
        <v>0.12358267061231777</v>
      </c>
      <c r="AJ86" s="9">
        <v>0.12373980594829392</v>
      </c>
      <c r="AK86" s="9">
        <v>0.12389694128427008</v>
      </c>
      <c r="AL86" s="9">
        <v>0.12405407662024623</v>
      </c>
      <c r="AM86" s="9">
        <v>0.12421121195622238</v>
      </c>
      <c r="AN86" s="9">
        <v>0.12436834729219853</v>
      </c>
      <c r="AO86" s="9">
        <v>0.12452548262817469</v>
      </c>
      <c r="AP86" s="9">
        <v>0.12468261796415084</v>
      </c>
      <c r="AQ86" s="9">
        <v>0.12483975330012691</v>
      </c>
    </row>
    <row r="87" spans="4:44" ht="14.25" customHeight="1" thickBot="1" x14ac:dyDescent="0.2">
      <c r="G87" s="7"/>
      <c r="H87" s="207"/>
      <c r="J87" s="156"/>
      <c r="K87" s="14" t="s">
        <v>94</v>
      </c>
      <c r="L87" s="14" t="s">
        <v>62</v>
      </c>
      <c r="M87" s="10">
        <v>0.11966055760633977</v>
      </c>
      <c r="N87" s="10">
        <v>0.11966055760633977</v>
      </c>
      <c r="O87" s="10">
        <v>0.11966055760633977</v>
      </c>
      <c r="P87" s="10">
        <v>0.11966055760633977</v>
      </c>
      <c r="Q87" s="10">
        <v>0.11966055760633977</v>
      </c>
      <c r="R87" s="10">
        <v>0.11966055760633977</v>
      </c>
      <c r="S87" s="10">
        <v>0.11966055760633977</v>
      </c>
      <c r="T87" s="10">
        <v>0.11966055760633977</v>
      </c>
      <c r="U87" s="10">
        <v>0.11966055760633977</v>
      </c>
      <c r="V87" s="10">
        <v>0.11966055760633977</v>
      </c>
      <c r="W87" s="10">
        <v>0.11966055760633977</v>
      </c>
      <c r="X87" s="10">
        <v>0.11976238205505298</v>
      </c>
      <c r="Y87" s="10">
        <v>0.11986420650376618</v>
      </c>
      <c r="Z87" s="10">
        <v>0.11996603095247939</v>
      </c>
      <c r="AA87" s="10">
        <v>0.12006785540119259</v>
      </c>
      <c r="AB87" s="10">
        <v>0.1201696798499058</v>
      </c>
      <c r="AC87" s="10">
        <v>0.12027150429861901</v>
      </c>
      <c r="AD87" s="10">
        <v>0.12037332874733221</v>
      </c>
      <c r="AE87" s="10">
        <v>0.12047515319604542</v>
      </c>
      <c r="AF87" s="10">
        <v>0.12057697764475862</v>
      </c>
      <c r="AG87" s="10">
        <v>0.12067880209347183</v>
      </c>
      <c r="AH87" s="10">
        <v>0.12078062654218504</v>
      </c>
      <c r="AI87" s="10">
        <v>0.12088245099089824</v>
      </c>
      <c r="AJ87" s="10">
        <v>0.12098427543961145</v>
      </c>
      <c r="AK87" s="10">
        <v>0.12108609988832465</v>
      </c>
      <c r="AL87" s="10">
        <v>0.12118792433703786</v>
      </c>
      <c r="AM87" s="10">
        <v>0.12128974878575106</v>
      </c>
      <c r="AN87" s="10">
        <v>0.12139157323446427</v>
      </c>
      <c r="AO87" s="10">
        <v>0.12149339768317748</v>
      </c>
      <c r="AP87" s="10">
        <v>0.12159522213189068</v>
      </c>
      <c r="AQ87" s="10">
        <v>0.12169704658060394</v>
      </c>
    </row>
    <row r="88" spans="4:44" ht="14.25" customHeight="1" thickTop="1" x14ac:dyDescent="0.15">
      <c r="G88" s="7"/>
      <c r="H88" s="207"/>
      <c r="J88" s="156"/>
      <c r="K88" s="13" t="s">
        <v>93</v>
      </c>
      <c r="L88" s="13" t="s">
        <v>67</v>
      </c>
      <c r="M88" s="8">
        <v>0.13158477981141037</v>
      </c>
      <c r="N88" s="8">
        <v>0.13210050551706284</v>
      </c>
      <c r="O88" s="8">
        <v>0.13261623122271532</v>
      </c>
      <c r="P88" s="8">
        <v>0.1331319569283678</v>
      </c>
      <c r="Q88" s="8">
        <v>0.13364768263402027</v>
      </c>
      <c r="R88" s="8">
        <v>0.13416340833967275</v>
      </c>
      <c r="S88" s="8">
        <v>0.13467913404532522</v>
      </c>
      <c r="T88" s="8">
        <v>0.1351948597509777</v>
      </c>
      <c r="U88" s="8">
        <v>0.13571058545663017</v>
      </c>
      <c r="V88" s="8">
        <v>0.13622631116228265</v>
      </c>
      <c r="W88" s="8">
        <v>0.13674203686793523</v>
      </c>
      <c r="X88" s="8">
        <v>0.13674203686793523</v>
      </c>
      <c r="Y88" s="8">
        <v>0.13674203686793523</v>
      </c>
      <c r="Z88" s="8">
        <v>0.13674203686793523</v>
      </c>
      <c r="AA88" s="8">
        <v>0.13674203686793523</v>
      </c>
      <c r="AB88" s="8">
        <v>0.13674203686793523</v>
      </c>
      <c r="AC88" s="8">
        <v>0.13674203686793523</v>
      </c>
      <c r="AD88" s="8">
        <v>0.13674203686793523</v>
      </c>
      <c r="AE88" s="8">
        <v>0.13674203686793523</v>
      </c>
      <c r="AF88" s="8">
        <v>0.13674203686793523</v>
      </c>
      <c r="AG88" s="8">
        <v>0.13674203686793523</v>
      </c>
      <c r="AH88" s="8">
        <v>0.13674203686793523</v>
      </c>
      <c r="AI88" s="8">
        <v>0.13674203686793523</v>
      </c>
      <c r="AJ88" s="8">
        <v>0.13674203686793523</v>
      </c>
      <c r="AK88" s="8">
        <v>0.13674203686793523</v>
      </c>
      <c r="AL88" s="8">
        <v>0.13674203686793523</v>
      </c>
      <c r="AM88" s="8">
        <v>0.13674203686793523</v>
      </c>
      <c r="AN88" s="8">
        <v>0.13674203686793523</v>
      </c>
      <c r="AO88" s="8">
        <v>0.13674203686793523</v>
      </c>
      <c r="AP88" s="8">
        <v>0.13674203686793523</v>
      </c>
      <c r="AQ88" s="8">
        <v>0.13674203686793523</v>
      </c>
    </row>
    <row r="89" spans="4:44" ht="14.25" customHeight="1" x14ac:dyDescent="0.15">
      <c r="G89" s="7"/>
      <c r="H89" s="207"/>
      <c r="J89" s="156"/>
      <c r="K89" s="5" t="s">
        <v>93</v>
      </c>
      <c r="L89" s="47" t="s">
        <v>66</v>
      </c>
      <c r="M89" s="9">
        <v>0.13127184036358666</v>
      </c>
      <c r="N89" s="9">
        <v>0.13147462662141543</v>
      </c>
      <c r="O89" s="9">
        <v>0.1316774128792442</v>
      </c>
      <c r="P89" s="9">
        <v>0.13188019913707297</v>
      </c>
      <c r="Q89" s="9">
        <v>0.13208298539490174</v>
      </c>
      <c r="R89" s="9">
        <v>0.1322857716527305</v>
      </c>
      <c r="S89" s="9">
        <v>0.13248855791055927</v>
      </c>
      <c r="T89" s="9">
        <v>0.13269134416838804</v>
      </c>
      <c r="U89" s="9">
        <v>0.13289413042621681</v>
      </c>
      <c r="V89" s="9">
        <v>0.13309691668404558</v>
      </c>
      <c r="W89" s="9">
        <v>0.13329970294187421</v>
      </c>
      <c r="X89" s="9">
        <v>0.13347181963817725</v>
      </c>
      <c r="Y89" s="9">
        <v>0.1336439363344803</v>
      </c>
      <c r="Z89" s="9">
        <v>0.13381605303078334</v>
      </c>
      <c r="AA89" s="9">
        <v>0.13398816972708638</v>
      </c>
      <c r="AB89" s="9">
        <v>0.13416028642338942</v>
      </c>
      <c r="AC89" s="9">
        <v>0.13433240311969247</v>
      </c>
      <c r="AD89" s="9">
        <v>0.13450451981599551</v>
      </c>
      <c r="AE89" s="9">
        <v>0.13467663651229855</v>
      </c>
      <c r="AF89" s="9">
        <v>0.1348487532086016</v>
      </c>
      <c r="AG89" s="9">
        <v>0.13502086990490464</v>
      </c>
      <c r="AH89" s="9">
        <v>0.13519298660120768</v>
      </c>
      <c r="AI89" s="9">
        <v>0.13536510329751072</v>
      </c>
      <c r="AJ89" s="9">
        <v>0.13553721999381377</v>
      </c>
      <c r="AK89" s="9">
        <v>0.13570933669011681</v>
      </c>
      <c r="AL89" s="9">
        <v>0.13588145338641985</v>
      </c>
      <c r="AM89" s="9">
        <v>0.1360535700827229</v>
      </c>
      <c r="AN89" s="9">
        <v>0.13622568677902594</v>
      </c>
      <c r="AO89" s="9">
        <v>0.13639780347532898</v>
      </c>
      <c r="AP89" s="9">
        <v>0.13656992017163203</v>
      </c>
      <c r="AQ89" s="9">
        <v>0.13674203686793523</v>
      </c>
    </row>
    <row r="90" spans="4:44" ht="14.25" customHeight="1" thickBot="1" x14ac:dyDescent="0.2">
      <c r="G90" s="7"/>
      <c r="H90" s="207"/>
      <c r="J90" s="156"/>
      <c r="K90" s="14" t="s">
        <v>93</v>
      </c>
      <c r="L90" s="14" t="s">
        <v>62</v>
      </c>
      <c r="M90" s="10">
        <v>0.13106905410575789</v>
      </c>
      <c r="N90" s="10">
        <v>0.13106905410575789</v>
      </c>
      <c r="O90" s="10">
        <v>0.13106905410575789</v>
      </c>
      <c r="P90" s="10">
        <v>0.13106905410575789</v>
      </c>
      <c r="Q90" s="10">
        <v>0.13106905410575789</v>
      </c>
      <c r="R90" s="10">
        <v>0.13106905410575789</v>
      </c>
      <c r="S90" s="10">
        <v>0.13106905410575789</v>
      </c>
      <c r="T90" s="10">
        <v>0.13106905410575789</v>
      </c>
      <c r="U90" s="10">
        <v>0.13106905410575789</v>
      </c>
      <c r="V90" s="10">
        <v>0.13106905410575789</v>
      </c>
      <c r="W90" s="10">
        <v>0.13106905410575789</v>
      </c>
      <c r="X90" s="10">
        <v>0.1311805865475637</v>
      </c>
      <c r="Y90" s="10">
        <v>0.13129211898936952</v>
      </c>
      <c r="Z90" s="10">
        <v>0.13140365143117533</v>
      </c>
      <c r="AA90" s="10">
        <v>0.13151518387298114</v>
      </c>
      <c r="AB90" s="10">
        <v>0.13162671631478695</v>
      </c>
      <c r="AC90" s="10">
        <v>0.13173824875659276</v>
      </c>
      <c r="AD90" s="10">
        <v>0.13184978119839857</v>
      </c>
      <c r="AE90" s="10">
        <v>0.13196131364020439</v>
      </c>
      <c r="AF90" s="10">
        <v>0.1320728460820102</v>
      </c>
      <c r="AG90" s="10">
        <v>0.13218437852381601</v>
      </c>
      <c r="AH90" s="10">
        <v>0.13229591096562182</v>
      </c>
      <c r="AI90" s="10">
        <v>0.13240744340742763</v>
      </c>
      <c r="AJ90" s="10">
        <v>0.13251897584923344</v>
      </c>
      <c r="AK90" s="10">
        <v>0.13263050829103926</v>
      </c>
      <c r="AL90" s="10">
        <v>0.13274204073284507</v>
      </c>
      <c r="AM90" s="10">
        <v>0.13285357317465088</v>
      </c>
      <c r="AN90" s="10">
        <v>0.13296510561645669</v>
      </c>
      <c r="AO90" s="10">
        <v>0.1330766380582625</v>
      </c>
      <c r="AP90" s="10">
        <v>0.13318817050006831</v>
      </c>
      <c r="AQ90" s="10">
        <v>0.13329970294187421</v>
      </c>
    </row>
    <row r="91" spans="4:44" ht="13.5" customHeight="1" thickTop="1" x14ac:dyDescent="0.15">
      <c r="G91" s="7"/>
      <c r="H91" s="207"/>
      <c r="J91" s="156"/>
      <c r="K91" s="13" t="s">
        <v>92</v>
      </c>
      <c r="L91" s="13" t="s">
        <v>67</v>
      </c>
      <c r="M91" s="8">
        <v>0.13703970891929229</v>
      </c>
      <c r="N91" s="8">
        <v>0.13757681435569691</v>
      </c>
      <c r="O91" s="8">
        <v>0.13811391979210152</v>
      </c>
      <c r="P91" s="8">
        <v>0.13865102522850614</v>
      </c>
      <c r="Q91" s="8">
        <v>0.13918813066491076</v>
      </c>
      <c r="R91" s="8">
        <v>0.13972523610131538</v>
      </c>
      <c r="S91" s="8">
        <v>0.14026234153771999</v>
      </c>
      <c r="T91" s="8">
        <v>0.14079944697412461</v>
      </c>
      <c r="U91" s="8">
        <v>0.14133655241052923</v>
      </c>
      <c r="V91" s="8">
        <v>0.14187365784693384</v>
      </c>
      <c r="W91" s="8">
        <v>0.14241076328333849</v>
      </c>
      <c r="X91" s="8">
        <v>0.14241076328333849</v>
      </c>
      <c r="Y91" s="8">
        <v>0.14241076328333849</v>
      </c>
      <c r="Z91" s="8">
        <v>0.14241076328333849</v>
      </c>
      <c r="AA91" s="8">
        <v>0.14241076328333849</v>
      </c>
      <c r="AB91" s="8">
        <v>0.14241076328333849</v>
      </c>
      <c r="AC91" s="8">
        <v>0.14241076328333849</v>
      </c>
      <c r="AD91" s="8">
        <v>0.14241076328333849</v>
      </c>
      <c r="AE91" s="8">
        <v>0.14241076328333849</v>
      </c>
      <c r="AF91" s="8">
        <v>0.14241076328333849</v>
      </c>
      <c r="AG91" s="8">
        <v>0.14241076328333849</v>
      </c>
      <c r="AH91" s="8">
        <v>0.14241076328333849</v>
      </c>
      <c r="AI91" s="8">
        <v>0.14241076328333849</v>
      </c>
      <c r="AJ91" s="8">
        <v>0.14241076328333849</v>
      </c>
      <c r="AK91" s="8">
        <v>0.14241076328333849</v>
      </c>
      <c r="AL91" s="8">
        <v>0.14241076328333849</v>
      </c>
      <c r="AM91" s="8">
        <v>0.14241076328333849</v>
      </c>
      <c r="AN91" s="8">
        <v>0.14241076328333849</v>
      </c>
      <c r="AO91" s="8">
        <v>0.14241076328333849</v>
      </c>
      <c r="AP91" s="8">
        <v>0.14241076328333849</v>
      </c>
      <c r="AQ91" s="8">
        <v>0.14241076328333849</v>
      </c>
    </row>
    <row r="92" spans="4:44" ht="14.25" customHeight="1" x14ac:dyDescent="0.15">
      <c r="G92" s="7"/>
      <c r="H92" s="207"/>
      <c r="J92" s="156"/>
      <c r="K92" s="5" t="s">
        <v>92</v>
      </c>
      <c r="L92" s="47" t="s">
        <v>66</v>
      </c>
      <c r="M92" s="9">
        <v>0.13671379637149922</v>
      </c>
      <c r="N92" s="9">
        <v>0.13692498926011076</v>
      </c>
      <c r="O92" s="9">
        <v>0.13713618214872231</v>
      </c>
      <c r="P92" s="9">
        <v>0.13734737503733385</v>
      </c>
      <c r="Q92" s="9">
        <v>0.1375585679259454</v>
      </c>
      <c r="R92" s="9">
        <v>0.13776976081455694</v>
      </c>
      <c r="S92" s="9">
        <v>0.13798095370316849</v>
      </c>
      <c r="T92" s="9">
        <v>0.13819214659178003</v>
      </c>
      <c r="U92" s="9">
        <v>0.13840333948039157</v>
      </c>
      <c r="V92" s="9">
        <v>0.13861453236900312</v>
      </c>
      <c r="W92" s="9">
        <v>0.13882572525761461</v>
      </c>
      <c r="X92" s="9">
        <v>0.13900497715890081</v>
      </c>
      <c r="Y92" s="9">
        <v>0.13918422906018701</v>
      </c>
      <c r="Z92" s="9">
        <v>0.13936348096147322</v>
      </c>
      <c r="AA92" s="9">
        <v>0.13954273286275942</v>
      </c>
      <c r="AB92" s="9">
        <v>0.13972198476404563</v>
      </c>
      <c r="AC92" s="9">
        <v>0.13990123666533183</v>
      </c>
      <c r="AD92" s="9">
        <v>0.14008048856661803</v>
      </c>
      <c r="AE92" s="9">
        <v>0.14025974046790424</v>
      </c>
      <c r="AF92" s="9">
        <v>0.14043899236919044</v>
      </c>
      <c r="AG92" s="9">
        <v>0.14061824427047664</v>
      </c>
      <c r="AH92" s="9">
        <v>0.14079749617176285</v>
      </c>
      <c r="AI92" s="9">
        <v>0.14097674807304905</v>
      </c>
      <c r="AJ92" s="9">
        <v>0.14115599997433526</v>
      </c>
      <c r="AK92" s="9">
        <v>0.14133525187562146</v>
      </c>
      <c r="AL92" s="9">
        <v>0.14151450377690766</v>
      </c>
      <c r="AM92" s="9">
        <v>0.14169375567819387</v>
      </c>
      <c r="AN92" s="9">
        <v>0.14187300757948007</v>
      </c>
      <c r="AO92" s="9">
        <v>0.14205225948076627</v>
      </c>
      <c r="AP92" s="9">
        <v>0.14223151138205248</v>
      </c>
      <c r="AQ92" s="9">
        <v>0.14241076328333849</v>
      </c>
    </row>
    <row r="93" spans="4:44" ht="14.25" customHeight="1" thickBot="1" x14ac:dyDescent="0.2">
      <c r="G93" s="7"/>
      <c r="H93" s="207"/>
      <c r="J93" s="156"/>
      <c r="K93" s="14" t="s">
        <v>92</v>
      </c>
      <c r="L93" s="14" t="s">
        <v>62</v>
      </c>
      <c r="M93" s="10">
        <v>0.13650260348288767</v>
      </c>
      <c r="N93" s="10">
        <v>0.13650260348288767</v>
      </c>
      <c r="O93" s="10">
        <v>0.13650260348288767</v>
      </c>
      <c r="P93" s="10">
        <v>0.13650260348288767</v>
      </c>
      <c r="Q93" s="10">
        <v>0.13650260348288767</v>
      </c>
      <c r="R93" s="10">
        <v>0.13650260348288767</v>
      </c>
      <c r="S93" s="10">
        <v>0.13650260348288767</v>
      </c>
      <c r="T93" s="10">
        <v>0.13650260348288767</v>
      </c>
      <c r="U93" s="10">
        <v>0.13650260348288767</v>
      </c>
      <c r="V93" s="10">
        <v>0.13650260348288767</v>
      </c>
      <c r="W93" s="10">
        <v>0.13650260348288767</v>
      </c>
      <c r="X93" s="10">
        <v>0.13661875957162403</v>
      </c>
      <c r="Y93" s="10">
        <v>0.13673491566036039</v>
      </c>
      <c r="Z93" s="10">
        <v>0.13685107174909675</v>
      </c>
      <c r="AA93" s="10">
        <v>0.13696722783783311</v>
      </c>
      <c r="AB93" s="10">
        <v>0.13708338392656946</v>
      </c>
      <c r="AC93" s="10">
        <v>0.13719954001530582</v>
      </c>
      <c r="AD93" s="10">
        <v>0.13731569610404218</v>
      </c>
      <c r="AE93" s="10">
        <v>0.13743185219277854</v>
      </c>
      <c r="AF93" s="10">
        <v>0.13754800828151489</v>
      </c>
      <c r="AG93" s="10">
        <v>0.13766416437025125</v>
      </c>
      <c r="AH93" s="10">
        <v>0.13778032045898761</v>
      </c>
      <c r="AI93" s="10">
        <v>0.13789647654772397</v>
      </c>
      <c r="AJ93" s="10">
        <v>0.13801263263646033</v>
      </c>
      <c r="AK93" s="10">
        <v>0.13812878872519668</v>
      </c>
      <c r="AL93" s="10">
        <v>0.13824494481393304</v>
      </c>
      <c r="AM93" s="10">
        <v>0.1383611009026694</v>
      </c>
      <c r="AN93" s="10">
        <v>0.13847725699140576</v>
      </c>
      <c r="AO93" s="10">
        <v>0.13859341308014211</v>
      </c>
      <c r="AP93" s="10">
        <v>0.13870956916887847</v>
      </c>
      <c r="AQ93" s="10">
        <v>0.13882572525761461</v>
      </c>
    </row>
    <row r="94" spans="4:44" ht="13.5" customHeight="1" thickTop="1" x14ac:dyDescent="0.15">
      <c r="G94" s="7"/>
      <c r="H94" s="207"/>
      <c r="J94" s="156"/>
      <c r="K94" s="13" t="s">
        <v>91</v>
      </c>
      <c r="L94" s="13" t="s">
        <v>67</v>
      </c>
      <c r="M94" s="8">
        <v>0.14385837675366336</v>
      </c>
      <c r="N94" s="8">
        <v>0.14442220687878601</v>
      </c>
      <c r="O94" s="8">
        <v>0.14498603700390866</v>
      </c>
      <c r="P94" s="8">
        <v>0.14554986712903131</v>
      </c>
      <c r="Q94" s="8">
        <v>0.14611369725415396</v>
      </c>
      <c r="R94" s="8">
        <v>0.14667752737927661</v>
      </c>
      <c r="S94" s="8">
        <v>0.14724135750439926</v>
      </c>
      <c r="T94" s="8">
        <v>0.14780518762952191</v>
      </c>
      <c r="U94" s="8">
        <v>0.14836901775464456</v>
      </c>
      <c r="V94" s="8">
        <v>0.14893284787976721</v>
      </c>
      <c r="W94" s="8">
        <v>0.14949667800488989</v>
      </c>
      <c r="X94" s="8">
        <v>0.14949667800488989</v>
      </c>
      <c r="Y94" s="8">
        <v>0.14949667800488989</v>
      </c>
      <c r="Z94" s="8">
        <v>0.14949667800488989</v>
      </c>
      <c r="AA94" s="8">
        <v>0.14949667800488989</v>
      </c>
      <c r="AB94" s="8">
        <v>0.14949667800488989</v>
      </c>
      <c r="AC94" s="8">
        <v>0.14949667800488989</v>
      </c>
      <c r="AD94" s="8">
        <v>0.14949667800488989</v>
      </c>
      <c r="AE94" s="8">
        <v>0.14949667800488989</v>
      </c>
      <c r="AF94" s="8">
        <v>0.14949667800488989</v>
      </c>
      <c r="AG94" s="8">
        <v>0.14949667800488989</v>
      </c>
      <c r="AH94" s="8">
        <v>0.14949667800488989</v>
      </c>
      <c r="AI94" s="8">
        <v>0.14949667800488989</v>
      </c>
      <c r="AJ94" s="8">
        <v>0.14949667800488989</v>
      </c>
      <c r="AK94" s="8">
        <v>0.14949667800488989</v>
      </c>
      <c r="AL94" s="8">
        <v>0.14949667800488989</v>
      </c>
      <c r="AM94" s="8">
        <v>0.14949667800488989</v>
      </c>
      <c r="AN94" s="8">
        <v>0.14949667800488989</v>
      </c>
      <c r="AO94" s="8">
        <v>0.14949667800488989</v>
      </c>
      <c r="AP94" s="8">
        <v>0.14949667800488989</v>
      </c>
      <c r="AQ94" s="8">
        <v>0.14949667800488989</v>
      </c>
    </row>
    <row r="95" spans="4:44" ht="14.25" customHeight="1" x14ac:dyDescent="0.15">
      <c r="G95" s="7"/>
      <c r="H95" s="207"/>
      <c r="J95" s="156"/>
      <c r="K95" s="5" t="s">
        <v>91</v>
      </c>
      <c r="L95" s="47" t="s">
        <v>66</v>
      </c>
      <c r="M95" s="9">
        <v>0.14351624781557012</v>
      </c>
      <c r="N95" s="9">
        <v>0.14373794900259954</v>
      </c>
      <c r="O95" s="9">
        <v>0.14395965018962895</v>
      </c>
      <c r="P95" s="9">
        <v>0.14418135137665836</v>
      </c>
      <c r="Q95" s="9">
        <v>0.14440305256368777</v>
      </c>
      <c r="R95" s="9">
        <v>0.14462475375071718</v>
      </c>
      <c r="S95" s="9">
        <v>0.14484645493774659</v>
      </c>
      <c r="T95" s="9">
        <v>0.145068156124776</v>
      </c>
      <c r="U95" s="9">
        <v>0.14528985731180541</v>
      </c>
      <c r="V95" s="9">
        <v>0.14551155849883482</v>
      </c>
      <c r="W95" s="9">
        <v>0.14573325968586431</v>
      </c>
      <c r="X95" s="9">
        <v>0.14592143060181559</v>
      </c>
      <c r="Y95" s="9">
        <v>0.14610960151776686</v>
      </c>
      <c r="Z95" s="9">
        <v>0.14629777243371814</v>
      </c>
      <c r="AA95" s="9">
        <v>0.14648594334966941</v>
      </c>
      <c r="AB95" s="9">
        <v>0.14667411426562069</v>
      </c>
      <c r="AC95" s="9">
        <v>0.14686228518157196</v>
      </c>
      <c r="AD95" s="9">
        <v>0.14705045609752324</v>
      </c>
      <c r="AE95" s="9">
        <v>0.14723862701347451</v>
      </c>
      <c r="AF95" s="9">
        <v>0.14742679792942578</v>
      </c>
      <c r="AG95" s="9">
        <v>0.14761496884537706</v>
      </c>
      <c r="AH95" s="9">
        <v>0.14780313976132833</v>
      </c>
      <c r="AI95" s="9">
        <v>0.14799131067727961</v>
      </c>
      <c r="AJ95" s="9">
        <v>0.14817948159323088</v>
      </c>
      <c r="AK95" s="9">
        <v>0.14836765250918216</v>
      </c>
      <c r="AL95" s="9">
        <v>0.14855582342513343</v>
      </c>
      <c r="AM95" s="9">
        <v>0.14874399434108471</v>
      </c>
      <c r="AN95" s="9">
        <v>0.14893216525703598</v>
      </c>
      <c r="AO95" s="9">
        <v>0.14912033617298726</v>
      </c>
      <c r="AP95" s="9">
        <v>0.14930850708893853</v>
      </c>
      <c r="AQ95" s="9">
        <v>0.14949667800488989</v>
      </c>
    </row>
    <row r="96" spans="4:44" ht="14.25" customHeight="1" thickBot="1" x14ac:dyDescent="0.2">
      <c r="G96" s="7"/>
      <c r="H96" s="207"/>
      <c r="J96" s="156"/>
      <c r="K96" s="14" t="s">
        <v>91</v>
      </c>
      <c r="L96" s="14" t="s">
        <v>62</v>
      </c>
      <c r="M96" s="10">
        <v>0.14329454662854071</v>
      </c>
      <c r="N96" s="10">
        <v>0.14329454662854071</v>
      </c>
      <c r="O96" s="10">
        <v>0.14329454662854071</v>
      </c>
      <c r="P96" s="10">
        <v>0.14329454662854071</v>
      </c>
      <c r="Q96" s="10">
        <v>0.14329454662854071</v>
      </c>
      <c r="R96" s="10">
        <v>0.14329454662854071</v>
      </c>
      <c r="S96" s="10">
        <v>0.14329454662854071</v>
      </c>
      <c r="T96" s="10">
        <v>0.14329454662854071</v>
      </c>
      <c r="U96" s="10">
        <v>0.14329454662854071</v>
      </c>
      <c r="V96" s="10">
        <v>0.14329454662854071</v>
      </c>
      <c r="W96" s="10">
        <v>0.14329454662854071</v>
      </c>
      <c r="X96" s="10">
        <v>0.14341648228140688</v>
      </c>
      <c r="Y96" s="10">
        <v>0.14353841793427305</v>
      </c>
      <c r="Z96" s="10">
        <v>0.14366035358713922</v>
      </c>
      <c r="AA96" s="10">
        <v>0.14378228924000538</v>
      </c>
      <c r="AB96" s="10">
        <v>0.14390422489287155</v>
      </c>
      <c r="AC96" s="10">
        <v>0.14402616054573772</v>
      </c>
      <c r="AD96" s="10">
        <v>0.14414809619860389</v>
      </c>
      <c r="AE96" s="10">
        <v>0.14427003185147005</v>
      </c>
      <c r="AF96" s="10">
        <v>0.14439196750433622</v>
      </c>
      <c r="AG96" s="10">
        <v>0.14451390315720239</v>
      </c>
      <c r="AH96" s="10">
        <v>0.14463583881006856</v>
      </c>
      <c r="AI96" s="10">
        <v>0.14475777446293472</v>
      </c>
      <c r="AJ96" s="10">
        <v>0.14487971011580089</v>
      </c>
      <c r="AK96" s="10">
        <v>0.14500164576866706</v>
      </c>
      <c r="AL96" s="10">
        <v>0.14512358142153323</v>
      </c>
      <c r="AM96" s="10">
        <v>0.14524551707439939</v>
      </c>
      <c r="AN96" s="10">
        <v>0.14536745272726556</v>
      </c>
      <c r="AO96" s="10">
        <v>0.14548938838013173</v>
      </c>
      <c r="AP96" s="10">
        <v>0.1456113240329979</v>
      </c>
      <c r="AQ96" s="10">
        <v>0.14573325968586431</v>
      </c>
    </row>
    <row r="97" spans="7:43" ht="13.5" customHeight="1" thickTop="1" x14ac:dyDescent="0.15">
      <c r="G97" s="7"/>
      <c r="H97" s="207"/>
      <c r="J97" s="156"/>
      <c r="K97" s="13" t="s">
        <v>90</v>
      </c>
      <c r="L97" s="13" t="s">
        <v>67</v>
      </c>
      <c r="M97" s="8">
        <v>0.15049311805235732</v>
      </c>
      <c r="N97" s="8">
        <v>0.1510829519952695</v>
      </c>
      <c r="O97" s="8">
        <v>0.15167278593818168</v>
      </c>
      <c r="P97" s="8">
        <v>0.15226261988109385</v>
      </c>
      <c r="Q97" s="8">
        <v>0.15285245382400603</v>
      </c>
      <c r="R97" s="8">
        <v>0.15344228776691821</v>
      </c>
      <c r="S97" s="8">
        <v>0.15403212170983038</v>
      </c>
      <c r="T97" s="8">
        <v>0.15462195565274256</v>
      </c>
      <c r="U97" s="8">
        <v>0.15521178959565474</v>
      </c>
      <c r="V97" s="8">
        <v>0.15580162353856691</v>
      </c>
      <c r="W97" s="8">
        <v>0.15639145748147906</v>
      </c>
      <c r="X97" s="8">
        <v>0.15639145748147906</v>
      </c>
      <c r="Y97" s="8">
        <v>0.15639145748147906</v>
      </c>
      <c r="Z97" s="8">
        <v>0.15639145748147906</v>
      </c>
      <c r="AA97" s="8">
        <v>0.15639145748147906</v>
      </c>
      <c r="AB97" s="8">
        <v>0.15639145748147906</v>
      </c>
      <c r="AC97" s="8">
        <v>0.15639145748147906</v>
      </c>
      <c r="AD97" s="8">
        <v>0.15639145748147906</v>
      </c>
      <c r="AE97" s="8">
        <v>0.15639145748147906</v>
      </c>
      <c r="AF97" s="8">
        <v>0.15639145748147906</v>
      </c>
      <c r="AG97" s="8">
        <v>0.15639145748147906</v>
      </c>
      <c r="AH97" s="8">
        <v>0.15639145748147906</v>
      </c>
      <c r="AI97" s="8">
        <v>0.15639145748147906</v>
      </c>
      <c r="AJ97" s="8">
        <v>0.15639145748147906</v>
      </c>
      <c r="AK97" s="8">
        <v>0.15639145748147906</v>
      </c>
      <c r="AL97" s="8">
        <v>0.15639145748147906</v>
      </c>
      <c r="AM97" s="8">
        <v>0.15639145748147906</v>
      </c>
      <c r="AN97" s="8">
        <v>0.15639145748147906</v>
      </c>
      <c r="AO97" s="8">
        <v>0.15639145748147906</v>
      </c>
      <c r="AP97" s="8">
        <v>0.15639145748147906</v>
      </c>
      <c r="AQ97" s="8">
        <v>0.15639145748147906</v>
      </c>
    </row>
    <row r="98" spans="7:43" ht="14.25" customHeight="1" x14ac:dyDescent="0.15">
      <c r="G98" s="7"/>
      <c r="H98" s="207"/>
      <c r="J98" s="156"/>
      <c r="K98" s="5" t="s">
        <v>90</v>
      </c>
      <c r="L98" s="47" t="s">
        <v>66</v>
      </c>
      <c r="M98" s="9">
        <v>0.15013521014437531</v>
      </c>
      <c r="N98" s="9">
        <v>0.15036713617930547</v>
      </c>
      <c r="O98" s="9">
        <v>0.15059906221423563</v>
      </c>
      <c r="P98" s="9">
        <v>0.1508309882491658</v>
      </c>
      <c r="Q98" s="9">
        <v>0.15106291428409596</v>
      </c>
      <c r="R98" s="9">
        <v>0.15129484031902612</v>
      </c>
      <c r="S98" s="9">
        <v>0.15152676635395629</v>
      </c>
      <c r="T98" s="9">
        <v>0.15175869238888645</v>
      </c>
      <c r="U98" s="9">
        <v>0.15199061842381661</v>
      </c>
      <c r="V98" s="9">
        <v>0.15222254445874678</v>
      </c>
      <c r="W98" s="9">
        <v>0.15245447049367689</v>
      </c>
      <c r="X98" s="9">
        <v>0.15265131984306698</v>
      </c>
      <c r="Y98" s="9">
        <v>0.15284816919245708</v>
      </c>
      <c r="Z98" s="9">
        <v>0.15304501854184718</v>
      </c>
      <c r="AA98" s="9">
        <v>0.15324186789123728</v>
      </c>
      <c r="AB98" s="9">
        <v>0.15343871724062738</v>
      </c>
      <c r="AC98" s="9">
        <v>0.15363556659001748</v>
      </c>
      <c r="AD98" s="9">
        <v>0.15383241593940758</v>
      </c>
      <c r="AE98" s="9">
        <v>0.15402926528879768</v>
      </c>
      <c r="AF98" s="9">
        <v>0.15422611463818778</v>
      </c>
      <c r="AG98" s="9">
        <v>0.15442296398757788</v>
      </c>
      <c r="AH98" s="9">
        <v>0.15461981333696798</v>
      </c>
      <c r="AI98" s="9">
        <v>0.15481666268635808</v>
      </c>
      <c r="AJ98" s="9">
        <v>0.15501351203574817</v>
      </c>
      <c r="AK98" s="9">
        <v>0.15521036138513827</v>
      </c>
      <c r="AL98" s="9">
        <v>0.15540721073452837</v>
      </c>
      <c r="AM98" s="9">
        <v>0.15560406008391847</v>
      </c>
      <c r="AN98" s="9">
        <v>0.15580090943330857</v>
      </c>
      <c r="AO98" s="9">
        <v>0.15599775878269867</v>
      </c>
      <c r="AP98" s="9">
        <v>0.15619460813208877</v>
      </c>
      <c r="AQ98" s="9">
        <v>0.15639145748147906</v>
      </c>
    </row>
    <row r="99" spans="7:43" ht="14.25" customHeight="1" thickBot="1" x14ac:dyDescent="0.2">
      <c r="G99" s="7"/>
      <c r="H99" s="207"/>
      <c r="J99" s="156"/>
      <c r="K99" s="14" t="s">
        <v>90</v>
      </c>
      <c r="L99" s="14" t="s">
        <v>62</v>
      </c>
      <c r="M99" s="10">
        <v>0.14990328410944515</v>
      </c>
      <c r="N99" s="10">
        <v>0.14990328410944515</v>
      </c>
      <c r="O99" s="10">
        <v>0.14990328410944515</v>
      </c>
      <c r="P99" s="10">
        <v>0.14990328410944515</v>
      </c>
      <c r="Q99" s="10">
        <v>0.14990328410944515</v>
      </c>
      <c r="R99" s="10">
        <v>0.14990328410944515</v>
      </c>
      <c r="S99" s="10">
        <v>0.14990328410944515</v>
      </c>
      <c r="T99" s="10">
        <v>0.14990328410944515</v>
      </c>
      <c r="U99" s="10">
        <v>0.14990328410944515</v>
      </c>
      <c r="V99" s="10">
        <v>0.14990328410944515</v>
      </c>
      <c r="W99" s="10">
        <v>0.14990328410944515</v>
      </c>
      <c r="X99" s="10">
        <v>0.15003084342865675</v>
      </c>
      <c r="Y99" s="10">
        <v>0.15015840274786835</v>
      </c>
      <c r="Z99" s="10">
        <v>0.15028596206707995</v>
      </c>
      <c r="AA99" s="10">
        <v>0.15041352138629155</v>
      </c>
      <c r="AB99" s="10">
        <v>0.15054108070550315</v>
      </c>
      <c r="AC99" s="10">
        <v>0.15066864002471475</v>
      </c>
      <c r="AD99" s="10">
        <v>0.15079619934392635</v>
      </c>
      <c r="AE99" s="10">
        <v>0.15092375866313795</v>
      </c>
      <c r="AF99" s="10">
        <v>0.15105131798234955</v>
      </c>
      <c r="AG99" s="10">
        <v>0.15117887730156115</v>
      </c>
      <c r="AH99" s="10">
        <v>0.15130643662077276</v>
      </c>
      <c r="AI99" s="10">
        <v>0.15143399593998436</v>
      </c>
      <c r="AJ99" s="10">
        <v>0.15156155525919596</v>
      </c>
      <c r="AK99" s="10">
        <v>0.15168911457840756</v>
      </c>
      <c r="AL99" s="10">
        <v>0.15181667389761916</v>
      </c>
      <c r="AM99" s="10">
        <v>0.15194423321683076</v>
      </c>
      <c r="AN99" s="10">
        <v>0.15207179253604236</v>
      </c>
      <c r="AO99" s="10">
        <v>0.15219935185525396</v>
      </c>
      <c r="AP99" s="10">
        <v>0.15232691117446556</v>
      </c>
      <c r="AQ99" s="10">
        <v>0.15245447049367689</v>
      </c>
    </row>
    <row r="100" spans="7:43" ht="14.25" customHeight="1" thickTop="1" x14ac:dyDescent="0.15">
      <c r="G100" s="7"/>
      <c r="H100" s="207"/>
      <c r="J100" s="156"/>
      <c r="K100" s="13" t="s">
        <v>89</v>
      </c>
      <c r="L100" s="13" t="s">
        <v>67</v>
      </c>
      <c r="M100" s="8">
        <v>0.15238407401553972</v>
      </c>
      <c r="N100" s="8">
        <v>0.15298131926088268</v>
      </c>
      <c r="O100" s="8">
        <v>0.15357856450622565</v>
      </c>
      <c r="P100" s="8">
        <v>0.15417580975156861</v>
      </c>
      <c r="Q100" s="8">
        <v>0.15477305499691157</v>
      </c>
      <c r="R100" s="8">
        <v>0.15537030024225454</v>
      </c>
      <c r="S100" s="8">
        <v>0.1559675454875975</v>
      </c>
      <c r="T100" s="8">
        <v>0.15656479073294047</v>
      </c>
      <c r="U100" s="8">
        <v>0.15716203597828343</v>
      </c>
      <c r="V100" s="8">
        <v>0.1577592812236264</v>
      </c>
      <c r="W100" s="8">
        <v>0.15835652646896928</v>
      </c>
      <c r="X100" s="8">
        <v>0.15835652646896928</v>
      </c>
      <c r="Y100" s="8">
        <v>0.15835652646896928</v>
      </c>
      <c r="Z100" s="8">
        <v>0.15835652646896928</v>
      </c>
      <c r="AA100" s="8">
        <v>0.15835652646896928</v>
      </c>
      <c r="AB100" s="8">
        <v>0.15835652646896928</v>
      </c>
      <c r="AC100" s="8">
        <v>0.15835652646896928</v>
      </c>
      <c r="AD100" s="8">
        <v>0.15835652646896928</v>
      </c>
      <c r="AE100" s="8">
        <v>0.15835652646896928</v>
      </c>
      <c r="AF100" s="8">
        <v>0.15835652646896928</v>
      </c>
      <c r="AG100" s="8">
        <v>0.15835652646896928</v>
      </c>
      <c r="AH100" s="8">
        <v>0.15835652646896928</v>
      </c>
      <c r="AI100" s="8">
        <v>0.15835652646896928</v>
      </c>
      <c r="AJ100" s="8">
        <v>0.15835652646896928</v>
      </c>
      <c r="AK100" s="8">
        <v>0.15835652646896928</v>
      </c>
      <c r="AL100" s="8">
        <v>0.15835652646896928</v>
      </c>
      <c r="AM100" s="8">
        <v>0.15835652646896928</v>
      </c>
      <c r="AN100" s="8">
        <v>0.15835652646896928</v>
      </c>
      <c r="AO100" s="8">
        <v>0.15835652646896928</v>
      </c>
      <c r="AP100" s="8">
        <v>0.15835652646896928</v>
      </c>
      <c r="AQ100" s="8">
        <v>0.15835652646896928</v>
      </c>
    </row>
    <row r="101" spans="7:43" ht="14.25" customHeight="1" x14ac:dyDescent="0.15">
      <c r="G101" s="7"/>
      <c r="H101" s="207"/>
      <c r="J101" s="156"/>
      <c r="K101" s="5" t="s">
        <v>89</v>
      </c>
      <c r="L101" s="47" t="s">
        <v>66</v>
      </c>
      <c r="M101" s="9">
        <v>0.15202166897106648</v>
      </c>
      <c r="N101" s="9">
        <v>0.1522565091719362</v>
      </c>
      <c r="O101" s="9">
        <v>0.15249134937280592</v>
      </c>
      <c r="P101" s="9">
        <v>0.15272618957367565</v>
      </c>
      <c r="Q101" s="9">
        <v>0.15296102977454537</v>
      </c>
      <c r="R101" s="9">
        <v>0.15319586997541509</v>
      </c>
      <c r="S101" s="9">
        <v>0.15343071017628482</v>
      </c>
      <c r="T101" s="9">
        <v>0.15366555037715454</v>
      </c>
      <c r="U101" s="9">
        <v>0.15390039057802427</v>
      </c>
      <c r="V101" s="9">
        <v>0.15413523077889399</v>
      </c>
      <c r="W101" s="9">
        <v>0.15437007097976382</v>
      </c>
      <c r="X101" s="9">
        <v>0.1545693937542241</v>
      </c>
      <c r="Y101" s="9">
        <v>0.15476871652868437</v>
      </c>
      <c r="Z101" s="9">
        <v>0.15496803930314465</v>
      </c>
      <c r="AA101" s="9">
        <v>0.15516736207760493</v>
      </c>
      <c r="AB101" s="9">
        <v>0.1553666848520652</v>
      </c>
      <c r="AC101" s="9">
        <v>0.15556600762652548</v>
      </c>
      <c r="AD101" s="9">
        <v>0.15576533040098575</v>
      </c>
      <c r="AE101" s="9">
        <v>0.15596465317544603</v>
      </c>
      <c r="AF101" s="9">
        <v>0.1561639759499063</v>
      </c>
      <c r="AG101" s="9">
        <v>0.15636329872436658</v>
      </c>
      <c r="AH101" s="9">
        <v>0.15656262149882685</v>
      </c>
      <c r="AI101" s="9">
        <v>0.15676194427328713</v>
      </c>
      <c r="AJ101" s="9">
        <v>0.1569612670477474</v>
      </c>
      <c r="AK101" s="9">
        <v>0.15716058982220768</v>
      </c>
      <c r="AL101" s="9">
        <v>0.15735991259666796</v>
      </c>
      <c r="AM101" s="9">
        <v>0.15755923537112823</v>
      </c>
      <c r="AN101" s="9">
        <v>0.15775855814558851</v>
      </c>
      <c r="AO101" s="9">
        <v>0.15795788092004878</v>
      </c>
      <c r="AP101" s="9">
        <v>0.15815720369450906</v>
      </c>
      <c r="AQ101" s="9">
        <v>0.15835652646896928</v>
      </c>
    </row>
    <row r="102" spans="7:43" ht="14.25" customHeight="1" thickBot="1" x14ac:dyDescent="0.2">
      <c r="G102" s="7"/>
      <c r="H102" s="207"/>
      <c r="J102" s="156"/>
      <c r="K102" s="14" t="s">
        <v>89</v>
      </c>
      <c r="L102" s="14" t="s">
        <v>62</v>
      </c>
      <c r="M102" s="10">
        <v>0.15178682877019675</v>
      </c>
      <c r="N102" s="10">
        <v>0.15178682877019675</v>
      </c>
      <c r="O102" s="10">
        <v>0.15178682877019675</v>
      </c>
      <c r="P102" s="10">
        <v>0.15178682877019675</v>
      </c>
      <c r="Q102" s="10">
        <v>0.15178682877019675</v>
      </c>
      <c r="R102" s="10">
        <v>0.15178682877019675</v>
      </c>
      <c r="S102" s="10">
        <v>0.15178682877019675</v>
      </c>
      <c r="T102" s="10">
        <v>0.15178682877019675</v>
      </c>
      <c r="U102" s="10">
        <v>0.15178682877019675</v>
      </c>
      <c r="V102" s="10">
        <v>0.15178682877019675</v>
      </c>
      <c r="W102" s="10">
        <v>0.15178682877019675</v>
      </c>
      <c r="X102" s="10">
        <v>0.15191599088067512</v>
      </c>
      <c r="Y102" s="10">
        <v>0.15204515299115348</v>
      </c>
      <c r="Z102" s="10">
        <v>0.15217431510163185</v>
      </c>
      <c r="AA102" s="10">
        <v>0.15230347721211021</v>
      </c>
      <c r="AB102" s="10">
        <v>0.15243263932258858</v>
      </c>
      <c r="AC102" s="10">
        <v>0.15256180143306694</v>
      </c>
      <c r="AD102" s="10">
        <v>0.1526909635435453</v>
      </c>
      <c r="AE102" s="10">
        <v>0.15282012565402367</v>
      </c>
      <c r="AF102" s="10">
        <v>0.15294928776450203</v>
      </c>
      <c r="AG102" s="10">
        <v>0.1530784498749804</v>
      </c>
      <c r="AH102" s="10">
        <v>0.15320761198545876</v>
      </c>
      <c r="AI102" s="10">
        <v>0.15333677409593713</v>
      </c>
      <c r="AJ102" s="10">
        <v>0.15346593620641549</v>
      </c>
      <c r="AK102" s="10">
        <v>0.15359509831689386</v>
      </c>
      <c r="AL102" s="10">
        <v>0.15372426042737222</v>
      </c>
      <c r="AM102" s="10">
        <v>0.15385342253785059</v>
      </c>
      <c r="AN102" s="10">
        <v>0.15398258464832895</v>
      </c>
      <c r="AO102" s="10">
        <v>0.15411174675880732</v>
      </c>
      <c r="AP102" s="10">
        <v>0.15424090886928568</v>
      </c>
      <c r="AQ102" s="10">
        <v>0.15437007097976382</v>
      </c>
    </row>
    <row r="103" spans="7:43" ht="14.25" customHeight="1" thickTop="1" x14ac:dyDescent="0.15">
      <c r="G103" s="7"/>
      <c r="H103" s="207"/>
      <c r="J103" s="156"/>
      <c r="K103" s="13" t="s">
        <v>88</v>
      </c>
      <c r="L103" s="13" t="s">
        <v>67</v>
      </c>
      <c r="M103" s="8">
        <v>0.16088504551753646</v>
      </c>
      <c r="N103" s="8">
        <v>0.16151560897439965</v>
      </c>
      <c r="O103" s="8">
        <v>0.16214617243126284</v>
      </c>
      <c r="P103" s="8">
        <v>0.16277673588812602</v>
      </c>
      <c r="Q103" s="8">
        <v>0.16340729934498921</v>
      </c>
      <c r="R103" s="8">
        <v>0.1640378628018524</v>
      </c>
      <c r="S103" s="8">
        <v>0.16466842625871558</v>
      </c>
      <c r="T103" s="8">
        <v>0.16529898971557877</v>
      </c>
      <c r="U103" s="8">
        <v>0.16592955317244196</v>
      </c>
      <c r="V103" s="8">
        <v>0.16656011662930514</v>
      </c>
      <c r="W103" s="8">
        <v>0.16719068008616828</v>
      </c>
      <c r="X103" s="8">
        <v>0.16719068008616828</v>
      </c>
      <c r="Y103" s="8">
        <v>0.16719068008616828</v>
      </c>
      <c r="Z103" s="8">
        <v>0.16719068008616828</v>
      </c>
      <c r="AA103" s="8">
        <v>0.16719068008616828</v>
      </c>
      <c r="AB103" s="8">
        <v>0.16719068008616828</v>
      </c>
      <c r="AC103" s="8">
        <v>0.16719068008616828</v>
      </c>
      <c r="AD103" s="8">
        <v>0.16719068008616828</v>
      </c>
      <c r="AE103" s="8">
        <v>0.16719068008616828</v>
      </c>
      <c r="AF103" s="8">
        <v>0.16719068008616828</v>
      </c>
      <c r="AG103" s="8">
        <v>0.16719068008616828</v>
      </c>
      <c r="AH103" s="8">
        <v>0.16719068008616828</v>
      </c>
      <c r="AI103" s="8">
        <v>0.16719068008616828</v>
      </c>
      <c r="AJ103" s="8">
        <v>0.16719068008616828</v>
      </c>
      <c r="AK103" s="8">
        <v>0.16719068008616828</v>
      </c>
      <c r="AL103" s="8">
        <v>0.16719068008616828</v>
      </c>
      <c r="AM103" s="8">
        <v>0.16719068008616828</v>
      </c>
      <c r="AN103" s="8">
        <v>0.16719068008616828</v>
      </c>
      <c r="AO103" s="8">
        <v>0.16719068008616828</v>
      </c>
      <c r="AP103" s="8">
        <v>0.16719068008616828</v>
      </c>
      <c r="AQ103" s="8">
        <v>0.16719068008616828</v>
      </c>
    </row>
    <row r="104" spans="7:43" ht="14.25" customHeight="1" x14ac:dyDescent="0.15">
      <c r="G104" s="7"/>
      <c r="H104" s="207"/>
      <c r="J104" s="156"/>
      <c r="K104" s="5" t="s">
        <v>88</v>
      </c>
      <c r="L104" s="47" t="s">
        <v>66</v>
      </c>
      <c r="M104" s="9">
        <v>0.16050242317033558</v>
      </c>
      <c r="N104" s="9">
        <v>0.16075036427999789</v>
      </c>
      <c r="O104" s="9">
        <v>0.1609983053896602</v>
      </c>
      <c r="P104" s="9">
        <v>0.16124624649932251</v>
      </c>
      <c r="Q104" s="9">
        <v>0.16149418760898482</v>
      </c>
      <c r="R104" s="9">
        <v>0.16174212871864713</v>
      </c>
      <c r="S104" s="9">
        <v>0.16199006982830944</v>
      </c>
      <c r="T104" s="9">
        <v>0.16223801093797174</v>
      </c>
      <c r="U104" s="9">
        <v>0.16248595204763405</v>
      </c>
      <c r="V104" s="9">
        <v>0.16273389315729636</v>
      </c>
      <c r="W104" s="9">
        <v>0.16298183426695853</v>
      </c>
      <c r="X104" s="9">
        <v>0.16319227655791901</v>
      </c>
      <c r="Y104" s="9">
        <v>0.1634027188488795</v>
      </c>
      <c r="Z104" s="9">
        <v>0.16361316113983998</v>
      </c>
      <c r="AA104" s="9">
        <v>0.16382360343080046</v>
      </c>
      <c r="AB104" s="9">
        <v>0.16403404572176095</v>
      </c>
      <c r="AC104" s="9">
        <v>0.16424448801272143</v>
      </c>
      <c r="AD104" s="9">
        <v>0.16445493030368191</v>
      </c>
      <c r="AE104" s="9">
        <v>0.1646653725946424</v>
      </c>
      <c r="AF104" s="9">
        <v>0.16487581488560288</v>
      </c>
      <c r="AG104" s="9">
        <v>0.16508625717656336</v>
      </c>
      <c r="AH104" s="9">
        <v>0.16529669946752384</v>
      </c>
      <c r="AI104" s="9">
        <v>0.16550714175848433</v>
      </c>
      <c r="AJ104" s="9">
        <v>0.16571758404944481</v>
      </c>
      <c r="AK104" s="9">
        <v>0.16592802634040529</v>
      </c>
      <c r="AL104" s="9">
        <v>0.16613846863136578</v>
      </c>
      <c r="AM104" s="9">
        <v>0.16634891092232626</v>
      </c>
      <c r="AN104" s="9">
        <v>0.16655935321328674</v>
      </c>
      <c r="AO104" s="9">
        <v>0.16676979550424723</v>
      </c>
      <c r="AP104" s="9">
        <v>0.16698023779520771</v>
      </c>
      <c r="AQ104" s="9">
        <v>0.16719068008616828</v>
      </c>
    </row>
    <row r="105" spans="7:43" ht="14.25" customHeight="1" thickBot="1" x14ac:dyDescent="0.2">
      <c r="G105" s="7"/>
      <c r="H105" s="207"/>
      <c r="J105" s="156"/>
      <c r="K105" s="14" t="s">
        <v>88</v>
      </c>
      <c r="L105" s="14" t="s">
        <v>62</v>
      </c>
      <c r="M105" s="10">
        <v>0.16025448206067328</v>
      </c>
      <c r="N105" s="10">
        <v>0.16025448206067328</v>
      </c>
      <c r="O105" s="10">
        <v>0.16025448206067328</v>
      </c>
      <c r="P105" s="10">
        <v>0.16025448206067328</v>
      </c>
      <c r="Q105" s="10">
        <v>0.16025448206067328</v>
      </c>
      <c r="R105" s="10">
        <v>0.16025448206067328</v>
      </c>
      <c r="S105" s="10">
        <v>0.16025448206067328</v>
      </c>
      <c r="T105" s="10">
        <v>0.16025448206067328</v>
      </c>
      <c r="U105" s="10">
        <v>0.16025448206067328</v>
      </c>
      <c r="V105" s="10">
        <v>0.16025448206067328</v>
      </c>
      <c r="W105" s="10">
        <v>0.16025448206067328</v>
      </c>
      <c r="X105" s="10">
        <v>0.16039084967098755</v>
      </c>
      <c r="Y105" s="10">
        <v>0.16052721728130181</v>
      </c>
      <c r="Z105" s="10">
        <v>0.16066358489161608</v>
      </c>
      <c r="AA105" s="10">
        <v>0.16079995250193035</v>
      </c>
      <c r="AB105" s="10">
        <v>0.16093632011224462</v>
      </c>
      <c r="AC105" s="10">
        <v>0.16107268772255889</v>
      </c>
      <c r="AD105" s="10">
        <v>0.16120905533287316</v>
      </c>
      <c r="AE105" s="10">
        <v>0.16134542294318743</v>
      </c>
      <c r="AF105" s="10">
        <v>0.1614817905535017</v>
      </c>
      <c r="AG105" s="10">
        <v>0.16161815816381597</v>
      </c>
      <c r="AH105" s="10">
        <v>0.16175452577413024</v>
      </c>
      <c r="AI105" s="10">
        <v>0.16189089338444451</v>
      </c>
      <c r="AJ105" s="10">
        <v>0.16202726099475878</v>
      </c>
      <c r="AK105" s="10">
        <v>0.16216362860507305</v>
      </c>
      <c r="AL105" s="10">
        <v>0.16229999621538732</v>
      </c>
      <c r="AM105" s="10">
        <v>0.16243636382570159</v>
      </c>
      <c r="AN105" s="10">
        <v>0.16257273143601586</v>
      </c>
      <c r="AO105" s="10">
        <v>0.16270909904633013</v>
      </c>
      <c r="AP105" s="10">
        <v>0.1628454666566444</v>
      </c>
      <c r="AQ105" s="10">
        <v>0.16298183426695853</v>
      </c>
    </row>
    <row r="106" spans="7:43" ht="13.5" customHeight="1" thickTop="1" x14ac:dyDescent="0.15">
      <c r="G106" s="7"/>
      <c r="H106" s="207"/>
      <c r="J106" s="156"/>
      <c r="K106" s="13" t="s">
        <v>87</v>
      </c>
      <c r="L106" s="13" t="s">
        <v>67</v>
      </c>
      <c r="M106" s="8">
        <v>0.17025331931485077</v>
      </c>
      <c r="N106" s="8">
        <v>0.17092060023722774</v>
      </c>
      <c r="O106" s="8">
        <v>0.17158788115960472</v>
      </c>
      <c r="P106" s="8">
        <v>0.17225516208198169</v>
      </c>
      <c r="Q106" s="8">
        <v>0.17292244300435866</v>
      </c>
      <c r="R106" s="8">
        <v>0.17358972392673563</v>
      </c>
      <c r="S106" s="8">
        <v>0.17425700484911261</v>
      </c>
      <c r="T106" s="8">
        <v>0.17492428577148958</v>
      </c>
      <c r="U106" s="8">
        <v>0.17559156669386655</v>
      </c>
      <c r="V106" s="8">
        <v>0.17625884761624352</v>
      </c>
      <c r="W106" s="8">
        <v>0.17692612853862053</v>
      </c>
      <c r="X106" s="8">
        <v>0.17692612853862053</v>
      </c>
      <c r="Y106" s="8">
        <v>0.17692612853862053</v>
      </c>
      <c r="Z106" s="8">
        <v>0.17692612853862053</v>
      </c>
      <c r="AA106" s="8">
        <v>0.17692612853862053</v>
      </c>
      <c r="AB106" s="8">
        <v>0.17692612853862053</v>
      </c>
      <c r="AC106" s="8">
        <v>0.17692612853862053</v>
      </c>
      <c r="AD106" s="8">
        <v>0.17692612853862053</v>
      </c>
      <c r="AE106" s="8">
        <v>0.17692612853862053</v>
      </c>
      <c r="AF106" s="8">
        <v>0.17692612853862053</v>
      </c>
      <c r="AG106" s="8">
        <v>0.17692612853862053</v>
      </c>
      <c r="AH106" s="8">
        <v>0.17692612853862053</v>
      </c>
      <c r="AI106" s="8">
        <v>0.17692612853862053</v>
      </c>
      <c r="AJ106" s="8">
        <v>0.17692612853862053</v>
      </c>
      <c r="AK106" s="8">
        <v>0.17692612853862053</v>
      </c>
      <c r="AL106" s="8">
        <v>0.17692612853862053</v>
      </c>
      <c r="AM106" s="8">
        <v>0.17692612853862053</v>
      </c>
      <c r="AN106" s="8">
        <v>0.17692612853862053</v>
      </c>
      <c r="AO106" s="8">
        <v>0.17692612853862053</v>
      </c>
      <c r="AP106" s="8">
        <v>0.17692612853862053</v>
      </c>
      <c r="AQ106" s="8">
        <v>0.17692612853862053</v>
      </c>
    </row>
    <row r="107" spans="7:43" ht="14.25" customHeight="1" x14ac:dyDescent="0.15">
      <c r="G107" s="7"/>
      <c r="H107" s="207"/>
      <c r="J107" s="156"/>
      <c r="K107" s="5" t="s">
        <v>87</v>
      </c>
      <c r="L107" s="47" t="s">
        <v>66</v>
      </c>
      <c r="M107" s="9">
        <v>0.16984841701678174</v>
      </c>
      <c r="N107" s="9">
        <v>0.17011079564108969</v>
      </c>
      <c r="O107" s="9">
        <v>0.17037317426539764</v>
      </c>
      <c r="P107" s="9">
        <v>0.17063555288970558</v>
      </c>
      <c r="Q107" s="9">
        <v>0.17089793151401353</v>
      </c>
      <c r="R107" s="9">
        <v>0.17116031013832148</v>
      </c>
      <c r="S107" s="9">
        <v>0.17142268876262942</v>
      </c>
      <c r="T107" s="9">
        <v>0.17168506738693737</v>
      </c>
      <c r="U107" s="9">
        <v>0.17194744601124531</v>
      </c>
      <c r="V107" s="9">
        <v>0.17220982463555326</v>
      </c>
      <c r="W107" s="9">
        <v>0.17247220325986126</v>
      </c>
      <c r="X107" s="9">
        <v>0.17269489952379924</v>
      </c>
      <c r="Y107" s="9">
        <v>0.17291759578773719</v>
      </c>
      <c r="Z107" s="9">
        <v>0.17314029205167514</v>
      </c>
      <c r="AA107" s="9">
        <v>0.17336298831561309</v>
      </c>
      <c r="AB107" s="9">
        <v>0.17358568457955104</v>
      </c>
      <c r="AC107" s="9">
        <v>0.17380838084348899</v>
      </c>
      <c r="AD107" s="9">
        <v>0.17403107710742693</v>
      </c>
      <c r="AE107" s="9">
        <v>0.17425377337136488</v>
      </c>
      <c r="AF107" s="9">
        <v>0.17447646963530283</v>
      </c>
      <c r="AG107" s="9">
        <v>0.17469916589924078</v>
      </c>
      <c r="AH107" s="9">
        <v>0.17492186216317873</v>
      </c>
      <c r="AI107" s="9">
        <v>0.17514455842711668</v>
      </c>
      <c r="AJ107" s="9">
        <v>0.17536725469105463</v>
      </c>
      <c r="AK107" s="9">
        <v>0.17558995095499258</v>
      </c>
      <c r="AL107" s="9">
        <v>0.17581264721893053</v>
      </c>
      <c r="AM107" s="9">
        <v>0.17603534348286848</v>
      </c>
      <c r="AN107" s="9">
        <v>0.17625803974680643</v>
      </c>
      <c r="AO107" s="9">
        <v>0.17648073601074438</v>
      </c>
      <c r="AP107" s="9">
        <v>0.17670343227468233</v>
      </c>
      <c r="AQ107" s="9">
        <v>0.17692612853862053</v>
      </c>
    </row>
    <row r="108" spans="7:43" ht="14.25" customHeight="1" thickBot="1" x14ac:dyDescent="0.2">
      <c r="G108" s="7"/>
      <c r="H108" s="207"/>
      <c r="J108" s="156"/>
      <c r="K108" s="14" t="s">
        <v>87</v>
      </c>
      <c r="L108" s="14" t="s">
        <v>62</v>
      </c>
      <c r="M108" s="10">
        <v>0.1695860383924738</v>
      </c>
      <c r="N108" s="10">
        <v>0.1695860383924738</v>
      </c>
      <c r="O108" s="10">
        <v>0.1695860383924738</v>
      </c>
      <c r="P108" s="10">
        <v>0.1695860383924738</v>
      </c>
      <c r="Q108" s="10">
        <v>0.1695860383924738</v>
      </c>
      <c r="R108" s="10">
        <v>0.1695860383924738</v>
      </c>
      <c r="S108" s="10">
        <v>0.1695860383924738</v>
      </c>
      <c r="T108" s="10">
        <v>0.1695860383924738</v>
      </c>
      <c r="U108" s="10">
        <v>0.1695860383924738</v>
      </c>
      <c r="V108" s="10">
        <v>0.1695860383924738</v>
      </c>
      <c r="W108" s="10">
        <v>0.1695860383924738</v>
      </c>
      <c r="X108" s="10">
        <v>0.16973034663584316</v>
      </c>
      <c r="Y108" s="10">
        <v>0.16987465487921252</v>
      </c>
      <c r="Z108" s="10">
        <v>0.17001896312258188</v>
      </c>
      <c r="AA108" s="10">
        <v>0.17016327136595125</v>
      </c>
      <c r="AB108" s="10">
        <v>0.17030757960932061</v>
      </c>
      <c r="AC108" s="10">
        <v>0.17045188785268997</v>
      </c>
      <c r="AD108" s="10">
        <v>0.17059619609605933</v>
      </c>
      <c r="AE108" s="10">
        <v>0.17074050433942869</v>
      </c>
      <c r="AF108" s="10">
        <v>0.17088481258279806</v>
      </c>
      <c r="AG108" s="10">
        <v>0.17102912082616742</v>
      </c>
      <c r="AH108" s="10">
        <v>0.17117342906953678</v>
      </c>
      <c r="AI108" s="10">
        <v>0.17131773731290614</v>
      </c>
      <c r="AJ108" s="10">
        <v>0.17146204555627551</v>
      </c>
      <c r="AK108" s="10">
        <v>0.17160635379964487</v>
      </c>
      <c r="AL108" s="10">
        <v>0.17175066204301423</v>
      </c>
      <c r="AM108" s="10">
        <v>0.17189497028638359</v>
      </c>
      <c r="AN108" s="10">
        <v>0.17203927852975295</v>
      </c>
      <c r="AO108" s="10">
        <v>0.17218358677312232</v>
      </c>
      <c r="AP108" s="10">
        <v>0.17232789501649168</v>
      </c>
      <c r="AQ108" s="10">
        <v>0.17247220325986126</v>
      </c>
    </row>
    <row r="109" spans="7:43" ht="13.5" customHeight="1" thickTop="1" x14ac:dyDescent="0.15">
      <c r="G109" s="7"/>
      <c r="H109" s="207"/>
      <c r="J109" s="156"/>
      <c r="K109" s="13" t="s">
        <v>86</v>
      </c>
      <c r="L109" s="13" t="s">
        <v>67</v>
      </c>
      <c r="M109" s="8">
        <v>0.18249666984204219</v>
      </c>
      <c r="N109" s="8">
        <v>0.18321193663785557</v>
      </c>
      <c r="O109" s="8">
        <v>0.18392720343366895</v>
      </c>
      <c r="P109" s="8">
        <v>0.18464247022948233</v>
      </c>
      <c r="Q109" s="8">
        <v>0.1853577370252957</v>
      </c>
      <c r="R109" s="8">
        <v>0.18607300382110908</v>
      </c>
      <c r="S109" s="8">
        <v>0.18678827061692246</v>
      </c>
      <c r="T109" s="8">
        <v>0.18750353741273584</v>
      </c>
      <c r="U109" s="8">
        <v>0.18821880420854922</v>
      </c>
      <c r="V109" s="8">
        <v>0.1889340710043626</v>
      </c>
      <c r="W109" s="8">
        <v>0.1896493378001759</v>
      </c>
      <c r="X109" s="8">
        <v>0.1896493378001759</v>
      </c>
      <c r="Y109" s="8">
        <v>0.1896493378001759</v>
      </c>
      <c r="Z109" s="8">
        <v>0.1896493378001759</v>
      </c>
      <c r="AA109" s="8">
        <v>0.1896493378001759</v>
      </c>
      <c r="AB109" s="8">
        <v>0.1896493378001759</v>
      </c>
      <c r="AC109" s="8">
        <v>0.1896493378001759</v>
      </c>
      <c r="AD109" s="8">
        <v>0.1896493378001759</v>
      </c>
      <c r="AE109" s="8">
        <v>0.1896493378001759</v>
      </c>
      <c r="AF109" s="8">
        <v>0.1896493378001759</v>
      </c>
      <c r="AG109" s="8">
        <v>0.1896493378001759</v>
      </c>
      <c r="AH109" s="8">
        <v>0.1896493378001759</v>
      </c>
      <c r="AI109" s="8">
        <v>0.1896493378001759</v>
      </c>
      <c r="AJ109" s="8">
        <v>0.1896493378001759</v>
      </c>
      <c r="AK109" s="8">
        <v>0.1896493378001759</v>
      </c>
      <c r="AL109" s="8">
        <v>0.1896493378001759</v>
      </c>
      <c r="AM109" s="8">
        <v>0.1896493378001759</v>
      </c>
      <c r="AN109" s="8">
        <v>0.1896493378001759</v>
      </c>
      <c r="AO109" s="8">
        <v>0.1896493378001759</v>
      </c>
      <c r="AP109" s="8">
        <v>0.1896493378001759</v>
      </c>
      <c r="AQ109" s="8">
        <v>0.1896493378001759</v>
      </c>
    </row>
    <row r="110" spans="7:43" ht="14.25" customHeight="1" x14ac:dyDescent="0.15">
      <c r="G110" s="7"/>
      <c r="H110" s="207"/>
      <c r="J110" s="156"/>
      <c r="K110" s="5" t="s">
        <v>86</v>
      </c>
      <c r="L110" s="47" t="s">
        <v>66</v>
      </c>
      <c r="M110" s="9">
        <v>0.18206264998676797</v>
      </c>
      <c r="N110" s="9">
        <v>0.18234389692730713</v>
      </c>
      <c r="O110" s="9">
        <v>0.18262514386784628</v>
      </c>
      <c r="P110" s="9">
        <v>0.18290639080838544</v>
      </c>
      <c r="Q110" s="9">
        <v>0.1831876377489246</v>
      </c>
      <c r="R110" s="9">
        <v>0.18346888468946376</v>
      </c>
      <c r="S110" s="9">
        <v>0.18375013163000292</v>
      </c>
      <c r="T110" s="9">
        <v>0.18403137857054208</v>
      </c>
      <c r="U110" s="9">
        <v>0.18431262551108124</v>
      </c>
      <c r="V110" s="9">
        <v>0.1845938724516204</v>
      </c>
      <c r="W110" s="9">
        <v>0.1848751193921595</v>
      </c>
      <c r="X110" s="9">
        <v>0.18511383031256032</v>
      </c>
      <c r="Y110" s="9">
        <v>0.18535254123296113</v>
      </c>
      <c r="Z110" s="9">
        <v>0.18559125215336195</v>
      </c>
      <c r="AA110" s="9">
        <v>0.18582996307376276</v>
      </c>
      <c r="AB110" s="9">
        <v>0.18606867399416357</v>
      </c>
      <c r="AC110" s="9">
        <v>0.18630738491456439</v>
      </c>
      <c r="AD110" s="9">
        <v>0.1865460958349652</v>
      </c>
      <c r="AE110" s="9">
        <v>0.18678480675536602</v>
      </c>
      <c r="AF110" s="9">
        <v>0.18702351767576683</v>
      </c>
      <c r="AG110" s="9">
        <v>0.18726222859616765</v>
      </c>
      <c r="AH110" s="9">
        <v>0.18750093951656846</v>
      </c>
      <c r="AI110" s="9">
        <v>0.18773965043696927</v>
      </c>
      <c r="AJ110" s="9">
        <v>0.18797836135737009</v>
      </c>
      <c r="AK110" s="9">
        <v>0.1882170722777709</v>
      </c>
      <c r="AL110" s="9">
        <v>0.18845578319817172</v>
      </c>
      <c r="AM110" s="9">
        <v>0.18869449411857253</v>
      </c>
      <c r="AN110" s="9">
        <v>0.18893320503897335</v>
      </c>
      <c r="AO110" s="9">
        <v>0.18917191595937416</v>
      </c>
      <c r="AP110" s="9">
        <v>0.18941062687977497</v>
      </c>
      <c r="AQ110" s="9">
        <v>0.1896493378001759</v>
      </c>
    </row>
    <row r="111" spans="7:43" ht="14.25" customHeight="1" thickBot="1" x14ac:dyDescent="0.2">
      <c r="G111" s="7"/>
      <c r="H111" s="207"/>
      <c r="J111" s="156"/>
      <c r="K111" s="14" t="s">
        <v>86</v>
      </c>
      <c r="L111" s="14" t="s">
        <v>62</v>
      </c>
      <c r="M111" s="10">
        <v>0.18178140304622881</v>
      </c>
      <c r="N111" s="10">
        <v>0.18178140304622881</v>
      </c>
      <c r="O111" s="10">
        <v>0.18178140304622881</v>
      </c>
      <c r="P111" s="10">
        <v>0.18178140304622881</v>
      </c>
      <c r="Q111" s="10">
        <v>0.18178140304622881</v>
      </c>
      <c r="R111" s="10">
        <v>0.18178140304622881</v>
      </c>
      <c r="S111" s="10">
        <v>0.18178140304622881</v>
      </c>
      <c r="T111" s="10">
        <v>0.18178140304622881</v>
      </c>
      <c r="U111" s="10">
        <v>0.18178140304622881</v>
      </c>
      <c r="V111" s="10">
        <v>0.18178140304622881</v>
      </c>
      <c r="W111" s="10">
        <v>0.18178140304622881</v>
      </c>
      <c r="X111" s="10">
        <v>0.18193608886352533</v>
      </c>
      <c r="Y111" s="10">
        <v>0.18209077468082185</v>
      </c>
      <c r="Z111" s="10">
        <v>0.18224546049811838</v>
      </c>
      <c r="AA111" s="10">
        <v>0.1824001463154149</v>
      </c>
      <c r="AB111" s="10">
        <v>0.18255483213271143</v>
      </c>
      <c r="AC111" s="10">
        <v>0.18270951795000795</v>
      </c>
      <c r="AD111" s="10">
        <v>0.18286420376730447</v>
      </c>
      <c r="AE111" s="10">
        <v>0.183018889584601</v>
      </c>
      <c r="AF111" s="10">
        <v>0.18317357540189752</v>
      </c>
      <c r="AG111" s="10">
        <v>0.18332826121919404</v>
      </c>
      <c r="AH111" s="10">
        <v>0.18348294703649057</v>
      </c>
      <c r="AI111" s="10">
        <v>0.18363763285378709</v>
      </c>
      <c r="AJ111" s="10">
        <v>0.18379231867108362</v>
      </c>
      <c r="AK111" s="10">
        <v>0.18394700448838014</v>
      </c>
      <c r="AL111" s="10">
        <v>0.18410169030567666</v>
      </c>
      <c r="AM111" s="10">
        <v>0.18425637612297319</v>
      </c>
      <c r="AN111" s="10">
        <v>0.18441106194026971</v>
      </c>
      <c r="AO111" s="10">
        <v>0.18456574775756623</v>
      </c>
      <c r="AP111" s="10">
        <v>0.18472043357486276</v>
      </c>
      <c r="AQ111" s="10">
        <v>0.1848751193921595</v>
      </c>
    </row>
    <row r="112" spans="7:43" ht="13.5" customHeight="1" thickTop="1" x14ac:dyDescent="0.15">
      <c r="G112" s="7"/>
      <c r="H112" s="207"/>
      <c r="J112" s="156"/>
      <c r="K112" s="13" t="s">
        <v>85</v>
      </c>
      <c r="L112" s="13" t="s">
        <v>67</v>
      </c>
      <c r="M112" s="8">
        <v>0.18536435049231459</v>
      </c>
      <c r="N112" s="8">
        <v>0.18609085670828784</v>
      </c>
      <c r="O112" s="8">
        <v>0.1868173629242611</v>
      </c>
      <c r="P112" s="8">
        <v>0.18754386914023435</v>
      </c>
      <c r="Q112" s="8">
        <v>0.18827037535620761</v>
      </c>
      <c r="R112" s="8">
        <v>0.18899688157218086</v>
      </c>
      <c r="S112" s="8">
        <v>0.18972338778815412</v>
      </c>
      <c r="T112" s="8">
        <v>0.19044989400412737</v>
      </c>
      <c r="U112" s="8">
        <v>0.19117640022010063</v>
      </c>
      <c r="V112" s="8">
        <v>0.19190290643607388</v>
      </c>
      <c r="W112" s="8">
        <v>0.19262941265204728</v>
      </c>
      <c r="X112" s="8">
        <v>0.19262941265204728</v>
      </c>
      <c r="Y112" s="8">
        <v>0.19262941265204728</v>
      </c>
      <c r="Z112" s="8">
        <v>0.19262941265204728</v>
      </c>
      <c r="AA112" s="8">
        <v>0.19262941265204728</v>
      </c>
      <c r="AB112" s="8">
        <v>0.19262941265204728</v>
      </c>
      <c r="AC112" s="8">
        <v>0.19262941265204728</v>
      </c>
      <c r="AD112" s="8">
        <v>0.19262941265204728</v>
      </c>
      <c r="AE112" s="8">
        <v>0.19262941265204728</v>
      </c>
      <c r="AF112" s="8">
        <v>0.19262941265204728</v>
      </c>
      <c r="AG112" s="8">
        <v>0.19262941265204728</v>
      </c>
      <c r="AH112" s="8">
        <v>0.19262941265204728</v>
      </c>
      <c r="AI112" s="8">
        <v>0.19262941265204728</v>
      </c>
      <c r="AJ112" s="8">
        <v>0.19262941265204728</v>
      </c>
      <c r="AK112" s="8">
        <v>0.19262941265204728</v>
      </c>
      <c r="AL112" s="8">
        <v>0.19262941265204728</v>
      </c>
      <c r="AM112" s="8">
        <v>0.19262941265204728</v>
      </c>
      <c r="AN112" s="8">
        <v>0.19262941265204728</v>
      </c>
      <c r="AO112" s="8">
        <v>0.19262941265204728</v>
      </c>
      <c r="AP112" s="8">
        <v>0.19262941265204728</v>
      </c>
      <c r="AQ112" s="8">
        <v>0.19262941265204728</v>
      </c>
    </row>
    <row r="113" spans="7:45" ht="14.25" customHeight="1" x14ac:dyDescent="0.15">
      <c r="G113" s="7"/>
      <c r="H113" s="207"/>
      <c r="J113" s="156"/>
      <c r="K113" s="5" t="s">
        <v>85</v>
      </c>
      <c r="L113" s="47" t="s">
        <v>66</v>
      </c>
      <c r="M113" s="9">
        <v>0.18492351062031415</v>
      </c>
      <c r="N113" s="9">
        <v>0.18520917696428696</v>
      </c>
      <c r="O113" s="9">
        <v>0.18549484330825977</v>
      </c>
      <c r="P113" s="9">
        <v>0.18578050965223258</v>
      </c>
      <c r="Q113" s="9">
        <v>0.1860661759962054</v>
      </c>
      <c r="R113" s="9">
        <v>0.18635184234017821</v>
      </c>
      <c r="S113" s="9">
        <v>0.18663750868415102</v>
      </c>
      <c r="T113" s="9">
        <v>0.18692317502812383</v>
      </c>
      <c r="U113" s="9">
        <v>0.18720884137209665</v>
      </c>
      <c r="V113" s="9">
        <v>0.18749450771606946</v>
      </c>
      <c r="W113" s="9">
        <v>0.18778017406004235</v>
      </c>
      <c r="X113" s="9">
        <v>0.18802263598964261</v>
      </c>
      <c r="Y113" s="9">
        <v>0.18826509791924287</v>
      </c>
      <c r="Z113" s="9">
        <v>0.18850755984884313</v>
      </c>
      <c r="AA113" s="9">
        <v>0.18875002177844338</v>
      </c>
      <c r="AB113" s="9">
        <v>0.18899248370804364</v>
      </c>
      <c r="AC113" s="9">
        <v>0.1892349456376439</v>
      </c>
      <c r="AD113" s="9">
        <v>0.18947740756724415</v>
      </c>
      <c r="AE113" s="9">
        <v>0.18971986949684441</v>
      </c>
      <c r="AF113" s="9">
        <v>0.18996233142644467</v>
      </c>
      <c r="AG113" s="9">
        <v>0.19020479335604493</v>
      </c>
      <c r="AH113" s="9">
        <v>0.19044725528564518</v>
      </c>
      <c r="AI113" s="9">
        <v>0.19068971721524544</v>
      </c>
      <c r="AJ113" s="9">
        <v>0.1909321791448457</v>
      </c>
      <c r="AK113" s="9">
        <v>0.19117464107444596</v>
      </c>
      <c r="AL113" s="9">
        <v>0.19141710300404621</v>
      </c>
      <c r="AM113" s="9">
        <v>0.19165956493364647</v>
      </c>
      <c r="AN113" s="9">
        <v>0.19190202686324673</v>
      </c>
      <c r="AO113" s="9">
        <v>0.19214448879284698</v>
      </c>
      <c r="AP113" s="9">
        <v>0.19238695072244724</v>
      </c>
      <c r="AQ113" s="9">
        <v>0.19262941265204728</v>
      </c>
    </row>
    <row r="114" spans="7:45" ht="14.25" customHeight="1" thickBot="1" x14ac:dyDescent="0.2">
      <c r="G114" s="7"/>
      <c r="H114" s="207"/>
      <c r="J114" s="157"/>
      <c r="K114" s="14" t="s">
        <v>85</v>
      </c>
      <c r="L114" s="14" t="s">
        <v>62</v>
      </c>
      <c r="M114" s="10">
        <v>0.18463784427634133</v>
      </c>
      <c r="N114" s="10">
        <v>0.18463784427634133</v>
      </c>
      <c r="O114" s="10">
        <v>0.18463784427634133</v>
      </c>
      <c r="P114" s="10">
        <v>0.18463784427634133</v>
      </c>
      <c r="Q114" s="10">
        <v>0.18463784427634133</v>
      </c>
      <c r="R114" s="10">
        <v>0.18463784427634133</v>
      </c>
      <c r="S114" s="10">
        <v>0.18463784427634133</v>
      </c>
      <c r="T114" s="10">
        <v>0.18463784427634133</v>
      </c>
      <c r="U114" s="10">
        <v>0.18463784427634133</v>
      </c>
      <c r="V114" s="10">
        <v>0.18463784427634133</v>
      </c>
      <c r="W114" s="10">
        <v>0.18463784427634133</v>
      </c>
      <c r="X114" s="10">
        <v>0.18479496076552637</v>
      </c>
      <c r="Y114" s="10">
        <v>0.18495207725471141</v>
      </c>
      <c r="Z114" s="10">
        <v>0.18510919374389645</v>
      </c>
      <c r="AA114" s="10">
        <v>0.18526631023308149</v>
      </c>
      <c r="AB114" s="10">
        <v>0.18542342672226653</v>
      </c>
      <c r="AC114" s="10">
        <v>0.18558054321145157</v>
      </c>
      <c r="AD114" s="10">
        <v>0.1857376597006366</v>
      </c>
      <c r="AE114" s="10">
        <v>0.18589477618982164</v>
      </c>
      <c r="AF114" s="10">
        <v>0.18605189267900668</v>
      </c>
      <c r="AG114" s="10">
        <v>0.18620900916819172</v>
      </c>
      <c r="AH114" s="10">
        <v>0.18636612565737676</v>
      </c>
      <c r="AI114" s="10">
        <v>0.1865232421465618</v>
      </c>
      <c r="AJ114" s="10">
        <v>0.18668035863574683</v>
      </c>
      <c r="AK114" s="10">
        <v>0.18683747512493187</v>
      </c>
      <c r="AL114" s="10">
        <v>0.18699459161411691</v>
      </c>
      <c r="AM114" s="10">
        <v>0.18715170810330195</v>
      </c>
      <c r="AN114" s="10">
        <v>0.18730882459248699</v>
      </c>
      <c r="AO114" s="10">
        <v>0.18746594108167203</v>
      </c>
      <c r="AP114" s="10">
        <v>0.18762305757085707</v>
      </c>
      <c r="AQ114" s="10">
        <v>0.18778017406004235</v>
      </c>
    </row>
    <row r="115" spans="7:45" ht="14.25" customHeight="1" thickTop="1" x14ac:dyDescent="0.15">
      <c r="G115" s="7"/>
      <c r="H115" s="207"/>
      <c r="J115" s="57"/>
      <c r="K115" s="5"/>
      <c r="L115" s="5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</row>
    <row r="116" spans="7:45" ht="14.25" hidden="1" customHeight="1" x14ac:dyDescent="0.15">
      <c r="G116" s="7"/>
      <c r="H116" s="207"/>
      <c r="J116" s="65"/>
      <c r="M116" s="12">
        <v>2020</v>
      </c>
      <c r="N116" s="12">
        <v>2021</v>
      </c>
      <c r="O116" s="12">
        <v>2022</v>
      </c>
      <c r="P116" s="12">
        <v>2023</v>
      </c>
      <c r="Q116" s="12">
        <v>2024</v>
      </c>
      <c r="R116" s="12">
        <v>2025</v>
      </c>
      <c r="S116" s="12">
        <v>2026</v>
      </c>
      <c r="T116" s="12">
        <v>2027</v>
      </c>
      <c r="U116" s="12">
        <v>2028</v>
      </c>
      <c r="V116" s="12">
        <v>2029</v>
      </c>
      <c r="W116" s="12">
        <v>2030</v>
      </c>
      <c r="X116" s="12">
        <v>2031</v>
      </c>
      <c r="Y116" s="12">
        <v>2032</v>
      </c>
      <c r="Z116" s="12">
        <v>2033</v>
      </c>
      <c r="AA116" s="12">
        <v>2034</v>
      </c>
      <c r="AB116" s="12">
        <v>2035</v>
      </c>
      <c r="AC116" s="12">
        <v>2036</v>
      </c>
      <c r="AD116" s="12">
        <v>2037</v>
      </c>
      <c r="AE116" s="12">
        <v>2038</v>
      </c>
      <c r="AF116" s="12">
        <v>2039</v>
      </c>
      <c r="AG116" s="12">
        <v>2040</v>
      </c>
      <c r="AH116" s="12">
        <v>2041</v>
      </c>
      <c r="AI116" s="12">
        <v>2042</v>
      </c>
      <c r="AJ116" s="12">
        <v>2043</v>
      </c>
      <c r="AK116" s="12">
        <v>2044</v>
      </c>
      <c r="AL116" s="12">
        <v>2045</v>
      </c>
      <c r="AM116" s="12">
        <v>2046</v>
      </c>
      <c r="AN116" s="12">
        <v>2047</v>
      </c>
      <c r="AO116" s="12">
        <v>2048</v>
      </c>
      <c r="AP116" s="12">
        <v>2049</v>
      </c>
      <c r="AQ116" s="12">
        <v>2050</v>
      </c>
    </row>
    <row r="117" spans="7:45" ht="14.25" hidden="1" customHeight="1" x14ac:dyDescent="0.15">
      <c r="G117" s="7"/>
      <c r="H117" s="207"/>
      <c r="J117" s="155" t="s">
        <v>103</v>
      </c>
      <c r="K117" s="13" t="s">
        <v>94</v>
      </c>
      <c r="L117" s="13" t="s">
        <v>67</v>
      </c>
      <c r="M117" s="71">
        <f t="shared" ref="M117:AQ117" si="18">M85*8760</f>
        <v>1052.3510077476797</v>
      </c>
      <c r="N117" s="71">
        <f t="shared" si="18"/>
        <v>1056.4755308638228</v>
      </c>
      <c r="O117" s="71">
        <f t="shared" si="18"/>
        <v>1060.6000539799659</v>
      </c>
      <c r="P117" s="71">
        <f t="shared" si="18"/>
        <v>1064.7245770961092</v>
      </c>
      <c r="Q117" s="71">
        <f t="shared" si="18"/>
        <v>1068.8491002122523</v>
      </c>
      <c r="R117" s="71">
        <f t="shared" si="18"/>
        <v>1072.9736233283954</v>
      </c>
      <c r="S117" s="71">
        <f t="shared" si="18"/>
        <v>1077.0981464445388</v>
      </c>
      <c r="T117" s="71">
        <f t="shared" si="18"/>
        <v>1081.2226695606819</v>
      </c>
      <c r="U117" s="71">
        <f t="shared" si="18"/>
        <v>1085.347192676825</v>
      </c>
      <c r="V117" s="71">
        <f t="shared" si="18"/>
        <v>1089.4717157929683</v>
      </c>
      <c r="W117" s="71">
        <f t="shared" si="18"/>
        <v>1093.5962389091117</v>
      </c>
      <c r="X117" s="71">
        <f t="shared" si="18"/>
        <v>1093.5962389091117</v>
      </c>
      <c r="Y117" s="71">
        <f t="shared" si="18"/>
        <v>1093.5962389091117</v>
      </c>
      <c r="Z117" s="71">
        <f t="shared" si="18"/>
        <v>1093.5962389091117</v>
      </c>
      <c r="AA117" s="71">
        <f t="shared" si="18"/>
        <v>1093.5962389091117</v>
      </c>
      <c r="AB117" s="71">
        <f t="shared" si="18"/>
        <v>1093.5962389091117</v>
      </c>
      <c r="AC117" s="71">
        <f t="shared" si="18"/>
        <v>1093.5962389091117</v>
      </c>
      <c r="AD117" s="71">
        <f t="shared" si="18"/>
        <v>1093.5962389091117</v>
      </c>
      <c r="AE117" s="71">
        <f t="shared" si="18"/>
        <v>1093.5962389091117</v>
      </c>
      <c r="AF117" s="71">
        <f t="shared" si="18"/>
        <v>1093.5962389091117</v>
      </c>
      <c r="AG117" s="71">
        <f t="shared" si="18"/>
        <v>1093.5962389091117</v>
      </c>
      <c r="AH117" s="71">
        <f t="shared" si="18"/>
        <v>1093.5962389091117</v>
      </c>
      <c r="AI117" s="71">
        <f t="shared" si="18"/>
        <v>1093.5962389091117</v>
      </c>
      <c r="AJ117" s="71">
        <f t="shared" si="18"/>
        <v>1093.5962389091117</v>
      </c>
      <c r="AK117" s="71">
        <f t="shared" si="18"/>
        <v>1093.5962389091117</v>
      </c>
      <c r="AL117" s="71">
        <f t="shared" si="18"/>
        <v>1093.5962389091117</v>
      </c>
      <c r="AM117" s="71">
        <f t="shared" si="18"/>
        <v>1093.5962389091117</v>
      </c>
      <c r="AN117" s="71">
        <f t="shared" si="18"/>
        <v>1093.5962389091117</v>
      </c>
      <c r="AO117" s="71">
        <f t="shared" si="18"/>
        <v>1093.5962389091117</v>
      </c>
      <c r="AP117" s="71">
        <f t="shared" si="18"/>
        <v>1093.5962389091117</v>
      </c>
      <c r="AQ117" s="71">
        <f t="shared" si="18"/>
        <v>1093.5962389091117</v>
      </c>
    </row>
    <row r="118" spans="7:45" ht="14.25" hidden="1" customHeight="1" x14ac:dyDescent="0.15">
      <c r="G118" s="7"/>
      <c r="H118" s="207"/>
      <c r="J118" s="156"/>
      <c r="K118" s="5" t="s">
        <v>94</v>
      </c>
      <c r="L118" s="47" t="s">
        <v>66</v>
      </c>
      <c r="M118" s="68">
        <f t="shared" ref="M118:AQ118" si="19">M86*8760</f>
        <v>1049.848270396496</v>
      </c>
      <c r="N118" s="68">
        <f t="shared" si="19"/>
        <v>1051.4700561614554</v>
      </c>
      <c r="O118" s="68">
        <f t="shared" si="19"/>
        <v>1053.0918419264149</v>
      </c>
      <c r="P118" s="68">
        <f t="shared" si="19"/>
        <v>1054.7136276913743</v>
      </c>
      <c r="Q118" s="68">
        <f t="shared" si="19"/>
        <v>1056.3354134563338</v>
      </c>
      <c r="R118" s="68">
        <f t="shared" si="19"/>
        <v>1057.9571992212934</v>
      </c>
      <c r="S118" s="68">
        <f t="shared" si="19"/>
        <v>1059.5789849862529</v>
      </c>
      <c r="T118" s="68">
        <f t="shared" si="19"/>
        <v>1061.2007707512123</v>
      </c>
      <c r="U118" s="68">
        <f t="shared" si="19"/>
        <v>1062.8225565161717</v>
      </c>
      <c r="V118" s="68">
        <f t="shared" si="19"/>
        <v>1064.4443422811312</v>
      </c>
      <c r="W118" s="68">
        <f t="shared" si="19"/>
        <v>1066.0661280460906</v>
      </c>
      <c r="X118" s="68">
        <f t="shared" si="19"/>
        <v>1067.4426335892417</v>
      </c>
      <c r="Y118" s="68">
        <f t="shared" si="19"/>
        <v>1068.8191391323928</v>
      </c>
      <c r="Z118" s="68">
        <f t="shared" si="19"/>
        <v>1070.1956446755439</v>
      </c>
      <c r="AA118" s="68">
        <f t="shared" si="19"/>
        <v>1071.572150218695</v>
      </c>
      <c r="AB118" s="68">
        <f t="shared" si="19"/>
        <v>1072.9486557618461</v>
      </c>
      <c r="AC118" s="68">
        <f t="shared" si="19"/>
        <v>1074.3251613049972</v>
      </c>
      <c r="AD118" s="68">
        <f t="shared" si="19"/>
        <v>1075.7016668481483</v>
      </c>
      <c r="AE118" s="68">
        <f t="shared" si="19"/>
        <v>1077.0781723912994</v>
      </c>
      <c r="AF118" s="68">
        <f t="shared" si="19"/>
        <v>1078.4546779344505</v>
      </c>
      <c r="AG118" s="68">
        <f t="shared" si="19"/>
        <v>1079.8311834776016</v>
      </c>
      <c r="AH118" s="68">
        <f t="shared" si="19"/>
        <v>1081.2076890207527</v>
      </c>
      <c r="AI118" s="68">
        <f t="shared" si="19"/>
        <v>1082.5841945639036</v>
      </c>
      <c r="AJ118" s="68">
        <f t="shared" si="19"/>
        <v>1083.9607001070547</v>
      </c>
      <c r="AK118" s="68">
        <f t="shared" si="19"/>
        <v>1085.3372056502058</v>
      </c>
      <c r="AL118" s="68">
        <f t="shared" si="19"/>
        <v>1086.7137111933569</v>
      </c>
      <c r="AM118" s="68">
        <f t="shared" si="19"/>
        <v>1088.090216736508</v>
      </c>
      <c r="AN118" s="68">
        <f t="shared" si="19"/>
        <v>1089.4667222796591</v>
      </c>
      <c r="AO118" s="68">
        <f t="shared" si="19"/>
        <v>1090.8432278228101</v>
      </c>
      <c r="AP118" s="68">
        <f t="shared" si="19"/>
        <v>1092.2197333659612</v>
      </c>
      <c r="AQ118" s="68">
        <f t="shared" si="19"/>
        <v>1093.5962389091117</v>
      </c>
    </row>
    <row r="119" spans="7:45" ht="14.25" hidden="1" customHeight="1" thickBot="1" x14ac:dyDescent="0.2">
      <c r="G119" s="7"/>
      <c r="H119" s="207"/>
      <c r="J119" s="156"/>
      <c r="K119" s="14" t="s">
        <v>94</v>
      </c>
      <c r="L119" s="14" t="s">
        <v>62</v>
      </c>
      <c r="M119" s="70">
        <f t="shared" ref="M119:AQ119" si="20">M87*8760</f>
        <v>1048.2264846315363</v>
      </c>
      <c r="N119" s="70">
        <f t="shared" si="20"/>
        <v>1048.2264846315363</v>
      </c>
      <c r="O119" s="70">
        <f t="shared" si="20"/>
        <v>1048.2264846315363</v>
      </c>
      <c r="P119" s="70">
        <f t="shared" si="20"/>
        <v>1048.2264846315363</v>
      </c>
      <c r="Q119" s="70">
        <f t="shared" si="20"/>
        <v>1048.2264846315363</v>
      </c>
      <c r="R119" s="70">
        <f t="shared" si="20"/>
        <v>1048.2264846315363</v>
      </c>
      <c r="S119" s="70">
        <f t="shared" si="20"/>
        <v>1048.2264846315363</v>
      </c>
      <c r="T119" s="70">
        <f t="shared" si="20"/>
        <v>1048.2264846315363</v>
      </c>
      <c r="U119" s="70">
        <f t="shared" si="20"/>
        <v>1048.2264846315363</v>
      </c>
      <c r="V119" s="70">
        <f t="shared" si="20"/>
        <v>1048.2264846315363</v>
      </c>
      <c r="W119" s="70">
        <f t="shared" si="20"/>
        <v>1048.2264846315363</v>
      </c>
      <c r="X119" s="70">
        <f t="shared" si="20"/>
        <v>1049.118466802264</v>
      </c>
      <c r="Y119" s="70">
        <f t="shared" si="20"/>
        <v>1050.0104489729918</v>
      </c>
      <c r="Z119" s="70">
        <f t="shared" si="20"/>
        <v>1050.9024311437195</v>
      </c>
      <c r="AA119" s="70">
        <f t="shared" si="20"/>
        <v>1051.7944133144472</v>
      </c>
      <c r="AB119" s="70">
        <f t="shared" si="20"/>
        <v>1052.6863954851749</v>
      </c>
      <c r="AC119" s="70">
        <f t="shared" si="20"/>
        <v>1053.5783776559024</v>
      </c>
      <c r="AD119" s="70">
        <f t="shared" si="20"/>
        <v>1054.4703598266301</v>
      </c>
      <c r="AE119" s="70">
        <f t="shared" si="20"/>
        <v>1055.3623419973578</v>
      </c>
      <c r="AF119" s="70">
        <f t="shared" si="20"/>
        <v>1056.2543241680855</v>
      </c>
      <c r="AG119" s="70">
        <f t="shared" si="20"/>
        <v>1057.1463063388132</v>
      </c>
      <c r="AH119" s="70">
        <f t="shared" si="20"/>
        <v>1058.038288509541</v>
      </c>
      <c r="AI119" s="70">
        <f t="shared" si="20"/>
        <v>1058.9302706802687</v>
      </c>
      <c r="AJ119" s="70">
        <f t="shared" si="20"/>
        <v>1059.8222528509962</v>
      </c>
      <c r="AK119" s="70">
        <f t="shared" si="20"/>
        <v>1060.7142350217239</v>
      </c>
      <c r="AL119" s="70">
        <f t="shared" si="20"/>
        <v>1061.6062171924516</v>
      </c>
      <c r="AM119" s="70">
        <f t="shared" si="20"/>
        <v>1062.4981993631793</v>
      </c>
      <c r="AN119" s="70">
        <f t="shared" si="20"/>
        <v>1063.390181533907</v>
      </c>
      <c r="AO119" s="70">
        <f t="shared" si="20"/>
        <v>1064.2821637046347</v>
      </c>
      <c r="AP119" s="70">
        <f t="shared" si="20"/>
        <v>1065.1741458753625</v>
      </c>
      <c r="AQ119" s="70">
        <f t="shared" si="20"/>
        <v>1066.0661280460906</v>
      </c>
    </row>
    <row r="120" spans="7:45" ht="14.25" hidden="1" customHeight="1" thickTop="1" x14ac:dyDescent="0.15">
      <c r="G120" s="7"/>
      <c r="H120" s="207"/>
      <c r="J120" s="156"/>
      <c r="K120" s="13" t="s">
        <v>93</v>
      </c>
      <c r="L120" s="13" t="s">
        <v>67</v>
      </c>
      <c r="M120" s="69">
        <f t="shared" ref="M120:AQ120" si="21">M88*8760</f>
        <v>1152.6826711479548</v>
      </c>
      <c r="N120" s="69">
        <f t="shared" si="21"/>
        <v>1157.2004283294705</v>
      </c>
      <c r="O120" s="69">
        <f t="shared" si="21"/>
        <v>1161.7181855109861</v>
      </c>
      <c r="P120" s="69">
        <f t="shared" si="21"/>
        <v>1166.2359426925018</v>
      </c>
      <c r="Q120" s="69">
        <f t="shared" si="21"/>
        <v>1170.7536998740175</v>
      </c>
      <c r="R120" s="69">
        <f t="shared" si="21"/>
        <v>1175.2714570555333</v>
      </c>
      <c r="S120" s="69">
        <f t="shared" si="21"/>
        <v>1179.789214237049</v>
      </c>
      <c r="T120" s="69">
        <f t="shared" si="21"/>
        <v>1184.3069714185647</v>
      </c>
      <c r="U120" s="69">
        <f t="shared" si="21"/>
        <v>1188.8247286000803</v>
      </c>
      <c r="V120" s="69">
        <f t="shared" si="21"/>
        <v>1193.342485781596</v>
      </c>
      <c r="W120" s="69">
        <f t="shared" si="21"/>
        <v>1197.8602429631126</v>
      </c>
      <c r="X120" s="69">
        <f t="shared" si="21"/>
        <v>1197.8602429631126</v>
      </c>
      <c r="Y120" s="69">
        <f t="shared" si="21"/>
        <v>1197.8602429631126</v>
      </c>
      <c r="Z120" s="69">
        <f t="shared" si="21"/>
        <v>1197.8602429631126</v>
      </c>
      <c r="AA120" s="69">
        <f t="shared" si="21"/>
        <v>1197.8602429631126</v>
      </c>
      <c r="AB120" s="69">
        <f t="shared" si="21"/>
        <v>1197.8602429631126</v>
      </c>
      <c r="AC120" s="69">
        <f t="shared" si="21"/>
        <v>1197.8602429631126</v>
      </c>
      <c r="AD120" s="69">
        <f t="shared" si="21"/>
        <v>1197.8602429631126</v>
      </c>
      <c r="AE120" s="69">
        <f t="shared" si="21"/>
        <v>1197.8602429631126</v>
      </c>
      <c r="AF120" s="69">
        <f t="shared" si="21"/>
        <v>1197.8602429631126</v>
      </c>
      <c r="AG120" s="69">
        <f t="shared" si="21"/>
        <v>1197.8602429631126</v>
      </c>
      <c r="AH120" s="69">
        <f t="shared" si="21"/>
        <v>1197.8602429631126</v>
      </c>
      <c r="AI120" s="69">
        <f t="shared" si="21"/>
        <v>1197.8602429631126</v>
      </c>
      <c r="AJ120" s="69">
        <f t="shared" si="21"/>
        <v>1197.8602429631126</v>
      </c>
      <c r="AK120" s="69">
        <f t="shared" si="21"/>
        <v>1197.8602429631126</v>
      </c>
      <c r="AL120" s="69">
        <f t="shared" si="21"/>
        <v>1197.8602429631126</v>
      </c>
      <c r="AM120" s="69">
        <f t="shared" si="21"/>
        <v>1197.8602429631126</v>
      </c>
      <c r="AN120" s="69">
        <f t="shared" si="21"/>
        <v>1197.8602429631126</v>
      </c>
      <c r="AO120" s="69">
        <f t="shared" si="21"/>
        <v>1197.8602429631126</v>
      </c>
      <c r="AP120" s="69">
        <f t="shared" si="21"/>
        <v>1197.8602429631126</v>
      </c>
      <c r="AQ120" s="69">
        <f t="shared" si="21"/>
        <v>1197.8602429631126</v>
      </c>
    </row>
    <row r="121" spans="7:45" ht="14.25" hidden="1" customHeight="1" x14ac:dyDescent="0.15">
      <c r="G121" s="7"/>
      <c r="H121" s="207"/>
      <c r="J121" s="156"/>
      <c r="K121" s="5" t="s">
        <v>93</v>
      </c>
      <c r="L121" s="47" t="s">
        <v>66</v>
      </c>
      <c r="M121" s="68">
        <f t="shared" ref="M121:AQ121" si="22">M89*8760</f>
        <v>1149.9413215850191</v>
      </c>
      <c r="N121" s="68">
        <f t="shared" si="22"/>
        <v>1151.7177292035992</v>
      </c>
      <c r="O121" s="68">
        <f t="shared" si="22"/>
        <v>1153.4941368221791</v>
      </c>
      <c r="P121" s="68">
        <f t="shared" si="22"/>
        <v>1155.2705444407593</v>
      </c>
      <c r="Q121" s="68">
        <f t="shared" si="22"/>
        <v>1157.0469520593392</v>
      </c>
      <c r="R121" s="68">
        <f t="shared" si="22"/>
        <v>1158.8233596779191</v>
      </c>
      <c r="S121" s="68">
        <f t="shared" si="22"/>
        <v>1160.5997672964993</v>
      </c>
      <c r="T121" s="68">
        <f t="shared" si="22"/>
        <v>1162.3761749150792</v>
      </c>
      <c r="U121" s="68">
        <f t="shared" si="22"/>
        <v>1164.1525825336594</v>
      </c>
      <c r="V121" s="68">
        <f t="shared" si="22"/>
        <v>1165.9289901522393</v>
      </c>
      <c r="W121" s="68">
        <f t="shared" si="22"/>
        <v>1167.7053977708181</v>
      </c>
      <c r="X121" s="68">
        <f t="shared" si="22"/>
        <v>1169.2131400304327</v>
      </c>
      <c r="Y121" s="68">
        <f t="shared" si="22"/>
        <v>1170.7208822900475</v>
      </c>
      <c r="Z121" s="68">
        <f t="shared" si="22"/>
        <v>1172.2286245496621</v>
      </c>
      <c r="AA121" s="68">
        <f t="shared" si="22"/>
        <v>1173.7363668092767</v>
      </c>
      <c r="AB121" s="68">
        <f t="shared" si="22"/>
        <v>1175.2441090688912</v>
      </c>
      <c r="AC121" s="68">
        <f t="shared" si="22"/>
        <v>1176.7518513285061</v>
      </c>
      <c r="AD121" s="68">
        <f t="shared" si="22"/>
        <v>1178.2595935881207</v>
      </c>
      <c r="AE121" s="68">
        <f t="shared" si="22"/>
        <v>1179.7673358477352</v>
      </c>
      <c r="AF121" s="68">
        <f t="shared" si="22"/>
        <v>1181.2750781073501</v>
      </c>
      <c r="AG121" s="68">
        <f t="shared" si="22"/>
        <v>1182.7828203669646</v>
      </c>
      <c r="AH121" s="68">
        <f t="shared" si="22"/>
        <v>1184.2905626265792</v>
      </c>
      <c r="AI121" s="68">
        <f t="shared" si="22"/>
        <v>1185.798304886194</v>
      </c>
      <c r="AJ121" s="68">
        <f t="shared" si="22"/>
        <v>1187.3060471458086</v>
      </c>
      <c r="AK121" s="68">
        <f t="shared" si="22"/>
        <v>1188.8137894054232</v>
      </c>
      <c r="AL121" s="68">
        <f t="shared" si="22"/>
        <v>1190.3215316650378</v>
      </c>
      <c r="AM121" s="68">
        <f t="shared" si="22"/>
        <v>1191.8292739246526</v>
      </c>
      <c r="AN121" s="68">
        <f t="shared" si="22"/>
        <v>1193.3370161842672</v>
      </c>
      <c r="AO121" s="68">
        <f t="shared" si="22"/>
        <v>1194.8447584438818</v>
      </c>
      <c r="AP121" s="68">
        <f t="shared" si="22"/>
        <v>1196.3525007034966</v>
      </c>
      <c r="AQ121" s="68">
        <f t="shared" si="22"/>
        <v>1197.8602429631126</v>
      </c>
    </row>
    <row r="122" spans="7:45" ht="14.25" hidden="1" customHeight="1" thickBot="1" x14ac:dyDescent="0.2">
      <c r="G122" s="7"/>
      <c r="H122" s="207"/>
      <c r="J122" s="156"/>
      <c r="K122" s="14" t="s">
        <v>93</v>
      </c>
      <c r="L122" s="14" t="s">
        <v>62</v>
      </c>
      <c r="M122" s="70">
        <f t="shared" ref="M122:AQ122" si="23">M90*8760</f>
        <v>1148.1649139664391</v>
      </c>
      <c r="N122" s="70">
        <f t="shared" si="23"/>
        <v>1148.1649139664391</v>
      </c>
      <c r="O122" s="70">
        <f t="shared" si="23"/>
        <v>1148.1649139664391</v>
      </c>
      <c r="P122" s="70">
        <f t="shared" si="23"/>
        <v>1148.1649139664391</v>
      </c>
      <c r="Q122" s="70">
        <f t="shared" si="23"/>
        <v>1148.1649139664391</v>
      </c>
      <c r="R122" s="70">
        <f t="shared" si="23"/>
        <v>1148.1649139664391</v>
      </c>
      <c r="S122" s="70">
        <f t="shared" si="23"/>
        <v>1148.1649139664391</v>
      </c>
      <c r="T122" s="70">
        <f t="shared" si="23"/>
        <v>1148.1649139664391</v>
      </c>
      <c r="U122" s="70">
        <f t="shared" si="23"/>
        <v>1148.1649139664391</v>
      </c>
      <c r="V122" s="70">
        <f t="shared" si="23"/>
        <v>1148.1649139664391</v>
      </c>
      <c r="W122" s="70">
        <f t="shared" si="23"/>
        <v>1148.1649139664391</v>
      </c>
      <c r="X122" s="70">
        <f t="shared" si="23"/>
        <v>1149.1419381566579</v>
      </c>
      <c r="Y122" s="70">
        <f t="shared" si="23"/>
        <v>1150.118962346877</v>
      </c>
      <c r="Z122" s="70">
        <f t="shared" si="23"/>
        <v>1151.0959865370958</v>
      </c>
      <c r="AA122" s="70">
        <f t="shared" si="23"/>
        <v>1152.0730107273148</v>
      </c>
      <c r="AB122" s="70">
        <f t="shared" si="23"/>
        <v>1153.0500349175336</v>
      </c>
      <c r="AC122" s="70">
        <f t="shared" si="23"/>
        <v>1154.0270591077526</v>
      </c>
      <c r="AD122" s="70">
        <f t="shared" si="23"/>
        <v>1155.0040832979714</v>
      </c>
      <c r="AE122" s="70">
        <f t="shared" si="23"/>
        <v>1155.9811074881904</v>
      </c>
      <c r="AF122" s="70">
        <f t="shared" si="23"/>
        <v>1156.9581316784092</v>
      </c>
      <c r="AG122" s="70">
        <f t="shared" si="23"/>
        <v>1157.9351558686283</v>
      </c>
      <c r="AH122" s="70">
        <f t="shared" si="23"/>
        <v>1158.9121800588471</v>
      </c>
      <c r="AI122" s="70">
        <f t="shared" si="23"/>
        <v>1159.8892042490661</v>
      </c>
      <c r="AJ122" s="70">
        <f t="shared" si="23"/>
        <v>1160.8662284392849</v>
      </c>
      <c r="AK122" s="70">
        <f t="shared" si="23"/>
        <v>1161.8432526295039</v>
      </c>
      <c r="AL122" s="70">
        <f t="shared" si="23"/>
        <v>1162.8202768197227</v>
      </c>
      <c r="AM122" s="70">
        <f t="shared" si="23"/>
        <v>1163.7973010099417</v>
      </c>
      <c r="AN122" s="70">
        <f t="shared" si="23"/>
        <v>1164.7743252001605</v>
      </c>
      <c r="AO122" s="70">
        <f t="shared" si="23"/>
        <v>1165.7513493903796</v>
      </c>
      <c r="AP122" s="70">
        <f t="shared" si="23"/>
        <v>1166.7283735805984</v>
      </c>
      <c r="AQ122" s="70">
        <f t="shared" si="23"/>
        <v>1167.7053977708181</v>
      </c>
    </row>
    <row r="123" spans="7:45" ht="14.25" hidden="1" customHeight="1" thickTop="1" x14ac:dyDescent="0.15">
      <c r="G123" s="7"/>
      <c r="H123" s="207"/>
      <c r="J123" s="156"/>
      <c r="K123" s="13" t="s">
        <v>92</v>
      </c>
      <c r="L123" s="13" t="s">
        <v>67</v>
      </c>
      <c r="M123" s="69">
        <f t="shared" ref="M123:AQ123" si="24">M91*8760</f>
        <v>1200.4678501330004</v>
      </c>
      <c r="N123" s="69">
        <f t="shared" si="24"/>
        <v>1205.1728937559049</v>
      </c>
      <c r="O123" s="69">
        <f t="shared" si="24"/>
        <v>1209.8779373788093</v>
      </c>
      <c r="P123" s="69">
        <f t="shared" si="24"/>
        <v>1214.5829810017137</v>
      </c>
      <c r="Q123" s="69">
        <f t="shared" si="24"/>
        <v>1219.2880246246182</v>
      </c>
      <c r="R123" s="69">
        <f t="shared" si="24"/>
        <v>1223.9930682475226</v>
      </c>
      <c r="S123" s="69">
        <f t="shared" si="24"/>
        <v>1228.6981118704271</v>
      </c>
      <c r="T123" s="69">
        <f t="shared" si="24"/>
        <v>1233.4031554933315</v>
      </c>
      <c r="U123" s="69">
        <f t="shared" si="24"/>
        <v>1238.1081991162359</v>
      </c>
      <c r="V123" s="69">
        <f t="shared" si="24"/>
        <v>1242.8132427391404</v>
      </c>
      <c r="W123" s="69">
        <f t="shared" si="24"/>
        <v>1247.518286362045</v>
      </c>
      <c r="X123" s="69">
        <f t="shared" si="24"/>
        <v>1247.518286362045</v>
      </c>
      <c r="Y123" s="69">
        <f t="shared" si="24"/>
        <v>1247.518286362045</v>
      </c>
      <c r="Z123" s="69">
        <f t="shared" si="24"/>
        <v>1247.518286362045</v>
      </c>
      <c r="AA123" s="69">
        <f t="shared" si="24"/>
        <v>1247.518286362045</v>
      </c>
      <c r="AB123" s="69">
        <f t="shared" si="24"/>
        <v>1247.518286362045</v>
      </c>
      <c r="AC123" s="69">
        <f t="shared" si="24"/>
        <v>1247.518286362045</v>
      </c>
      <c r="AD123" s="69">
        <f t="shared" si="24"/>
        <v>1247.518286362045</v>
      </c>
      <c r="AE123" s="69">
        <f t="shared" si="24"/>
        <v>1247.518286362045</v>
      </c>
      <c r="AF123" s="69">
        <f t="shared" si="24"/>
        <v>1247.518286362045</v>
      </c>
      <c r="AG123" s="69">
        <f t="shared" si="24"/>
        <v>1247.518286362045</v>
      </c>
      <c r="AH123" s="69">
        <f t="shared" si="24"/>
        <v>1247.518286362045</v>
      </c>
      <c r="AI123" s="69">
        <f t="shared" si="24"/>
        <v>1247.518286362045</v>
      </c>
      <c r="AJ123" s="69">
        <f t="shared" si="24"/>
        <v>1247.518286362045</v>
      </c>
      <c r="AK123" s="69">
        <f t="shared" si="24"/>
        <v>1247.518286362045</v>
      </c>
      <c r="AL123" s="69">
        <f t="shared" si="24"/>
        <v>1247.518286362045</v>
      </c>
      <c r="AM123" s="69">
        <f t="shared" si="24"/>
        <v>1247.518286362045</v>
      </c>
      <c r="AN123" s="69">
        <f t="shared" si="24"/>
        <v>1247.518286362045</v>
      </c>
      <c r="AO123" s="69">
        <f t="shared" si="24"/>
        <v>1247.518286362045</v>
      </c>
      <c r="AP123" s="69">
        <f t="shared" si="24"/>
        <v>1247.518286362045</v>
      </c>
      <c r="AQ123" s="69">
        <f t="shared" si="24"/>
        <v>1247.518286362045</v>
      </c>
    </row>
    <row r="124" spans="7:45" ht="14.25" hidden="1" customHeight="1" x14ac:dyDescent="0.15">
      <c r="G124" s="7"/>
      <c r="H124" s="207"/>
      <c r="J124" s="156"/>
      <c r="K124" s="5" t="s">
        <v>92</v>
      </c>
      <c r="L124" s="47" t="s">
        <v>66</v>
      </c>
      <c r="M124" s="68">
        <f t="shared" ref="M124:AQ124" si="25">M92*8760</f>
        <v>1197.6128562143331</v>
      </c>
      <c r="N124" s="68">
        <f t="shared" si="25"/>
        <v>1199.4629059185702</v>
      </c>
      <c r="O124" s="68">
        <f t="shared" si="25"/>
        <v>1201.3129556228075</v>
      </c>
      <c r="P124" s="68">
        <f t="shared" si="25"/>
        <v>1203.1630053270446</v>
      </c>
      <c r="Q124" s="68">
        <f t="shared" si="25"/>
        <v>1205.0130550312817</v>
      </c>
      <c r="R124" s="68">
        <f t="shared" si="25"/>
        <v>1206.8631047355188</v>
      </c>
      <c r="S124" s="68">
        <f t="shared" si="25"/>
        <v>1208.713154439756</v>
      </c>
      <c r="T124" s="68">
        <f t="shared" si="25"/>
        <v>1210.5632041439931</v>
      </c>
      <c r="U124" s="68">
        <f t="shared" si="25"/>
        <v>1212.4132538482302</v>
      </c>
      <c r="V124" s="68">
        <f t="shared" si="25"/>
        <v>1214.2633035524673</v>
      </c>
      <c r="W124" s="68">
        <f t="shared" si="25"/>
        <v>1216.1133532567039</v>
      </c>
      <c r="X124" s="68">
        <f t="shared" si="25"/>
        <v>1217.6835999119712</v>
      </c>
      <c r="Y124" s="68">
        <f t="shared" si="25"/>
        <v>1219.2538465672383</v>
      </c>
      <c r="Z124" s="68">
        <f t="shared" si="25"/>
        <v>1220.8240932225053</v>
      </c>
      <c r="AA124" s="68">
        <f t="shared" si="25"/>
        <v>1222.3943398777726</v>
      </c>
      <c r="AB124" s="68">
        <f t="shared" si="25"/>
        <v>1223.9645865330397</v>
      </c>
      <c r="AC124" s="68">
        <f t="shared" si="25"/>
        <v>1225.5348331883067</v>
      </c>
      <c r="AD124" s="68">
        <f t="shared" si="25"/>
        <v>1227.105079843574</v>
      </c>
      <c r="AE124" s="68">
        <f t="shared" si="25"/>
        <v>1228.6753264988411</v>
      </c>
      <c r="AF124" s="68">
        <f t="shared" si="25"/>
        <v>1230.2455731541083</v>
      </c>
      <c r="AG124" s="68">
        <f t="shared" si="25"/>
        <v>1231.8158198093754</v>
      </c>
      <c r="AH124" s="68">
        <f t="shared" si="25"/>
        <v>1233.3860664646425</v>
      </c>
      <c r="AI124" s="68">
        <f t="shared" si="25"/>
        <v>1234.9563131199097</v>
      </c>
      <c r="AJ124" s="68">
        <f t="shared" si="25"/>
        <v>1236.5265597751768</v>
      </c>
      <c r="AK124" s="68">
        <f t="shared" si="25"/>
        <v>1238.0968064304441</v>
      </c>
      <c r="AL124" s="68">
        <f t="shared" si="25"/>
        <v>1239.6670530857111</v>
      </c>
      <c r="AM124" s="68">
        <f t="shared" si="25"/>
        <v>1241.2372997409782</v>
      </c>
      <c r="AN124" s="68">
        <f t="shared" si="25"/>
        <v>1242.8075463962455</v>
      </c>
      <c r="AO124" s="68">
        <f t="shared" si="25"/>
        <v>1244.3777930515125</v>
      </c>
      <c r="AP124" s="68">
        <f t="shared" si="25"/>
        <v>1245.9480397067798</v>
      </c>
      <c r="AQ124" s="68">
        <f t="shared" si="25"/>
        <v>1247.518286362045</v>
      </c>
    </row>
    <row r="125" spans="7:45" ht="14.25" hidden="1" customHeight="1" thickBot="1" x14ac:dyDescent="0.2">
      <c r="G125" s="7"/>
      <c r="H125" s="207"/>
      <c r="J125" s="156"/>
      <c r="K125" s="14" t="s">
        <v>92</v>
      </c>
      <c r="L125" s="14" t="s">
        <v>62</v>
      </c>
      <c r="M125" s="67">
        <f t="shared" ref="M125:AQ125" si="26">M93*8760</f>
        <v>1195.762806510096</v>
      </c>
      <c r="N125" s="67">
        <f t="shared" si="26"/>
        <v>1195.762806510096</v>
      </c>
      <c r="O125" s="67">
        <f t="shared" si="26"/>
        <v>1195.762806510096</v>
      </c>
      <c r="P125" s="67">
        <f t="shared" si="26"/>
        <v>1195.762806510096</v>
      </c>
      <c r="Q125" s="67">
        <f t="shared" si="26"/>
        <v>1195.762806510096</v>
      </c>
      <c r="R125" s="67">
        <f t="shared" si="26"/>
        <v>1195.762806510096</v>
      </c>
      <c r="S125" s="67">
        <f t="shared" si="26"/>
        <v>1195.762806510096</v>
      </c>
      <c r="T125" s="67">
        <f t="shared" si="26"/>
        <v>1195.762806510096</v>
      </c>
      <c r="U125" s="67">
        <f t="shared" si="26"/>
        <v>1195.762806510096</v>
      </c>
      <c r="V125" s="67">
        <f t="shared" si="26"/>
        <v>1195.762806510096</v>
      </c>
      <c r="W125" s="67">
        <f t="shared" si="26"/>
        <v>1195.762806510096</v>
      </c>
      <c r="X125" s="67">
        <f t="shared" si="26"/>
        <v>1196.7803338474266</v>
      </c>
      <c r="Y125" s="67">
        <f t="shared" si="26"/>
        <v>1197.797861184757</v>
      </c>
      <c r="Z125" s="67">
        <f t="shared" si="26"/>
        <v>1198.8153885220875</v>
      </c>
      <c r="AA125" s="67">
        <f t="shared" si="26"/>
        <v>1199.8329158594181</v>
      </c>
      <c r="AB125" s="67">
        <f t="shared" si="26"/>
        <v>1200.8504431967485</v>
      </c>
      <c r="AC125" s="67">
        <f t="shared" si="26"/>
        <v>1201.8679705340789</v>
      </c>
      <c r="AD125" s="67">
        <f t="shared" si="26"/>
        <v>1202.8854978714096</v>
      </c>
      <c r="AE125" s="67">
        <f t="shared" si="26"/>
        <v>1203.90302520874</v>
      </c>
      <c r="AF125" s="67">
        <f t="shared" si="26"/>
        <v>1204.9205525460704</v>
      </c>
      <c r="AG125" s="67">
        <f t="shared" si="26"/>
        <v>1205.9380798834009</v>
      </c>
      <c r="AH125" s="67">
        <f t="shared" si="26"/>
        <v>1206.9556072207315</v>
      </c>
      <c r="AI125" s="67">
        <f t="shared" si="26"/>
        <v>1207.9731345580619</v>
      </c>
      <c r="AJ125" s="67">
        <f t="shared" si="26"/>
        <v>1208.9906618953923</v>
      </c>
      <c r="AK125" s="67">
        <f t="shared" si="26"/>
        <v>1210.008189232723</v>
      </c>
      <c r="AL125" s="67">
        <f t="shared" si="26"/>
        <v>1211.0257165700534</v>
      </c>
      <c r="AM125" s="67">
        <f t="shared" si="26"/>
        <v>1212.0432439073838</v>
      </c>
      <c r="AN125" s="67">
        <f t="shared" si="26"/>
        <v>1213.0607712447145</v>
      </c>
      <c r="AO125" s="67">
        <f t="shared" si="26"/>
        <v>1214.0782985820449</v>
      </c>
      <c r="AP125" s="67">
        <f t="shared" si="26"/>
        <v>1215.0958259193753</v>
      </c>
      <c r="AQ125" s="67">
        <f t="shared" si="26"/>
        <v>1216.1133532567039</v>
      </c>
      <c r="AR125" s="63"/>
      <c r="AS125" s="63"/>
    </row>
    <row r="126" spans="7:45" ht="14.25" hidden="1" customHeight="1" thickTop="1" x14ac:dyDescent="0.15">
      <c r="G126" s="7"/>
      <c r="H126" s="207"/>
      <c r="J126" s="156"/>
      <c r="K126" s="13" t="s">
        <v>91</v>
      </c>
      <c r="L126" s="13" t="s">
        <v>67</v>
      </c>
      <c r="M126" s="69">
        <f t="shared" ref="M126:AQ126" si="27">M94*8760</f>
        <v>1260.199380362091</v>
      </c>
      <c r="N126" s="69">
        <f t="shared" si="27"/>
        <v>1265.1385322581655</v>
      </c>
      <c r="O126" s="69">
        <f t="shared" si="27"/>
        <v>1270.0776841542399</v>
      </c>
      <c r="P126" s="69">
        <f t="shared" si="27"/>
        <v>1275.0168360503144</v>
      </c>
      <c r="Q126" s="69">
        <f t="shared" si="27"/>
        <v>1279.9559879463886</v>
      </c>
      <c r="R126" s="69">
        <f t="shared" si="27"/>
        <v>1284.8951398424631</v>
      </c>
      <c r="S126" s="69">
        <f t="shared" si="27"/>
        <v>1289.8342917385376</v>
      </c>
      <c r="T126" s="69">
        <f t="shared" si="27"/>
        <v>1294.773443634612</v>
      </c>
      <c r="U126" s="69">
        <f t="shared" si="27"/>
        <v>1299.7125955306863</v>
      </c>
      <c r="V126" s="69">
        <f t="shared" si="27"/>
        <v>1304.6517474267607</v>
      </c>
      <c r="W126" s="69">
        <f t="shared" si="27"/>
        <v>1309.5908993228354</v>
      </c>
      <c r="X126" s="69">
        <f t="shared" si="27"/>
        <v>1309.5908993228354</v>
      </c>
      <c r="Y126" s="69">
        <f t="shared" si="27"/>
        <v>1309.5908993228354</v>
      </c>
      <c r="Z126" s="69">
        <f t="shared" si="27"/>
        <v>1309.5908993228354</v>
      </c>
      <c r="AA126" s="69">
        <f t="shared" si="27"/>
        <v>1309.5908993228354</v>
      </c>
      <c r="AB126" s="69">
        <f t="shared" si="27"/>
        <v>1309.5908993228354</v>
      </c>
      <c r="AC126" s="69">
        <f t="shared" si="27"/>
        <v>1309.5908993228354</v>
      </c>
      <c r="AD126" s="69">
        <f t="shared" si="27"/>
        <v>1309.5908993228354</v>
      </c>
      <c r="AE126" s="69">
        <f t="shared" si="27"/>
        <v>1309.5908993228354</v>
      </c>
      <c r="AF126" s="69">
        <f t="shared" si="27"/>
        <v>1309.5908993228354</v>
      </c>
      <c r="AG126" s="69">
        <f t="shared" si="27"/>
        <v>1309.5908993228354</v>
      </c>
      <c r="AH126" s="69">
        <f t="shared" si="27"/>
        <v>1309.5908993228354</v>
      </c>
      <c r="AI126" s="69">
        <f t="shared" si="27"/>
        <v>1309.5908993228354</v>
      </c>
      <c r="AJ126" s="69">
        <f t="shared" si="27"/>
        <v>1309.5908993228354</v>
      </c>
      <c r="AK126" s="69">
        <f t="shared" si="27"/>
        <v>1309.5908993228354</v>
      </c>
      <c r="AL126" s="69">
        <f t="shared" si="27"/>
        <v>1309.5908993228354</v>
      </c>
      <c r="AM126" s="69">
        <f t="shared" si="27"/>
        <v>1309.5908993228354</v>
      </c>
      <c r="AN126" s="69">
        <f t="shared" si="27"/>
        <v>1309.5908993228354</v>
      </c>
      <c r="AO126" s="69">
        <f t="shared" si="27"/>
        <v>1309.5908993228354</v>
      </c>
      <c r="AP126" s="69">
        <f t="shared" si="27"/>
        <v>1309.5908993228354</v>
      </c>
      <c r="AQ126" s="69">
        <f t="shared" si="27"/>
        <v>1309.5908993228354</v>
      </c>
    </row>
    <row r="127" spans="7:45" ht="14.25" hidden="1" customHeight="1" x14ac:dyDescent="0.15">
      <c r="G127" s="7"/>
      <c r="H127" s="207"/>
      <c r="J127" s="156"/>
      <c r="K127" s="5" t="s">
        <v>91</v>
      </c>
      <c r="L127" s="47" t="s">
        <v>66</v>
      </c>
      <c r="M127" s="68">
        <f t="shared" ref="M127:AQ127" si="28">M95*8760</f>
        <v>1257.2023308643943</v>
      </c>
      <c r="N127" s="68">
        <f t="shared" si="28"/>
        <v>1259.1444332627718</v>
      </c>
      <c r="O127" s="68">
        <f t="shared" si="28"/>
        <v>1261.0865356611496</v>
      </c>
      <c r="P127" s="68">
        <f t="shared" si="28"/>
        <v>1263.0286380595271</v>
      </c>
      <c r="Q127" s="68">
        <f t="shared" si="28"/>
        <v>1264.9707404579049</v>
      </c>
      <c r="R127" s="68">
        <f t="shared" si="28"/>
        <v>1266.9128428562824</v>
      </c>
      <c r="S127" s="68">
        <f t="shared" si="28"/>
        <v>1268.8549452546602</v>
      </c>
      <c r="T127" s="68">
        <f t="shared" si="28"/>
        <v>1270.7970476530377</v>
      </c>
      <c r="U127" s="68">
        <f t="shared" si="28"/>
        <v>1272.7391500514154</v>
      </c>
      <c r="V127" s="68">
        <f t="shared" si="28"/>
        <v>1274.681252449793</v>
      </c>
      <c r="W127" s="68">
        <f t="shared" si="28"/>
        <v>1276.6233548481714</v>
      </c>
      <c r="X127" s="68">
        <f t="shared" si="28"/>
        <v>1278.2717320719046</v>
      </c>
      <c r="Y127" s="68">
        <f t="shared" si="28"/>
        <v>1279.9201092956378</v>
      </c>
      <c r="Z127" s="68">
        <f t="shared" si="28"/>
        <v>1281.5684865193709</v>
      </c>
      <c r="AA127" s="68">
        <f t="shared" si="28"/>
        <v>1283.2168637431041</v>
      </c>
      <c r="AB127" s="68">
        <f t="shared" si="28"/>
        <v>1284.8652409668373</v>
      </c>
      <c r="AC127" s="68">
        <f t="shared" si="28"/>
        <v>1286.5136181905705</v>
      </c>
      <c r="AD127" s="68">
        <f t="shared" si="28"/>
        <v>1288.1619954143036</v>
      </c>
      <c r="AE127" s="68">
        <f t="shared" si="28"/>
        <v>1289.8103726380366</v>
      </c>
      <c r="AF127" s="68">
        <f t="shared" si="28"/>
        <v>1291.4587498617698</v>
      </c>
      <c r="AG127" s="68">
        <f t="shared" si="28"/>
        <v>1293.107127085503</v>
      </c>
      <c r="AH127" s="68">
        <f t="shared" si="28"/>
        <v>1294.7555043092361</v>
      </c>
      <c r="AI127" s="68">
        <f t="shared" si="28"/>
        <v>1296.4038815329693</v>
      </c>
      <c r="AJ127" s="68">
        <f t="shared" si="28"/>
        <v>1298.0522587567025</v>
      </c>
      <c r="AK127" s="68">
        <f t="shared" si="28"/>
        <v>1299.7006359804357</v>
      </c>
      <c r="AL127" s="68">
        <f t="shared" si="28"/>
        <v>1301.3490132041688</v>
      </c>
      <c r="AM127" s="68">
        <f t="shared" si="28"/>
        <v>1302.997390427902</v>
      </c>
      <c r="AN127" s="68">
        <f t="shared" si="28"/>
        <v>1304.6457676516352</v>
      </c>
      <c r="AO127" s="68">
        <f t="shared" si="28"/>
        <v>1306.2941448753684</v>
      </c>
      <c r="AP127" s="68">
        <f t="shared" si="28"/>
        <v>1307.9425220991016</v>
      </c>
      <c r="AQ127" s="68">
        <f t="shared" si="28"/>
        <v>1309.5908993228354</v>
      </c>
    </row>
    <row r="128" spans="7:45" ht="14.25" hidden="1" customHeight="1" thickBot="1" x14ac:dyDescent="0.2">
      <c r="G128" s="7"/>
      <c r="H128" s="207"/>
      <c r="J128" s="156"/>
      <c r="K128" s="14" t="s">
        <v>91</v>
      </c>
      <c r="L128" s="14" t="s">
        <v>62</v>
      </c>
      <c r="M128" s="67">
        <f t="shared" ref="M128:AQ128" si="29">M96*8760</f>
        <v>1255.2602284660168</v>
      </c>
      <c r="N128" s="67">
        <f t="shared" si="29"/>
        <v>1255.2602284660168</v>
      </c>
      <c r="O128" s="67">
        <f t="shared" si="29"/>
        <v>1255.2602284660168</v>
      </c>
      <c r="P128" s="67">
        <f t="shared" si="29"/>
        <v>1255.2602284660168</v>
      </c>
      <c r="Q128" s="67">
        <f t="shared" si="29"/>
        <v>1255.2602284660168</v>
      </c>
      <c r="R128" s="67">
        <f t="shared" si="29"/>
        <v>1255.2602284660168</v>
      </c>
      <c r="S128" s="67">
        <f t="shared" si="29"/>
        <v>1255.2602284660168</v>
      </c>
      <c r="T128" s="67">
        <f t="shared" si="29"/>
        <v>1255.2602284660168</v>
      </c>
      <c r="U128" s="67">
        <f t="shared" si="29"/>
        <v>1255.2602284660168</v>
      </c>
      <c r="V128" s="67">
        <f t="shared" si="29"/>
        <v>1255.2602284660168</v>
      </c>
      <c r="W128" s="67">
        <f t="shared" si="29"/>
        <v>1255.2602284660168</v>
      </c>
      <c r="X128" s="67">
        <f t="shared" si="29"/>
        <v>1256.3283847851242</v>
      </c>
      <c r="Y128" s="67">
        <f t="shared" si="29"/>
        <v>1257.3965411042318</v>
      </c>
      <c r="Z128" s="67">
        <f t="shared" si="29"/>
        <v>1258.4646974233394</v>
      </c>
      <c r="AA128" s="67">
        <f t="shared" si="29"/>
        <v>1259.5328537424471</v>
      </c>
      <c r="AB128" s="67">
        <f t="shared" si="29"/>
        <v>1260.6010100615547</v>
      </c>
      <c r="AC128" s="67">
        <f t="shared" si="29"/>
        <v>1261.6691663806623</v>
      </c>
      <c r="AD128" s="67">
        <f t="shared" si="29"/>
        <v>1262.7373226997699</v>
      </c>
      <c r="AE128" s="67">
        <f t="shared" si="29"/>
        <v>1263.8054790188776</v>
      </c>
      <c r="AF128" s="67">
        <f t="shared" si="29"/>
        <v>1264.8736353379852</v>
      </c>
      <c r="AG128" s="67">
        <f t="shared" si="29"/>
        <v>1265.9417916570928</v>
      </c>
      <c r="AH128" s="67">
        <f t="shared" si="29"/>
        <v>1267.0099479762005</v>
      </c>
      <c r="AI128" s="67">
        <f t="shared" si="29"/>
        <v>1268.0781042953081</v>
      </c>
      <c r="AJ128" s="67">
        <f t="shared" si="29"/>
        <v>1269.1462606144157</v>
      </c>
      <c r="AK128" s="67">
        <f t="shared" si="29"/>
        <v>1270.2144169335234</v>
      </c>
      <c r="AL128" s="67">
        <f t="shared" si="29"/>
        <v>1271.282573252631</v>
      </c>
      <c r="AM128" s="67">
        <f t="shared" si="29"/>
        <v>1272.3507295717386</v>
      </c>
      <c r="AN128" s="67">
        <f t="shared" si="29"/>
        <v>1273.4188858908462</v>
      </c>
      <c r="AO128" s="67">
        <f t="shared" si="29"/>
        <v>1274.4870422099539</v>
      </c>
      <c r="AP128" s="67">
        <f t="shared" si="29"/>
        <v>1275.5551985290615</v>
      </c>
      <c r="AQ128" s="67">
        <f t="shared" si="29"/>
        <v>1276.6233548481714</v>
      </c>
      <c r="AR128" s="63"/>
      <c r="AS128" s="63"/>
    </row>
    <row r="129" spans="7:45" ht="14.25" hidden="1" customHeight="1" thickTop="1" x14ac:dyDescent="0.15">
      <c r="G129" s="7"/>
      <c r="H129" s="207"/>
      <c r="J129" s="156"/>
      <c r="K129" s="13" t="s">
        <v>90</v>
      </c>
      <c r="L129" s="13" t="s">
        <v>67</v>
      </c>
      <c r="M129" s="69">
        <f t="shared" ref="M129:AQ129" si="30">M97*8760</f>
        <v>1318.3197141386502</v>
      </c>
      <c r="N129" s="69">
        <f t="shared" si="30"/>
        <v>1323.4866594785608</v>
      </c>
      <c r="O129" s="69">
        <f t="shared" si="30"/>
        <v>1328.6536048184714</v>
      </c>
      <c r="P129" s="69">
        <f t="shared" si="30"/>
        <v>1333.820550158382</v>
      </c>
      <c r="Q129" s="69">
        <f t="shared" si="30"/>
        <v>1338.9874954982929</v>
      </c>
      <c r="R129" s="69">
        <f t="shared" si="30"/>
        <v>1344.1544408382035</v>
      </c>
      <c r="S129" s="69">
        <f t="shared" si="30"/>
        <v>1349.3213861781142</v>
      </c>
      <c r="T129" s="69">
        <f t="shared" si="30"/>
        <v>1354.4883315180248</v>
      </c>
      <c r="U129" s="69">
        <f t="shared" si="30"/>
        <v>1359.6552768579354</v>
      </c>
      <c r="V129" s="69">
        <f t="shared" si="30"/>
        <v>1364.8222221978463</v>
      </c>
      <c r="W129" s="69">
        <f t="shared" si="30"/>
        <v>1369.9891675377567</v>
      </c>
      <c r="X129" s="69">
        <f t="shared" si="30"/>
        <v>1369.9891675377567</v>
      </c>
      <c r="Y129" s="69">
        <f t="shared" si="30"/>
        <v>1369.9891675377567</v>
      </c>
      <c r="Z129" s="69">
        <f t="shared" si="30"/>
        <v>1369.9891675377567</v>
      </c>
      <c r="AA129" s="69">
        <f t="shared" si="30"/>
        <v>1369.9891675377567</v>
      </c>
      <c r="AB129" s="69">
        <f t="shared" si="30"/>
        <v>1369.9891675377567</v>
      </c>
      <c r="AC129" s="69">
        <f t="shared" si="30"/>
        <v>1369.9891675377567</v>
      </c>
      <c r="AD129" s="69">
        <f t="shared" si="30"/>
        <v>1369.9891675377567</v>
      </c>
      <c r="AE129" s="69">
        <f t="shared" si="30"/>
        <v>1369.9891675377567</v>
      </c>
      <c r="AF129" s="69">
        <f t="shared" si="30"/>
        <v>1369.9891675377567</v>
      </c>
      <c r="AG129" s="69">
        <f t="shared" si="30"/>
        <v>1369.9891675377567</v>
      </c>
      <c r="AH129" s="69">
        <f t="shared" si="30"/>
        <v>1369.9891675377567</v>
      </c>
      <c r="AI129" s="69">
        <f t="shared" si="30"/>
        <v>1369.9891675377567</v>
      </c>
      <c r="AJ129" s="69">
        <f t="shared" si="30"/>
        <v>1369.9891675377567</v>
      </c>
      <c r="AK129" s="69">
        <f t="shared" si="30"/>
        <v>1369.9891675377567</v>
      </c>
      <c r="AL129" s="69">
        <f t="shared" si="30"/>
        <v>1369.9891675377567</v>
      </c>
      <c r="AM129" s="69">
        <f t="shared" si="30"/>
        <v>1369.9891675377567</v>
      </c>
      <c r="AN129" s="69">
        <f t="shared" si="30"/>
        <v>1369.9891675377567</v>
      </c>
      <c r="AO129" s="69">
        <f t="shared" si="30"/>
        <v>1369.9891675377567</v>
      </c>
      <c r="AP129" s="69">
        <f t="shared" si="30"/>
        <v>1369.9891675377567</v>
      </c>
      <c r="AQ129" s="69">
        <f t="shared" si="30"/>
        <v>1369.9891675377567</v>
      </c>
    </row>
    <row r="130" spans="7:45" ht="14.25" hidden="1" customHeight="1" x14ac:dyDescent="0.15">
      <c r="G130" s="7"/>
      <c r="H130" s="207"/>
      <c r="J130" s="156"/>
      <c r="K130" s="5" t="s">
        <v>90</v>
      </c>
      <c r="L130" s="47" t="s">
        <v>66</v>
      </c>
      <c r="M130" s="68">
        <f t="shared" ref="M130:AQ130" si="31">M98*8760</f>
        <v>1315.1844408647278</v>
      </c>
      <c r="N130" s="68">
        <f t="shared" si="31"/>
        <v>1317.216112930716</v>
      </c>
      <c r="O130" s="68">
        <f t="shared" si="31"/>
        <v>1319.2477849967042</v>
      </c>
      <c r="P130" s="68">
        <f t="shared" si="31"/>
        <v>1321.2794570626925</v>
      </c>
      <c r="Q130" s="68">
        <f t="shared" si="31"/>
        <v>1323.3111291286807</v>
      </c>
      <c r="R130" s="68">
        <f t="shared" si="31"/>
        <v>1325.3428011946689</v>
      </c>
      <c r="S130" s="68">
        <f t="shared" si="31"/>
        <v>1327.3744732606572</v>
      </c>
      <c r="T130" s="68">
        <f t="shared" si="31"/>
        <v>1329.4061453266454</v>
      </c>
      <c r="U130" s="68">
        <f t="shared" si="31"/>
        <v>1331.4378173926336</v>
      </c>
      <c r="V130" s="68">
        <f t="shared" si="31"/>
        <v>1333.4694894586219</v>
      </c>
      <c r="W130" s="68">
        <f t="shared" si="31"/>
        <v>1335.5011615246094</v>
      </c>
      <c r="X130" s="68">
        <f t="shared" si="31"/>
        <v>1337.2255618252668</v>
      </c>
      <c r="Y130" s="68">
        <f t="shared" si="31"/>
        <v>1338.949962125924</v>
      </c>
      <c r="Z130" s="68">
        <f t="shared" si="31"/>
        <v>1340.6743624265814</v>
      </c>
      <c r="AA130" s="68">
        <f t="shared" si="31"/>
        <v>1342.3987627272386</v>
      </c>
      <c r="AB130" s="68">
        <f t="shared" si="31"/>
        <v>1344.1231630278958</v>
      </c>
      <c r="AC130" s="68">
        <f t="shared" si="31"/>
        <v>1345.8475633285532</v>
      </c>
      <c r="AD130" s="68">
        <f t="shared" si="31"/>
        <v>1347.5719636292104</v>
      </c>
      <c r="AE130" s="68">
        <f t="shared" si="31"/>
        <v>1349.2963639298678</v>
      </c>
      <c r="AF130" s="68">
        <f t="shared" si="31"/>
        <v>1351.0207642305249</v>
      </c>
      <c r="AG130" s="68">
        <f t="shared" si="31"/>
        <v>1352.7451645311821</v>
      </c>
      <c r="AH130" s="68">
        <f t="shared" si="31"/>
        <v>1354.4695648318395</v>
      </c>
      <c r="AI130" s="68">
        <f t="shared" si="31"/>
        <v>1356.1939651324967</v>
      </c>
      <c r="AJ130" s="68">
        <f t="shared" si="31"/>
        <v>1357.9183654331539</v>
      </c>
      <c r="AK130" s="68">
        <f t="shared" si="31"/>
        <v>1359.6427657338113</v>
      </c>
      <c r="AL130" s="68">
        <f t="shared" si="31"/>
        <v>1361.3671660344685</v>
      </c>
      <c r="AM130" s="68">
        <f t="shared" si="31"/>
        <v>1363.0915663351259</v>
      </c>
      <c r="AN130" s="68">
        <f t="shared" si="31"/>
        <v>1364.8159666357831</v>
      </c>
      <c r="AO130" s="68">
        <f t="shared" si="31"/>
        <v>1366.5403669364403</v>
      </c>
      <c r="AP130" s="68">
        <f t="shared" si="31"/>
        <v>1368.2647672370977</v>
      </c>
      <c r="AQ130" s="68">
        <f t="shared" si="31"/>
        <v>1369.9891675377567</v>
      </c>
    </row>
    <row r="131" spans="7:45" ht="14.25" hidden="1" customHeight="1" thickBot="1" x14ac:dyDescent="0.2">
      <c r="G131" s="7"/>
      <c r="H131" s="207"/>
      <c r="J131" s="156"/>
      <c r="K131" s="14" t="s">
        <v>90</v>
      </c>
      <c r="L131" s="14" t="s">
        <v>62</v>
      </c>
      <c r="M131" s="67">
        <f t="shared" ref="M131:AQ131" si="32">M99*8760</f>
        <v>1313.1527687987395</v>
      </c>
      <c r="N131" s="67">
        <f t="shared" si="32"/>
        <v>1313.1527687987395</v>
      </c>
      <c r="O131" s="67">
        <f t="shared" si="32"/>
        <v>1313.1527687987395</v>
      </c>
      <c r="P131" s="67">
        <f t="shared" si="32"/>
        <v>1313.1527687987395</v>
      </c>
      <c r="Q131" s="67">
        <f t="shared" si="32"/>
        <v>1313.1527687987395</v>
      </c>
      <c r="R131" s="67">
        <f t="shared" si="32"/>
        <v>1313.1527687987395</v>
      </c>
      <c r="S131" s="67">
        <f t="shared" si="32"/>
        <v>1313.1527687987395</v>
      </c>
      <c r="T131" s="67">
        <f t="shared" si="32"/>
        <v>1313.1527687987395</v>
      </c>
      <c r="U131" s="67">
        <f t="shared" si="32"/>
        <v>1313.1527687987395</v>
      </c>
      <c r="V131" s="67">
        <f t="shared" si="32"/>
        <v>1313.1527687987395</v>
      </c>
      <c r="W131" s="67">
        <f t="shared" si="32"/>
        <v>1313.1527687987395</v>
      </c>
      <c r="X131" s="67">
        <f t="shared" si="32"/>
        <v>1314.2701884350331</v>
      </c>
      <c r="Y131" s="67">
        <f t="shared" si="32"/>
        <v>1315.3876080713267</v>
      </c>
      <c r="Z131" s="67">
        <f t="shared" si="32"/>
        <v>1316.5050277076205</v>
      </c>
      <c r="AA131" s="67">
        <f t="shared" si="32"/>
        <v>1317.622447343914</v>
      </c>
      <c r="AB131" s="67">
        <f t="shared" si="32"/>
        <v>1318.7398669802076</v>
      </c>
      <c r="AC131" s="67">
        <f t="shared" si="32"/>
        <v>1319.8572866165011</v>
      </c>
      <c r="AD131" s="67">
        <f t="shared" si="32"/>
        <v>1320.9747062527949</v>
      </c>
      <c r="AE131" s="67">
        <f t="shared" si="32"/>
        <v>1322.0921258890885</v>
      </c>
      <c r="AF131" s="67">
        <f t="shared" si="32"/>
        <v>1323.2095455253821</v>
      </c>
      <c r="AG131" s="67">
        <f t="shared" si="32"/>
        <v>1324.3269651616756</v>
      </c>
      <c r="AH131" s="67">
        <f t="shared" si="32"/>
        <v>1325.4443847979694</v>
      </c>
      <c r="AI131" s="67">
        <f t="shared" si="32"/>
        <v>1326.561804434263</v>
      </c>
      <c r="AJ131" s="67">
        <f t="shared" si="32"/>
        <v>1327.6792240705565</v>
      </c>
      <c r="AK131" s="67">
        <f t="shared" si="32"/>
        <v>1328.7966437068503</v>
      </c>
      <c r="AL131" s="67">
        <f t="shared" si="32"/>
        <v>1329.9140633431439</v>
      </c>
      <c r="AM131" s="67">
        <f t="shared" si="32"/>
        <v>1331.0314829794374</v>
      </c>
      <c r="AN131" s="67">
        <f t="shared" si="32"/>
        <v>1332.148902615731</v>
      </c>
      <c r="AO131" s="67">
        <f t="shared" si="32"/>
        <v>1333.2663222520248</v>
      </c>
      <c r="AP131" s="67">
        <f t="shared" si="32"/>
        <v>1334.3837418883184</v>
      </c>
      <c r="AQ131" s="67">
        <f t="shared" si="32"/>
        <v>1335.5011615246094</v>
      </c>
      <c r="AR131" s="63"/>
      <c r="AS131" s="63"/>
    </row>
    <row r="132" spans="7:45" ht="14.25" hidden="1" customHeight="1" thickTop="1" x14ac:dyDescent="0.15">
      <c r="G132" s="7"/>
      <c r="H132" s="207"/>
      <c r="J132" s="156"/>
      <c r="K132" s="13" t="s">
        <v>89</v>
      </c>
      <c r="L132" s="13" t="s">
        <v>67</v>
      </c>
      <c r="M132" s="71">
        <f t="shared" ref="M132:AQ132" si="33">M100*8760</f>
        <v>1334.8844883761278</v>
      </c>
      <c r="N132" s="71">
        <f t="shared" si="33"/>
        <v>1340.1163567253323</v>
      </c>
      <c r="O132" s="71">
        <f t="shared" si="33"/>
        <v>1345.3482250745367</v>
      </c>
      <c r="P132" s="71">
        <f t="shared" si="33"/>
        <v>1350.5800934237411</v>
      </c>
      <c r="Q132" s="71">
        <f t="shared" si="33"/>
        <v>1355.8119617729453</v>
      </c>
      <c r="R132" s="71">
        <f t="shared" si="33"/>
        <v>1361.0438301221498</v>
      </c>
      <c r="S132" s="71">
        <f t="shared" si="33"/>
        <v>1366.2756984713542</v>
      </c>
      <c r="T132" s="71">
        <f t="shared" si="33"/>
        <v>1371.5075668205584</v>
      </c>
      <c r="U132" s="71">
        <f t="shared" si="33"/>
        <v>1376.7394351697628</v>
      </c>
      <c r="V132" s="71">
        <f t="shared" si="33"/>
        <v>1381.9713035189673</v>
      </c>
      <c r="W132" s="71">
        <f t="shared" si="33"/>
        <v>1387.2031718681708</v>
      </c>
      <c r="X132" s="71">
        <f t="shared" si="33"/>
        <v>1387.2031718681708</v>
      </c>
      <c r="Y132" s="71">
        <f t="shared" si="33"/>
        <v>1387.2031718681708</v>
      </c>
      <c r="Z132" s="71">
        <f t="shared" si="33"/>
        <v>1387.2031718681708</v>
      </c>
      <c r="AA132" s="71">
        <f t="shared" si="33"/>
        <v>1387.2031718681708</v>
      </c>
      <c r="AB132" s="71">
        <f t="shared" si="33"/>
        <v>1387.2031718681708</v>
      </c>
      <c r="AC132" s="71">
        <f t="shared" si="33"/>
        <v>1387.2031718681708</v>
      </c>
      <c r="AD132" s="71">
        <f t="shared" si="33"/>
        <v>1387.2031718681708</v>
      </c>
      <c r="AE132" s="71">
        <f t="shared" si="33"/>
        <v>1387.2031718681708</v>
      </c>
      <c r="AF132" s="71">
        <f t="shared" si="33"/>
        <v>1387.2031718681708</v>
      </c>
      <c r="AG132" s="71">
        <f t="shared" si="33"/>
        <v>1387.2031718681708</v>
      </c>
      <c r="AH132" s="71">
        <f t="shared" si="33"/>
        <v>1387.2031718681708</v>
      </c>
      <c r="AI132" s="71">
        <f t="shared" si="33"/>
        <v>1387.2031718681708</v>
      </c>
      <c r="AJ132" s="71">
        <f t="shared" si="33"/>
        <v>1387.2031718681708</v>
      </c>
      <c r="AK132" s="71">
        <f t="shared" si="33"/>
        <v>1387.2031718681708</v>
      </c>
      <c r="AL132" s="71">
        <f t="shared" si="33"/>
        <v>1387.2031718681708</v>
      </c>
      <c r="AM132" s="71">
        <f t="shared" si="33"/>
        <v>1387.2031718681708</v>
      </c>
      <c r="AN132" s="71">
        <f t="shared" si="33"/>
        <v>1387.2031718681708</v>
      </c>
      <c r="AO132" s="71">
        <f t="shared" si="33"/>
        <v>1387.2031718681708</v>
      </c>
      <c r="AP132" s="71">
        <f t="shared" si="33"/>
        <v>1387.2031718681708</v>
      </c>
      <c r="AQ132" s="71">
        <f t="shared" si="33"/>
        <v>1387.2031718681708</v>
      </c>
    </row>
    <row r="133" spans="7:45" ht="14.25" hidden="1" customHeight="1" x14ac:dyDescent="0.15">
      <c r="G133" s="7"/>
      <c r="H133" s="207"/>
      <c r="J133" s="156"/>
      <c r="K133" s="5" t="s">
        <v>89</v>
      </c>
      <c r="L133" s="47" t="s">
        <v>66</v>
      </c>
      <c r="M133" s="68">
        <f t="shared" ref="M133:AQ133" si="34">M101*8760</f>
        <v>1331.7098201865424</v>
      </c>
      <c r="N133" s="68">
        <f t="shared" si="34"/>
        <v>1333.7670203461612</v>
      </c>
      <c r="O133" s="68">
        <f t="shared" si="34"/>
        <v>1335.82422050578</v>
      </c>
      <c r="P133" s="68">
        <f t="shared" si="34"/>
        <v>1337.8814206653988</v>
      </c>
      <c r="Q133" s="68">
        <f t="shared" si="34"/>
        <v>1339.9386208250176</v>
      </c>
      <c r="R133" s="68">
        <f t="shared" si="34"/>
        <v>1341.9958209846363</v>
      </c>
      <c r="S133" s="68">
        <f t="shared" si="34"/>
        <v>1344.0530211442549</v>
      </c>
      <c r="T133" s="68">
        <f t="shared" si="34"/>
        <v>1346.1102213038737</v>
      </c>
      <c r="U133" s="68">
        <f t="shared" si="34"/>
        <v>1348.1674214634925</v>
      </c>
      <c r="V133" s="68">
        <f t="shared" si="34"/>
        <v>1350.2246216231113</v>
      </c>
      <c r="W133" s="68">
        <f t="shared" si="34"/>
        <v>1352.2818217827312</v>
      </c>
      <c r="X133" s="68">
        <f t="shared" si="34"/>
        <v>1354.0278892870031</v>
      </c>
      <c r="Y133" s="68">
        <f t="shared" si="34"/>
        <v>1355.7739567912752</v>
      </c>
      <c r="Z133" s="68">
        <f t="shared" si="34"/>
        <v>1357.520024295547</v>
      </c>
      <c r="AA133" s="68">
        <f t="shared" si="34"/>
        <v>1359.2660917998192</v>
      </c>
      <c r="AB133" s="68">
        <f t="shared" si="34"/>
        <v>1361.0121593040913</v>
      </c>
      <c r="AC133" s="68">
        <f t="shared" si="34"/>
        <v>1362.7582268083631</v>
      </c>
      <c r="AD133" s="68">
        <f t="shared" si="34"/>
        <v>1364.5042943126352</v>
      </c>
      <c r="AE133" s="68">
        <f t="shared" si="34"/>
        <v>1366.2503618169071</v>
      </c>
      <c r="AF133" s="68">
        <f t="shared" si="34"/>
        <v>1367.9964293211792</v>
      </c>
      <c r="AG133" s="68">
        <f t="shared" si="34"/>
        <v>1369.7424968254513</v>
      </c>
      <c r="AH133" s="68">
        <f t="shared" si="34"/>
        <v>1371.4885643297232</v>
      </c>
      <c r="AI133" s="68">
        <f t="shared" si="34"/>
        <v>1373.2346318339953</v>
      </c>
      <c r="AJ133" s="68">
        <f t="shared" si="34"/>
        <v>1374.9806993382672</v>
      </c>
      <c r="AK133" s="68">
        <f t="shared" si="34"/>
        <v>1376.7267668425393</v>
      </c>
      <c r="AL133" s="68">
        <f t="shared" si="34"/>
        <v>1378.4728343468114</v>
      </c>
      <c r="AM133" s="68">
        <f t="shared" si="34"/>
        <v>1380.2189018510833</v>
      </c>
      <c r="AN133" s="68">
        <f t="shared" si="34"/>
        <v>1381.9649693553554</v>
      </c>
      <c r="AO133" s="68">
        <f t="shared" si="34"/>
        <v>1383.7110368596273</v>
      </c>
      <c r="AP133" s="68">
        <f t="shared" si="34"/>
        <v>1385.4571043638994</v>
      </c>
      <c r="AQ133" s="68">
        <f t="shared" si="34"/>
        <v>1387.2031718681708</v>
      </c>
    </row>
    <row r="134" spans="7:45" ht="14.25" hidden="1" customHeight="1" thickBot="1" x14ac:dyDescent="0.2">
      <c r="G134" s="7"/>
      <c r="H134" s="207"/>
      <c r="J134" s="156"/>
      <c r="K134" s="14" t="s">
        <v>89</v>
      </c>
      <c r="L134" s="14" t="s">
        <v>62</v>
      </c>
      <c r="M134" s="70">
        <f t="shared" ref="M134:AQ134" si="35">M102*8760</f>
        <v>1329.6526200269236</v>
      </c>
      <c r="N134" s="70">
        <f t="shared" si="35"/>
        <v>1329.6526200269236</v>
      </c>
      <c r="O134" s="70">
        <f t="shared" si="35"/>
        <v>1329.6526200269236</v>
      </c>
      <c r="P134" s="70">
        <f t="shared" si="35"/>
        <v>1329.6526200269236</v>
      </c>
      <c r="Q134" s="70">
        <f t="shared" si="35"/>
        <v>1329.6526200269236</v>
      </c>
      <c r="R134" s="70">
        <f t="shared" si="35"/>
        <v>1329.6526200269236</v>
      </c>
      <c r="S134" s="70">
        <f t="shared" si="35"/>
        <v>1329.6526200269236</v>
      </c>
      <c r="T134" s="70">
        <f t="shared" si="35"/>
        <v>1329.6526200269236</v>
      </c>
      <c r="U134" s="70">
        <f t="shared" si="35"/>
        <v>1329.6526200269236</v>
      </c>
      <c r="V134" s="70">
        <f t="shared" si="35"/>
        <v>1329.6526200269236</v>
      </c>
      <c r="W134" s="70">
        <f t="shared" si="35"/>
        <v>1329.6526200269236</v>
      </c>
      <c r="X134" s="70">
        <f t="shared" si="35"/>
        <v>1330.784080114714</v>
      </c>
      <c r="Y134" s="70">
        <f t="shared" si="35"/>
        <v>1331.9155402025044</v>
      </c>
      <c r="Z134" s="70">
        <f t="shared" si="35"/>
        <v>1333.047000290295</v>
      </c>
      <c r="AA134" s="70">
        <f t="shared" si="35"/>
        <v>1334.1784603780854</v>
      </c>
      <c r="AB134" s="70">
        <f t="shared" si="35"/>
        <v>1335.3099204658758</v>
      </c>
      <c r="AC134" s="70">
        <f t="shared" si="35"/>
        <v>1336.4413805536665</v>
      </c>
      <c r="AD134" s="70">
        <f t="shared" si="35"/>
        <v>1337.5728406414569</v>
      </c>
      <c r="AE134" s="70">
        <f t="shared" si="35"/>
        <v>1338.7043007292473</v>
      </c>
      <c r="AF134" s="70">
        <f t="shared" si="35"/>
        <v>1339.8357608170379</v>
      </c>
      <c r="AG134" s="70">
        <f t="shared" si="35"/>
        <v>1340.9672209048283</v>
      </c>
      <c r="AH134" s="70">
        <f t="shared" si="35"/>
        <v>1342.0986809926187</v>
      </c>
      <c r="AI134" s="70">
        <f t="shared" si="35"/>
        <v>1343.2301410804093</v>
      </c>
      <c r="AJ134" s="70">
        <f t="shared" si="35"/>
        <v>1344.3616011681997</v>
      </c>
      <c r="AK134" s="70">
        <f t="shared" si="35"/>
        <v>1345.4930612559901</v>
      </c>
      <c r="AL134" s="70">
        <f t="shared" si="35"/>
        <v>1346.6245213437808</v>
      </c>
      <c r="AM134" s="70">
        <f t="shared" si="35"/>
        <v>1347.7559814315712</v>
      </c>
      <c r="AN134" s="70">
        <f t="shared" si="35"/>
        <v>1348.8874415193616</v>
      </c>
      <c r="AO134" s="70">
        <f t="shared" si="35"/>
        <v>1350.0189016071522</v>
      </c>
      <c r="AP134" s="70">
        <f t="shared" si="35"/>
        <v>1351.1503616949426</v>
      </c>
      <c r="AQ134" s="70">
        <f t="shared" si="35"/>
        <v>1352.2818217827312</v>
      </c>
    </row>
    <row r="135" spans="7:45" ht="14.25" hidden="1" customHeight="1" thickTop="1" x14ac:dyDescent="0.15">
      <c r="G135" s="7"/>
      <c r="H135" s="207"/>
      <c r="J135" s="156"/>
      <c r="K135" s="13" t="s">
        <v>88</v>
      </c>
      <c r="L135" s="13" t="s">
        <v>67</v>
      </c>
      <c r="M135" s="69">
        <f t="shared" ref="M135:AQ135" si="36">M103*8760</f>
        <v>1409.3529987336194</v>
      </c>
      <c r="N135" s="69">
        <f t="shared" si="36"/>
        <v>1414.8767346157408</v>
      </c>
      <c r="O135" s="69">
        <f t="shared" si="36"/>
        <v>1420.4004704978624</v>
      </c>
      <c r="P135" s="69">
        <f t="shared" si="36"/>
        <v>1425.9242063799841</v>
      </c>
      <c r="Q135" s="69">
        <f t="shared" si="36"/>
        <v>1431.4479422621055</v>
      </c>
      <c r="R135" s="69">
        <f t="shared" si="36"/>
        <v>1436.9716781442271</v>
      </c>
      <c r="S135" s="69">
        <f t="shared" si="36"/>
        <v>1442.4954140263485</v>
      </c>
      <c r="T135" s="69">
        <f t="shared" si="36"/>
        <v>1448.0191499084701</v>
      </c>
      <c r="U135" s="69">
        <f t="shared" si="36"/>
        <v>1453.5428857905915</v>
      </c>
      <c r="V135" s="69">
        <f t="shared" si="36"/>
        <v>1459.0666216727132</v>
      </c>
      <c r="W135" s="69">
        <f t="shared" si="36"/>
        <v>1464.5903575548341</v>
      </c>
      <c r="X135" s="69">
        <f t="shared" si="36"/>
        <v>1464.5903575548341</v>
      </c>
      <c r="Y135" s="69">
        <f t="shared" si="36"/>
        <v>1464.5903575548341</v>
      </c>
      <c r="Z135" s="69">
        <f t="shared" si="36"/>
        <v>1464.5903575548341</v>
      </c>
      <c r="AA135" s="69">
        <f t="shared" si="36"/>
        <v>1464.5903575548341</v>
      </c>
      <c r="AB135" s="69">
        <f t="shared" si="36"/>
        <v>1464.5903575548341</v>
      </c>
      <c r="AC135" s="69">
        <f t="shared" si="36"/>
        <v>1464.5903575548341</v>
      </c>
      <c r="AD135" s="69">
        <f t="shared" si="36"/>
        <v>1464.5903575548341</v>
      </c>
      <c r="AE135" s="69">
        <f t="shared" si="36"/>
        <v>1464.5903575548341</v>
      </c>
      <c r="AF135" s="69">
        <f t="shared" si="36"/>
        <v>1464.5903575548341</v>
      </c>
      <c r="AG135" s="69">
        <f t="shared" si="36"/>
        <v>1464.5903575548341</v>
      </c>
      <c r="AH135" s="69">
        <f t="shared" si="36"/>
        <v>1464.5903575548341</v>
      </c>
      <c r="AI135" s="69">
        <f t="shared" si="36"/>
        <v>1464.5903575548341</v>
      </c>
      <c r="AJ135" s="69">
        <f t="shared" si="36"/>
        <v>1464.5903575548341</v>
      </c>
      <c r="AK135" s="69">
        <f t="shared" si="36"/>
        <v>1464.5903575548341</v>
      </c>
      <c r="AL135" s="69">
        <f t="shared" si="36"/>
        <v>1464.5903575548341</v>
      </c>
      <c r="AM135" s="69">
        <f t="shared" si="36"/>
        <v>1464.5903575548341</v>
      </c>
      <c r="AN135" s="69">
        <f t="shared" si="36"/>
        <v>1464.5903575548341</v>
      </c>
      <c r="AO135" s="69">
        <f t="shared" si="36"/>
        <v>1464.5903575548341</v>
      </c>
      <c r="AP135" s="69">
        <f t="shared" si="36"/>
        <v>1464.5903575548341</v>
      </c>
      <c r="AQ135" s="69">
        <f t="shared" si="36"/>
        <v>1464.5903575548341</v>
      </c>
    </row>
    <row r="136" spans="7:45" ht="14.25" hidden="1" customHeight="1" x14ac:dyDescent="0.15">
      <c r="G136" s="7"/>
      <c r="H136" s="207"/>
      <c r="J136" s="156"/>
      <c r="K136" s="5" t="s">
        <v>88</v>
      </c>
      <c r="L136" s="47" t="s">
        <v>66</v>
      </c>
      <c r="M136" s="68">
        <f t="shared" ref="M136:AQ136" si="37">M104*8760</f>
        <v>1406.0012269721396</v>
      </c>
      <c r="N136" s="68">
        <f t="shared" si="37"/>
        <v>1408.1731910927815</v>
      </c>
      <c r="O136" s="68">
        <f t="shared" si="37"/>
        <v>1410.3451552134234</v>
      </c>
      <c r="P136" s="68">
        <f t="shared" si="37"/>
        <v>1412.5171193340652</v>
      </c>
      <c r="Q136" s="68">
        <f t="shared" si="37"/>
        <v>1414.6890834547071</v>
      </c>
      <c r="R136" s="68">
        <f t="shared" si="37"/>
        <v>1416.8610475753487</v>
      </c>
      <c r="S136" s="68">
        <f t="shared" si="37"/>
        <v>1419.0330116959906</v>
      </c>
      <c r="T136" s="68">
        <f t="shared" si="37"/>
        <v>1421.2049758166324</v>
      </c>
      <c r="U136" s="68">
        <f t="shared" si="37"/>
        <v>1423.3769399372743</v>
      </c>
      <c r="V136" s="68">
        <f t="shared" si="37"/>
        <v>1425.5489040579162</v>
      </c>
      <c r="W136" s="68">
        <f t="shared" si="37"/>
        <v>1427.7208681785567</v>
      </c>
      <c r="X136" s="68">
        <f t="shared" si="37"/>
        <v>1429.5643426473705</v>
      </c>
      <c r="Y136" s="68">
        <f t="shared" si="37"/>
        <v>1431.4078171161843</v>
      </c>
      <c r="Z136" s="68">
        <f t="shared" si="37"/>
        <v>1433.2512915849982</v>
      </c>
      <c r="AA136" s="68">
        <f t="shared" si="37"/>
        <v>1435.094766053812</v>
      </c>
      <c r="AB136" s="68">
        <f t="shared" si="37"/>
        <v>1436.9382405226258</v>
      </c>
      <c r="AC136" s="68">
        <f t="shared" si="37"/>
        <v>1438.7817149914397</v>
      </c>
      <c r="AD136" s="68">
        <f t="shared" si="37"/>
        <v>1440.6251894602535</v>
      </c>
      <c r="AE136" s="68">
        <f t="shared" si="37"/>
        <v>1442.4686639290674</v>
      </c>
      <c r="AF136" s="68">
        <f t="shared" si="37"/>
        <v>1444.3121383978812</v>
      </c>
      <c r="AG136" s="68">
        <f t="shared" si="37"/>
        <v>1446.155612866695</v>
      </c>
      <c r="AH136" s="68">
        <f t="shared" si="37"/>
        <v>1447.9990873355089</v>
      </c>
      <c r="AI136" s="68">
        <f t="shared" si="37"/>
        <v>1449.8425618043227</v>
      </c>
      <c r="AJ136" s="68">
        <f t="shared" si="37"/>
        <v>1451.6860362731366</v>
      </c>
      <c r="AK136" s="68">
        <f t="shared" si="37"/>
        <v>1453.5295107419504</v>
      </c>
      <c r="AL136" s="68">
        <f t="shared" si="37"/>
        <v>1455.3729852107642</v>
      </c>
      <c r="AM136" s="68">
        <f t="shared" si="37"/>
        <v>1457.2164596795781</v>
      </c>
      <c r="AN136" s="68">
        <f t="shared" si="37"/>
        <v>1459.0599341483919</v>
      </c>
      <c r="AO136" s="68">
        <f t="shared" si="37"/>
        <v>1460.9034086172057</v>
      </c>
      <c r="AP136" s="68">
        <f t="shared" si="37"/>
        <v>1462.7468830860196</v>
      </c>
      <c r="AQ136" s="68">
        <f t="shared" si="37"/>
        <v>1464.5903575548341</v>
      </c>
    </row>
    <row r="137" spans="7:45" ht="14.25" hidden="1" customHeight="1" thickBot="1" x14ac:dyDescent="0.2">
      <c r="G137" s="7"/>
      <c r="H137" s="207"/>
      <c r="J137" s="156"/>
      <c r="K137" s="14" t="s">
        <v>88</v>
      </c>
      <c r="L137" s="14" t="s">
        <v>62</v>
      </c>
      <c r="M137" s="70">
        <f t="shared" ref="M137:AQ137" si="38">M105*8760</f>
        <v>1403.8292628514978</v>
      </c>
      <c r="N137" s="70">
        <f t="shared" si="38"/>
        <v>1403.8292628514978</v>
      </c>
      <c r="O137" s="70">
        <f t="shared" si="38"/>
        <v>1403.8292628514978</v>
      </c>
      <c r="P137" s="70">
        <f t="shared" si="38"/>
        <v>1403.8292628514978</v>
      </c>
      <c r="Q137" s="70">
        <f t="shared" si="38"/>
        <v>1403.8292628514978</v>
      </c>
      <c r="R137" s="70">
        <f t="shared" si="38"/>
        <v>1403.8292628514978</v>
      </c>
      <c r="S137" s="70">
        <f t="shared" si="38"/>
        <v>1403.8292628514978</v>
      </c>
      <c r="T137" s="70">
        <f t="shared" si="38"/>
        <v>1403.8292628514978</v>
      </c>
      <c r="U137" s="70">
        <f t="shared" si="38"/>
        <v>1403.8292628514978</v>
      </c>
      <c r="V137" s="70">
        <f t="shared" si="38"/>
        <v>1403.8292628514978</v>
      </c>
      <c r="W137" s="70">
        <f t="shared" si="38"/>
        <v>1403.8292628514978</v>
      </c>
      <c r="X137" s="70">
        <f t="shared" si="38"/>
        <v>1405.0238431178509</v>
      </c>
      <c r="Y137" s="70">
        <f t="shared" si="38"/>
        <v>1406.2184233842038</v>
      </c>
      <c r="Z137" s="70">
        <f t="shared" si="38"/>
        <v>1407.4130036505569</v>
      </c>
      <c r="AA137" s="70">
        <f t="shared" si="38"/>
        <v>1408.60758391691</v>
      </c>
      <c r="AB137" s="70">
        <f t="shared" si="38"/>
        <v>1409.8021641832629</v>
      </c>
      <c r="AC137" s="70">
        <f t="shared" si="38"/>
        <v>1410.996744449616</v>
      </c>
      <c r="AD137" s="70">
        <f t="shared" si="38"/>
        <v>1412.1913247159689</v>
      </c>
      <c r="AE137" s="70">
        <f t="shared" si="38"/>
        <v>1413.385904982322</v>
      </c>
      <c r="AF137" s="70">
        <f t="shared" si="38"/>
        <v>1414.5804852486749</v>
      </c>
      <c r="AG137" s="70">
        <f t="shared" si="38"/>
        <v>1415.775065515028</v>
      </c>
      <c r="AH137" s="70">
        <f t="shared" si="38"/>
        <v>1416.9696457813809</v>
      </c>
      <c r="AI137" s="70">
        <f t="shared" si="38"/>
        <v>1418.164226047734</v>
      </c>
      <c r="AJ137" s="70">
        <f t="shared" si="38"/>
        <v>1419.3588063140869</v>
      </c>
      <c r="AK137" s="70">
        <f t="shared" si="38"/>
        <v>1420.55338658044</v>
      </c>
      <c r="AL137" s="70">
        <f t="shared" si="38"/>
        <v>1421.7479668467929</v>
      </c>
      <c r="AM137" s="70">
        <f t="shared" si="38"/>
        <v>1422.942547113146</v>
      </c>
      <c r="AN137" s="70">
        <f t="shared" si="38"/>
        <v>1424.1371273794989</v>
      </c>
      <c r="AO137" s="70">
        <f t="shared" si="38"/>
        <v>1425.331707645852</v>
      </c>
      <c r="AP137" s="70">
        <f t="shared" si="38"/>
        <v>1426.5262879122049</v>
      </c>
      <c r="AQ137" s="70">
        <f t="shared" si="38"/>
        <v>1427.7208681785567</v>
      </c>
    </row>
    <row r="138" spans="7:45" ht="14.25" hidden="1" customHeight="1" thickTop="1" x14ac:dyDescent="0.15">
      <c r="G138" s="7"/>
      <c r="H138" s="207"/>
      <c r="J138" s="156"/>
      <c r="K138" s="13" t="s">
        <v>87</v>
      </c>
      <c r="L138" s="13" t="s">
        <v>67</v>
      </c>
      <c r="M138" s="69">
        <f t="shared" ref="M138:AQ138" si="39">M106*8760</f>
        <v>1491.4190771980927</v>
      </c>
      <c r="N138" s="69">
        <f t="shared" si="39"/>
        <v>1497.264458078115</v>
      </c>
      <c r="O138" s="69">
        <f t="shared" si="39"/>
        <v>1503.1098389581373</v>
      </c>
      <c r="P138" s="69">
        <f t="shared" si="39"/>
        <v>1508.9552198381596</v>
      </c>
      <c r="Q138" s="69">
        <f t="shared" si="39"/>
        <v>1514.8006007181818</v>
      </c>
      <c r="R138" s="69">
        <f t="shared" si="39"/>
        <v>1520.6459815982041</v>
      </c>
      <c r="S138" s="69">
        <f t="shared" si="39"/>
        <v>1526.4913624782264</v>
      </c>
      <c r="T138" s="69">
        <f t="shared" si="39"/>
        <v>1532.3367433582487</v>
      </c>
      <c r="U138" s="69">
        <f t="shared" si="39"/>
        <v>1538.1821242382709</v>
      </c>
      <c r="V138" s="69">
        <f t="shared" si="39"/>
        <v>1544.0275051182932</v>
      </c>
      <c r="W138" s="69">
        <f t="shared" si="39"/>
        <v>1549.8728859983157</v>
      </c>
      <c r="X138" s="69">
        <f t="shared" si="39"/>
        <v>1549.8728859983157</v>
      </c>
      <c r="Y138" s="69">
        <f t="shared" si="39"/>
        <v>1549.8728859983157</v>
      </c>
      <c r="Z138" s="69">
        <f t="shared" si="39"/>
        <v>1549.8728859983157</v>
      </c>
      <c r="AA138" s="69">
        <f t="shared" si="39"/>
        <v>1549.8728859983157</v>
      </c>
      <c r="AB138" s="69">
        <f t="shared" si="39"/>
        <v>1549.8728859983157</v>
      </c>
      <c r="AC138" s="69">
        <f t="shared" si="39"/>
        <v>1549.8728859983157</v>
      </c>
      <c r="AD138" s="69">
        <f t="shared" si="39"/>
        <v>1549.8728859983157</v>
      </c>
      <c r="AE138" s="69">
        <f t="shared" si="39"/>
        <v>1549.8728859983157</v>
      </c>
      <c r="AF138" s="69">
        <f t="shared" si="39"/>
        <v>1549.8728859983157</v>
      </c>
      <c r="AG138" s="69">
        <f t="shared" si="39"/>
        <v>1549.8728859983157</v>
      </c>
      <c r="AH138" s="69">
        <f t="shared" si="39"/>
        <v>1549.8728859983157</v>
      </c>
      <c r="AI138" s="69">
        <f t="shared" si="39"/>
        <v>1549.8728859983157</v>
      </c>
      <c r="AJ138" s="69">
        <f t="shared" si="39"/>
        <v>1549.8728859983157</v>
      </c>
      <c r="AK138" s="69">
        <f t="shared" si="39"/>
        <v>1549.8728859983157</v>
      </c>
      <c r="AL138" s="69">
        <f t="shared" si="39"/>
        <v>1549.8728859983157</v>
      </c>
      <c r="AM138" s="69">
        <f t="shared" si="39"/>
        <v>1549.8728859983157</v>
      </c>
      <c r="AN138" s="69">
        <f t="shared" si="39"/>
        <v>1549.8728859983157</v>
      </c>
      <c r="AO138" s="69">
        <f t="shared" si="39"/>
        <v>1549.8728859983157</v>
      </c>
      <c r="AP138" s="69">
        <f t="shared" si="39"/>
        <v>1549.8728859983157</v>
      </c>
      <c r="AQ138" s="69">
        <f t="shared" si="39"/>
        <v>1549.8728859983157</v>
      </c>
    </row>
    <row r="139" spans="7:45" ht="14.25" hidden="1" customHeight="1" x14ac:dyDescent="0.15">
      <c r="G139" s="7"/>
      <c r="H139" s="207"/>
      <c r="J139" s="156"/>
      <c r="K139" s="5" t="s">
        <v>87</v>
      </c>
      <c r="L139" s="47" t="s">
        <v>66</v>
      </c>
      <c r="M139" s="68">
        <f t="shared" ref="M139:AQ139" si="40">M107*8760</f>
        <v>1487.872133067008</v>
      </c>
      <c r="N139" s="68">
        <f t="shared" si="40"/>
        <v>1490.1705698159458</v>
      </c>
      <c r="O139" s="68">
        <f t="shared" si="40"/>
        <v>1492.4690065648833</v>
      </c>
      <c r="P139" s="68">
        <f t="shared" si="40"/>
        <v>1494.7674433138209</v>
      </c>
      <c r="Q139" s="68">
        <f t="shared" si="40"/>
        <v>1497.0658800627584</v>
      </c>
      <c r="R139" s="68">
        <f t="shared" si="40"/>
        <v>1499.3643168116962</v>
      </c>
      <c r="S139" s="68">
        <f t="shared" si="40"/>
        <v>1501.6627535606337</v>
      </c>
      <c r="T139" s="68">
        <f t="shared" si="40"/>
        <v>1503.9611903095713</v>
      </c>
      <c r="U139" s="68">
        <f t="shared" si="40"/>
        <v>1506.2596270585088</v>
      </c>
      <c r="V139" s="68">
        <f t="shared" si="40"/>
        <v>1508.5580638074466</v>
      </c>
      <c r="W139" s="68">
        <f t="shared" si="40"/>
        <v>1510.8565005563846</v>
      </c>
      <c r="X139" s="68">
        <f t="shared" si="40"/>
        <v>1512.8073198284812</v>
      </c>
      <c r="Y139" s="68">
        <f t="shared" si="40"/>
        <v>1514.7581391005779</v>
      </c>
      <c r="Z139" s="68">
        <f t="shared" si="40"/>
        <v>1516.7089583726743</v>
      </c>
      <c r="AA139" s="68">
        <f t="shared" si="40"/>
        <v>1518.6597776447707</v>
      </c>
      <c r="AB139" s="68">
        <f t="shared" si="40"/>
        <v>1520.6105969168671</v>
      </c>
      <c r="AC139" s="68">
        <f t="shared" si="40"/>
        <v>1522.5614161889634</v>
      </c>
      <c r="AD139" s="68">
        <f t="shared" si="40"/>
        <v>1524.5122354610598</v>
      </c>
      <c r="AE139" s="68">
        <f t="shared" si="40"/>
        <v>1526.4630547331565</v>
      </c>
      <c r="AF139" s="68">
        <f t="shared" si="40"/>
        <v>1528.4138740052529</v>
      </c>
      <c r="AG139" s="68">
        <f t="shared" si="40"/>
        <v>1530.3646932773493</v>
      </c>
      <c r="AH139" s="68">
        <f t="shared" si="40"/>
        <v>1532.3155125494457</v>
      </c>
      <c r="AI139" s="68">
        <f t="shared" si="40"/>
        <v>1534.2663318215421</v>
      </c>
      <c r="AJ139" s="68">
        <f t="shared" si="40"/>
        <v>1536.2171510936384</v>
      </c>
      <c r="AK139" s="68">
        <f t="shared" si="40"/>
        <v>1538.1679703657351</v>
      </c>
      <c r="AL139" s="68">
        <f t="shared" si="40"/>
        <v>1540.1187896378315</v>
      </c>
      <c r="AM139" s="68">
        <f t="shared" si="40"/>
        <v>1542.0696089099279</v>
      </c>
      <c r="AN139" s="68">
        <f t="shared" si="40"/>
        <v>1544.0204281820243</v>
      </c>
      <c r="AO139" s="68">
        <f t="shared" si="40"/>
        <v>1545.9712474541207</v>
      </c>
      <c r="AP139" s="68">
        <f t="shared" si="40"/>
        <v>1547.9220667262173</v>
      </c>
      <c r="AQ139" s="68">
        <f t="shared" si="40"/>
        <v>1549.8728859983157</v>
      </c>
    </row>
    <row r="140" spans="7:45" ht="14.25" hidden="1" customHeight="1" thickBot="1" x14ac:dyDescent="0.2">
      <c r="G140" s="7"/>
      <c r="H140" s="207"/>
      <c r="J140" s="156"/>
      <c r="K140" s="14" t="s">
        <v>87</v>
      </c>
      <c r="L140" s="14" t="s">
        <v>62</v>
      </c>
      <c r="M140" s="67">
        <f t="shared" ref="M140:AQ140" si="41">M108*8760</f>
        <v>1485.5736963180705</v>
      </c>
      <c r="N140" s="67">
        <f t="shared" si="41"/>
        <v>1485.5736963180705</v>
      </c>
      <c r="O140" s="67">
        <f t="shared" si="41"/>
        <v>1485.5736963180705</v>
      </c>
      <c r="P140" s="67">
        <f t="shared" si="41"/>
        <v>1485.5736963180705</v>
      </c>
      <c r="Q140" s="67">
        <f t="shared" si="41"/>
        <v>1485.5736963180705</v>
      </c>
      <c r="R140" s="67">
        <f t="shared" si="41"/>
        <v>1485.5736963180705</v>
      </c>
      <c r="S140" s="67">
        <f t="shared" si="41"/>
        <v>1485.5736963180705</v>
      </c>
      <c r="T140" s="67">
        <f t="shared" si="41"/>
        <v>1485.5736963180705</v>
      </c>
      <c r="U140" s="67">
        <f t="shared" si="41"/>
        <v>1485.5736963180705</v>
      </c>
      <c r="V140" s="67">
        <f t="shared" si="41"/>
        <v>1485.5736963180705</v>
      </c>
      <c r="W140" s="67">
        <f t="shared" si="41"/>
        <v>1485.5736963180705</v>
      </c>
      <c r="X140" s="67">
        <f t="shared" si="41"/>
        <v>1486.8378365299861</v>
      </c>
      <c r="Y140" s="67">
        <f t="shared" si="41"/>
        <v>1488.1019767419016</v>
      </c>
      <c r="Z140" s="67">
        <f t="shared" si="41"/>
        <v>1489.3661169538173</v>
      </c>
      <c r="AA140" s="67">
        <f t="shared" si="41"/>
        <v>1490.6302571657329</v>
      </c>
      <c r="AB140" s="67">
        <f t="shared" si="41"/>
        <v>1491.8943973776486</v>
      </c>
      <c r="AC140" s="67">
        <f t="shared" si="41"/>
        <v>1493.158537589564</v>
      </c>
      <c r="AD140" s="67">
        <f t="shared" si="41"/>
        <v>1494.4226778014797</v>
      </c>
      <c r="AE140" s="67">
        <f t="shared" si="41"/>
        <v>1495.6868180133954</v>
      </c>
      <c r="AF140" s="67">
        <f t="shared" si="41"/>
        <v>1496.9509582253111</v>
      </c>
      <c r="AG140" s="67">
        <f t="shared" si="41"/>
        <v>1498.2150984372265</v>
      </c>
      <c r="AH140" s="67">
        <f t="shared" si="41"/>
        <v>1499.4792386491422</v>
      </c>
      <c r="AI140" s="67">
        <f t="shared" si="41"/>
        <v>1500.7433788610579</v>
      </c>
      <c r="AJ140" s="67">
        <f t="shared" si="41"/>
        <v>1502.0075190729735</v>
      </c>
      <c r="AK140" s="67">
        <f t="shared" si="41"/>
        <v>1503.271659284889</v>
      </c>
      <c r="AL140" s="67">
        <f t="shared" si="41"/>
        <v>1504.5357994968047</v>
      </c>
      <c r="AM140" s="67">
        <f t="shared" si="41"/>
        <v>1505.7999397087203</v>
      </c>
      <c r="AN140" s="67">
        <f t="shared" si="41"/>
        <v>1507.0640799206358</v>
      </c>
      <c r="AO140" s="67">
        <f t="shared" si="41"/>
        <v>1508.3282201325515</v>
      </c>
      <c r="AP140" s="67">
        <f t="shared" si="41"/>
        <v>1509.5923603444671</v>
      </c>
      <c r="AQ140" s="67">
        <f t="shared" si="41"/>
        <v>1510.8565005563846</v>
      </c>
      <c r="AR140" s="63"/>
      <c r="AS140" s="63"/>
    </row>
    <row r="141" spans="7:45" ht="14.25" hidden="1" customHeight="1" thickTop="1" x14ac:dyDescent="0.15">
      <c r="G141" s="7"/>
      <c r="H141" s="207"/>
      <c r="J141" s="156"/>
      <c r="K141" s="13" t="s">
        <v>86</v>
      </c>
      <c r="L141" s="13" t="s">
        <v>67</v>
      </c>
      <c r="M141" s="69">
        <f t="shared" ref="M141:AQ141" si="42">M109*8760</f>
        <v>1598.6708278162896</v>
      </c>
      <c r="N141" s="69">
        <f t="shared" si="42"/>
        <v>1604.9365649476147</v>
      </c>
      <c r="O141" s="69">
        <f t="shared" si="42"/>
        <v>1611.20230207894</v>
      </c>
      <c r="P141" s="69">
        <f t="shared" si="42"/>
        <v>1617.4680392102653</v>
      </c>
      <c r="Q141" s="69">
        <f t="shared" si="42"/>
        <v>1623.7337763415903</v>
      </c>
      <c r="R141" s="69">
        <f t="shared" si="42"/>
        <v>1629.9995134729156</v>
      </c>
      <c r="S141" s="69">
        <f t="shared" si="42"/>
        <v>1636.2652506042407</v>
      </c>
      <c r="T141" s="69">
        <f t="shared" si="42"/>
        <v>1642.530987735566</v>
      </c>
      <c r="U141" s="69">
        <f t="shared" si="42"/>
        <v>1648.7967248668913</v>
      </c>
      <c r="V141" s="69">
        <f t="shared" si="42"/>
        <v>1655.0624619982163</v>
      </c>
      <c r="W141" s="69">
        <f t="shared" si="42"/>
        <v>1661.328199129541</v>
      </c>
      <c r="X141" s="69">
        <f t="shared" si="42"/>
        <v>1661.328199129541</v>
      </c>
      <c r="Y141" s="69">
        <f t="shared" si="42"/>
        <v>1661.328199129541</v>
      </c>
      <c r="Z141" s="69">
        <f t="shared" si="42"/>
        <v>1661.328199129541</v>
      </c>
      <c r="AA141" s="69">
        <f t="shared" si="42"/>
        <v>1661.328199129541</v>
      </c>
      <c r="AB141" s="69">
        <f t="shared" si="42"/>
        <v>1661.328199129541</v>
      </c>
      <c r="AC141" s="69">
        <f t="shared" si="42"/>
        <v>1661.328199129541</v>
      </c>
      <c r="AD141" s="69">
        <f t="shared" si="42"/>
        <v>1661.328199129541</v>
      </c>
      <c r="AE141" s="69">
        <f t="shared" si="42"/>
        <v>1661.328199129541</v>
      </c>
      <c r="AF141" s="69">
        <f t="shared" si="42"/>
        <v>1661.328199129541</v>
      </c>
      <c r="AG141" s="69">
        <f t="shared" si="42"/>
        <v>1661.328199129541</v>
      </c>
      <c r="AH141" s="69">
        <f t="shared" si="42"/>
        <v>1661.328199129541</v>
      </c>
      <c r="AI141" s="69">
        <f t="shared" si="42"/>
        <v>1661.328199129541</v>
      </c>
      <c r="AJ141" s="69">
        <f t="shared" si="42"/>
        <v>1661.328199129541</v>
      </c>
      <c r="AK141" s="69">
        <f t="shared" si="42"/>
        <v>1661.328199129541</v>
      </c>
      <c r="AL141" s="69">
        <f t="shared" si="42"/>
        <v>1661.328199129541</v>
      </c>
      <c r="AM141" s="69">
        <f t="shared" si="42"/>
        <v>1661.328199129541</v>
      </c>
      <c r="AN141" s="69">
        <f t="shared" si="42"/>
        <v>1661.328199129541</v>
      </c>
      <c r="AO141" s="69">
        <f t="shared" si="42"/>
        <v>1661.328199129541</v>
      </c>
      <c r="AP141" s="69">
        <f t="shared" si="42"/>
        <v>1661.328199129541</v>
      </c>
      <c r="AQ141" s="69">
        <f t="shared" si="42"/>
        <v>1661.328199129541</v>
      </c>
    </row>
    <row r="142" spans="7:45" ht="14.25" hidden="1" customHeight="1" x14ac:dyDescent="0.15">
      <c r="G142" s="7"/>
      <c r="H142" s="207"/>
      <c r="J142" s="156"/>
      <c r="K142" s="5" t="s">
        <v>86</v>
      </c>
      <c r="L142" s="47" t="s">
        <v>66</v>
      </c>
      <c r="M142" s="68">
        <f t="shared" ref="M142:AQ142" si="43">M110*8760</f>
        <v>1594.8688138840873</v>
      </c>
      <c r="N142" s="68">
        <f t="shared" si="43"/>
        <v>1597.3325370832104</v>
      </c>
      <c r="O142" s="68">
        <f t="shared" si="43"/>
        <v>1599.7962602823334</v>
      </c>
      <c r="P142" s="68">
        <f t="shared" si="43"/>
        <v>1602.2599834814564</v>
      </c>
      <c r="Q142" s="68">
        <f t="shared" si="43"/>
        <v>1604.7237066805794</v>
      </c>
      <c r="R142" s="68">
        <f t="shared" si="43"/>
        <v>1607.1874298797024</v>
      </c>
      <c r="S142" s="68">
        <f t="shared" si="43"/>
        <v>1609.6511530788257</v>
      </c>
      <c r="T142" s="68">
        <f t="shared" si="43"/>
        <v>1612.1148762779487</v>
      </c>
      <c r="U142" s="68">
        <f t="shared" si="43"/>
        <v>1614.5785994770717</v>
      </c>
      <c r="V142" s="68">
        <f t="shared" si="43"/>
        <v>1617.0423226761948</v>
      </c>
      <c r="W142" s="68">
        <f t="shared" si="43"/>
        <v>1619.5060458753173</v>
      </c>
      <c r="X142" s="68">
        <f t="shared" si="43"/>
        <v>1621.5971535380284</v>
      </c>
      <c r="Y142" s="68">
        <f t="shared" si="43"/>
        <v>1623.6882612007396</v>
      </c>
      <c r="Z142" s="68">
        <f t="shared" si="43"/>
        <v>1625.7793688634506</v>
      </c>
      <c r="AA142" s="68">
        <f t="shared" si="43"/>
        <v>1627.8704765261618</v>
      </c>
      <c r="AB142" s="68">
        <f t="shared" si="43"/>
        <v>1629.9615841888728</v>
      </c>
      <c r="AC142" s="68">
        <f t="shared" si="43"/>
        <v>1632.0526918515841</v>
      </c>
      <c r="AD142" s="68">
        <f t="shared" si="43"/>
        <v>1634.1437995142951</v>
      </c>
      <c r="AE142" s="68">
        <f t="shared" si="43"/>
        <v>1636.2349071770063</v>
      </c>
      <c r="AF142" s="68">
        <f t="shared" si="43"/>
        <v>1638.3260148397173</v>
      </c>
      <c r="AG142" s="68">
        <f t="shared" si="43"/>
        <v>1640.4171225024286</v>
      </c>
      <c r="AH142" s="68">
        <f t="shared" si="43"/>
        <v>1642.5082301651398</v>
      </c>
      <c r="AI142" s="68">
        <f t="shared" si="43"/>
        <v>1644.5993378278508</v>
      </c>
      <c r="AJ142" s="68">
        <f t="shared" si="43"/>
        <v>1646.6904454905621</v>
      </c>
      <c r="AK142" s="68">
        <f t="shared" si="43"/>
        <v>1648.7815531532731</v>
      </c>
      <c r="AL142" s="68">
        <f t="shared" si="43"/>
        <v>1650.8726608159843</v>
      </c>
      <c r="AM142" s="68">
        <f t="shared" si="43"/>
        <v>1652.9637684786953</v>
      </c>
      <c r="AN142" s="68">
        <f t="shared" si="43"/>
        <v>1655.0548761414066</v>
      </c>
      <c r="AO142" s="68">
        <f t="shared" si="43"/>
        <v>1657.1459838041176</v>
      </c>
      <c r="AP142" s="68">
        <f t="shared" si="43"/>
        <v>1659.2370914668288</v>
      </c>
      <c r="AQ142" s="68">
        <f t="shared" si="43"/>
        <v>1661.328199129541</v>
      </c>
    </row>
    <row r="143" spans="7:45" ht="14.25" hidden="1" customHeight="1" thickBot="1" x14ac:dyDescent="0.2">
      <c r="G143" s="7"/>
      <c r="H143" s="207"/>
      <c r="J143" s="156"/>
      <c r="K143" s="14" t="s">
        <v>86</v>
      </c>
      <c r="L143" s="14" t="s">
        <v>62</v>
      </c>
      <c r="M143" s="67">
        <f t="shared" ref="M143:AQ143" si="44">M111*8760</f>
        <v>1592.4050906849643</v>
      </c>
      <c r="N143" s="67">
        <f t="shared" si="44"/>
        <v>1592.4050906849643</v>
      </c>
      <c r="O143" s="67">
        <f t="shared" si="44"/>
        <v>1592.4050906849643</v>
      </c>
      <c r="P143" s="67">
        <f t="shared" si="44"/>
        <v>1592.4050906849643</v>
      </c>
      <c r="Q143" s="67">
        <f t="shared" si="44"/>
        <v>1592.4050906849643</v>
      </c>
      <c r="R143" s="67">
        <f t="shared" si="44"/>
        <v>1592.4050906849643</v>
      </c>
      <c r="S143" s="67">
        <f t="shared" si="44"/>
        <v>1592.4050906849643</v>
      </c>
      <c r="T143" s="67">
        <f t="shared" si="44"/>
        <v>1592.4050906849643</v>
      </c>
      <c r="U143" s="67">
        <f t="shared" si="44"/>
        <v>1592.4050906849643</v>
      </c>
      <c r="V143" s="67">
        <f t="shared" si="44"/>
        <v>1592.4050906849643</v>
      </c>
      <c r="W143" s="67">
        <f t="shared" si="44"/>
        <v>1592.4050906849643</v>
      </c>
      <c r="X143" s="67">
        <f t="shared" si="44"/>
        <v>1593.760138444482</v>
      </c>
      <c r="Y143" s="67">
        <f t="shared" si="44"/>
        <v>1595.1151862039994</v>
      </c>
      <c r="Z143" s="67">
        <f t="shared" si="44"/>
        <v>1596.4702339635171</v>
      </c>
      <c r="AA143" s="67">
        <f t="shared" si="44"/>
        <v>1597.8252817230345</v>
      </c>
      <c r="AB143" s="67">
        <f t="shared" si="44"/>
        <v>1599.180329482552</v>
      </c>
      <c r="AC143" s="67">
        <f t="shared" si="44"/>
        <v>1600.5353772420697</v>
      </c>
      <c r="AD143" s="67">
        <f t="shared" si="44"/>
        <v>1601.8904250015871</v>
      </c>
      <c r="AE143" s="67">
        <f t="shared" si="44"/>
        <v>1603.2454727611048</v>
      </c>
      <c r="AF143" s="67">
        <f t="shared" si="44"/>
        <v>1604.6005205206222</v>
      </c>
      <c r="AG143" s="67">
        <f t="shared" si="44"/>
        <v>1605.9555682801399</v>
      </c>
      <c r="AH143" s="67">
        <f t="shared" si="44"/>
        <v>1607.3106160396574</v>
      </c>
      <c r="AI143" s="67">
        <f t="shared" si="44"/>
        <v>1608.665663799175</v>
      </c>
      <c r="AJ143" s="67">
        <f t="shared" si="44"/>
        <v>1610.0207115586925</v>
      </c>
      <c r="AK143" s="67">
        <f t="shared" si="44"/>
        <v>1611.3757593182099</v>
      </c>
      <c r="AL143" s="67">
        <f t="shared" si="44"/>
        <v>1612.7308070777276</v>
      </c>
      <c r="AM143" s="67">
        <f t="shared" si="44"/>
        <v>1614.0858548372451</v>
      </c>
      <c r="AN143" s="67">
        <f t="shared" si="44"/>
        <v>1615.4409025967627</v>
      </c>
      <c r="AO143" s="67">
        <f t="shared" si="44"/>
        <v>1616.7959503562802</v>
      </c>
      <c r="AP143" s="67">
        <f t="shared" si="44"/>
        <v>1618.1509981157978</v>
      </c>
      <c r="AQ143" s="67">
        <f t="shared" si="44"/>
        <v>1619.5060458753173</v>
      </c>
      <c r="AR143" s="63"/>
      <c r="AS143" s="63"/>
    </row>
    <row r="144" spans="7:45" ht="14.25" hidden="1" customHeight="1" thickTop="1" x14ac:dyDescent="0.15">
      <c r="G144" s="7"/>
      <c r="H144" s="207"/>
      <c r="J144" s="156"/>
      <c r="K144" s="13" t="s">
        <v>85</v>
      </c>
      <c r="L144" s="13" t="s">
        <v>67</v>
      </c>
      <c r="M144" s="69">
        <f t="shared" ref="M144:AQ144" si="45">M112*8760</f>
        <v>1623.7917103126758</v>
      </c>
      <c r="N144" s="69">
        <f t="shared" si="45"/>
        <v>1630.1559047646015</v>
      </c>
      <c r="O144" s="69">
        <f t="shared" si="45"/>
        <v>1636.5200992165271</v>
      </c>
      <c r="P144" s="69">
        <f t="shared" si="45"/>
        <v>1642.884293668453</v>
      </c>
      <c r="Q144" s="69">
        <f t="shared" si="45"/>
        <v>1649.2484881203786</v>
      </c>
      <c r="R144" s="69">
        <f t="shared" si="45"/>
        <v>1655.6126825723043</v>
      </c>
      <c r="S144" s="69">
        <f t="shared" si="45"/>
        <v>1661.9768770242301</v>
      </c>
      <c r="T144" s="69">
        <f t="shared" si="45"/>
        <v>1668.3410714761558</v>
      </c>
      <c r="U144" s="69">
        <f t="shared" si="45"/>
        <v>1674.7052659280814</v>
      </c>
      <c r="V144" s="69">
        <f t="shared" si="45"/>
        <v>1681.0694603800073</v>
      </c>
      <c r="W144" s="69">
        <f t="shared" si="45"/>
        <v>1687.4336548319341</v>
      </c>
      <c r="X144" s="69">
        <f t="shared" si="45"/>
        <v>1687.4336548319341</v>
      </c>
      <c r="Y144" s="69">
        <f t="shared" si="45"/>
        <v>1687.4336548319341</v>
      </c>
      <c r="Z144" s="69">
        <f t="shared" si="45"/>
        <v>1687.4336548319341</v>
      </c>
      <c r="AA144" s="69">
        <f t="shared" si="45"/>
        <v>1687.4336548319341</v>
      </c>
      <c r="AB144" s="69">
        <f t="shared" si="45"/>
        <v>1687.4336548319341</v>
      </c>
      <c r="AC144" s="69">
        <f t="shared" si="45"/>
        <v>1687.4336548319341</v>
      </c>
      <c r="AD144" s="69">
        <f t="shared" si="45"/>
        <v>1687.4336548319341</v>
      </c>
      <c r="AE144" s="69">
        <f t="shared" si="45"/>
        <v>1687.4336548319341</v>
      </c>
      <c r="AF144" s="69">
        <f t="shared" si="45"/>
        <v>1687.4336548319341</v>
      </c>
      <c r="AG144" s="69">
        <f t="shared" si="45"/>
        <v>1687.4336548319341</v>
      </c>
      <c r="AH144" s="69">
        <f t="shared" si="45"/>
        <v>1687.4336548319341</v>
      </c>
      <c r="AI144" s="69">
        <f t="shared" si="45"/>
        <v>1687.4336548319341</v>
      </c>
      <c r="AJ144" s="69">
        <f t="shared" si="45"/>
        <v>1687.4336548319341</v>
      </c>
      <c r="AK144" s="69">
        <f t="shared" si="45"/>
        <v>1687.4336548319341</v>
      </c>
      <c r="AL144" s="69">
        <f t="shared" si="45"/>
        <v>1687.4336548319341</v>
      </c>
      <c r="AM144" s="69">
        <f t="shared" si="45"/>
        <v>1687.4336548319341</v>
      </c>
      <c r="AN144" s="69">
        <f t="shared" si="45"/>
        <v>1687.4336548319341</v>
      </c>
      <c r="AO144" s="69">
        <f t="shared" si="45"/>
        <v>1687.4336548319341</v>
      </c>
      <c r="AP144" s="69">
        <f t="shared" si="45"/>
        <v>1687.4336548319341</v>
      </c>
      <c r="AQ144" s="69">
        <f t="shared" si="45"/>
        <v>1687.4336548319341</v>
      </c>
    </row>
    <row r="145" spans="1:91" ht="14.25" hidden="1" customHeight="1" x14ac:dyDescent="0.15">
      <c r="G145" s="7"/>
      <c r="H145" s="207"/>
      <c r="J145" s="156"/>
      <c r="K145" s="5" t="s">
        <v>85</v>
      </c>
      <c r="L145" s="47" t="s">
        <v>66</v>
      </c>
      <c r="M145" s="68">
        <f t="shared" ref="M145:AQ145" si="46">M113*8760</f>
        <v>1619.929953033952</v>
      </c>
      <c r="N145" s="68">
        <f t="shared" si="46"/>
        <v>1622.4323902071537</v>
      </c>
      <c r="O145" s="68">
        <f t="shared" si="46"/>
        <v>1624.9348273803555</v>
      </c>
      <c r="P145" s="68">
        <f t="shared" si="46"/>
        <v>1627.4372645535575</v>
      </c>
      <c r="Q145" s="68">
        <f t="shared" si="46"/>
        <v>1629.9397017267593</v>
      </c>
      <c r="R145" s="68">
        <f t="shared" si="46"/>
        <v>1632.442138899961</v>
      </c>
      <c r="S145" s="68">
        <f t="shared" si="46"/>
        <v>1634.944576073163</v>
      </c>
      <c r="T145" s="68">
        <f t="shared" si="46"/>
        <v>1637.4470132463648</v>
      </c>
      <c r="U145" s="68">
        <f t="shared" si="46"/>
        <v>1639.9494504195666</v>
      </c>
      <c r="V145" s="68">
        <f t="shared" si="46"/>
        <v>1642.4518875927683</v>
      </c>
      <c r="W145" s="68">
        <f t="shared" si="46"/>
        <v>1644.954324765971</v>
      </c>
      <c r="X145" s="68">
        <f t="shared" si="46"/>
        <v>1647.0782912692694</v>
      </c>
      <c r="Y145" s="68">
        <f t="shared" si="46"/>
        <v>1649.2022577725675</v>
      </c>
      <c r="Z145" s="68">
        <f t="shared" si="46"/>
        <v>1651.3262242758658</v>
      </c>
      <c r="AA145" s="68">
        <f t="shared" si="46"/>
        <v>1653.4501907791641</v>
      </c>
      <c r="AB145" s="68">
        <f t="shared" si="46"/>
        <v>1655.5741572824622</v>
      </c>
      <c r="AC145" s="68">
        <f t="shared" si="46"/>
        <v>1657.6981237857606</v>
      </c>
      <c r="AD145" s="68">
        <f t="shared" si="46"/>
        <v>1659.8220902890589</v>
      </c>
      <c r="AE145" s="68">
        <f t="shared" si="46"/>
        <v>1661.946056792357</v>
      </c>
      <c r="AF145" s="68">
        <f t="shared" si="46"/>
        <v>1664.0700232956553</v>
      </c>
      <c r="AG145" s="68">
        <f t="shared" si="46"/>
        <v>1666.1939897989535</v>
      </c>
      <c r="AH145" s="68">
        <f t="shared" si="46"/>
        <v>1668.3179563022518</v>
      </c>
      <c r="AI145" s="68">
        <f t="shared" si="46"/>
        <v>1670.4419228055501</v>
      </c>
      <c r="AJ145" s="68">
        <f t="shared" si="46"/>
        <v>1672.5658893088482</v>
      </c>
      <c r="AK145" s="68">
        <f t="shared" si="46"/>
        <v>1674.6898558121466</v>
      </c>
      <c r="AL145" s="68">
        <f t="shared" si="46"/>
        <v>1676.8138223154449</v>
      </c>
      <c r="AM145" s="68">
        <f t="shared" si="46"/>
        <v>1678.937788818743</v>
      </c>
      <c r="AN145" s="68">
        <f t="shared" si="46"/>
        <v>1681.0617553220413</v>
      </c>
      <c r="AO145" s="68">
        <f t="shared" si="46"/>
        <v>1683.1857218253397</v>
      </c>
      <c r="AP145" s="68">
        <f t="shared" si="46"/>
        <v>1685.3096883286378</v>
      </c>
      <c r="AQ145" s="68">
        <f t="shared" si="46"/>
        <v>1687.4336548319341</v>
      </c>
    </row>
    <row r="146" spans="1:91" ht="14.25" hidden="1" customHeight="1" thickBot="1" x14ac:dyDescent="0.2">
      <c r="G146" s="7"/>
      <c r="H146" s="207"/>
      <c r="J146" s="157"/>
      <c r="K146" s="14" t="s">
        <v>85</v>
      </c>
      <c r="L146" s="14" t="s">
        <v>62</v>
      </c>
      <c r="M146" s="67">
        <f t="shared" ref="M146:AQ146" si="47">M114*8760</f>
        <v>1617.4275158607502</v>
      </c>
      <c r="N146" s="67">
        <f t="shared" si="47"/>
        <v>1617.4275158607502</v>
      </c>
      <c r="O146" s="67">
        <f t="shared" si="47"/>
        <v>1617.4275158607502</v>
      </c>
      <c r="P146" s="67">
        <f t="shared" si="47"/>
        <v>1617.4275158607502</v>
      </c>
      <c r="Q146" s="67">
        <f t="shared" si="47"/>
        <v>1617.4275158607502</v>
      </c>
      <c r="R146" s="67">
        <f t="shared" si="47"/>
        <v>1617.4275158607502</v>
      </c>
      <c r="S146" s="67">
        <f t="shared" si="47"/>
        <v>1617.4275158607502</v>
      </c>
      <c r="T146" s="67">
        <f t="shared" si="47"/>
        <v>1617.4275158607502</v>
      </c>
      <c r="U146" s="67">
        <f t="shared" si="47"/>
        <v>1617.4275158607502</v>
      </c>
      <c r="V146" s="67">
        <f t="shared" si="47"/>
        <v>1617.4275158607502</v>
      </c>
      <c r="W146" s="67">
        <f t="shared" si="47"/>
        <v>1617.4275158607502</v>
      </c>
      <c r="X146" s="67">
        <f t="shared" si="47"/>
        <v>1618.8038563060111</v>
      </c>
      <c r="Y146" s="67">
        <f t="shared" si="47"/>
        <v>1620.180196751272</v>
      </c>
      <c r="Z146" s="67">
        <f t="shared" si="47"/>
        <v>1621.5565371965329</v>
      </c>
      <c r="AA146" s="67">
        <f t="shared" si="47"/>
        <v>1622.9328776417938</v>
      </c>
      <c r="AB146" s="67">
        <f t="shared" si="47"/>
        <v>1624.3092180870549</v>
      </c>
      <c r="AC146" s="67">
        <f t="shared" si="47"/>
        <v>1625.6855585323158</v>
      </c>
      <c r="AD146" s="67">
        <f t="shared" si="47"/>
        <v>1627.0618989775767</v>
      </c>
      <c r="AE146" s="67">
        <f t="shared" si="47"/>
        <v>1628.4382394228376</v>
      </c>
      <c r="AF146" s="67">
        <f t="shared" si="47"/>
        <v>1629.8145798680985</v>
      </c>
      <c r="AG146" s="67">
        <f t="shared" si="47"/>
        <v>1631.1909203133594</v>
      </c>
      <c r="AH146" s="67">
        <f t="shared" si="47"/>
        <v>1632.5672607586205</v>
      </c>
      <c r="AI146" s="67">
        <f t="shared" si="47"/>
        <v>1633.9436012038814</v>
      </c>
      <c r="AJ146" s="67">
        <f t="shared" si="47"/>
        <v>1635.3199416491423</v>
      </c>
      <c r="AK146" s="67">
        <f t="shared" si="47"/>
        <v>1636.6962820944032</v>
      </c>
      <c r="AL146" s="67">
        <f t="shared" si="47"/>
        <v>1638.0726225396641</v>
      </c>
      <c r="AM146" s="67">
        <f t="shared" si="47"/>
        <v>1639.4489629849252</v>
      </c>
      <c r="AN146" s="67">
        <f t="shared" si="47"/>
        <v>1640.8253034301861</v>
      </c>
      <c r="AO146" s="67">
        <f t="shared" si="47"/>
        <v>1642.201643875447</v>
      </c>
      <c r="AP146" s="67">
        <f t="shared" si="47"/>
        <v>1643.5779843207079</v>
      </c>
      <c r="AQ146" s="67">
        <f t="shared" si="47"/>
        <v>1644.954324765971</v>
      </c>
      <c r="AR146" s="63"/>
      <c r="AS146" s="63"/>
    </row>
    <row r="147" spans="1:91" ht="14.25" hidden="1" customHeight="1" thickTop="1" x14ac:dyDescent="0.15">
      <c r="G147" s="7"/>
      <c r="H147" s="207"/>
      <c r="J147" s="57"/>
      <c r="K147" s="5"/>
      <c r="L147" s="5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</row>
    <row r="148" spans="1:91" ht="14.25" hidden="1" customHeight="1" x14ac:dyDescent="0.15">
      <c r="G148" s="7"/>
      <c r="H148" s="207"/>
      <c r="J148" s="65"/>
      <c r="M148" s="12">
        <v>2020</v>
      </c>
      <c r="N148" s="12">
        <v>2021</v>
      </c>
      <c r="O148" s="12">
        <v>2022</v>
      </c>
      <c r="P148" s="12">
        <v>2023</v>
      </c>
      <c r="Q148" s="12">
        <v>2024</v>
      </c>
      <c r="R148" s="12">
        <v>2025</v>
      </c>
      <c r="S148" s="12">
        <v>2026</v>
      </c>
      <c r="T148" s="12">
        <v>2027</v>
      </c>
      <c r="U148" s="12">
        <v>2028</v>
      </c>
      <c r="V148" s="12">
        <v>2029</v>
      </c>
      <c r="W148" s="12">
        <v>2030</v>
      </c>
      <c r="X148" s="12">
        <v>2031</v>
      </c>
      <c r="Y148" s="12">
        <v>2032</v>
      </c>
      <c r="Z148" s="12">
        <v>2033</v>
      </c>
      <c r="AA148" s="12">
        <v>2034</v>
      </c>
      <c r="AB148" s="12">
        <v>2035</v>
      </c>
      <c r="AC148" s="12">
        <v>2036</v>
      </c>
      <c r="AD148" s="12">
        <v>2037</v>
      </c>
      <c r="AE148" s="12">
        <v>2038</v>
      </c>
      <c r="AF148" s="12">
        <v>2039</v>
      </c>
      <c r="AG148" s="12">
        <v>2040</v>
      </c>
      <c r="AH148" s="12">
        <v>2041</v>
      </c>
      <c r="AI148" s="12">
        <v>2042</v>
      </c>
      <c r="AJ148" s="12">
        <v>2043</v>
      </c>
      <c r="AK148" s="12">
        <v>2044</v>
      </c>
      <c r="AL148" s="12">
        <v>2045</v>
      </c>
      <c r="AM148" s="12">
        <v>2046</v>
      </c>
      <c r="AN148" s="12">
        <v>2047</v>
      </c>
      <c r="AO148" s="12">
        <v>2048</v>
      </c>
      <c r="AP148" s="12">
        <v>2049</v>
      </c>
      <c r="AQ148" s="12">
        <v>2050</v>
      </c>
    </row>
    <row r="149" spans="1:91" ht="14.25" hidden="1" customHeight="1" x14ac:dyDescent="0.15">
      <c r="G149" s="7"/>
      <c r="H149" s="207"/>
      <c r="J149" s="155" t="s">
        <v>102</v>
      </c>
      <c r="K149" s="13" t="s">
        <v>94</v>
      </c>
      <c r="L149" s="13" t="s">
        <v>67</v>
      </c>
      <c r="M149" s="48">
        <f t="shared" ref="M149:AQ149" si="48">M$376*( M181+M278)</f>
        <v>2743.3329999999996</v>
      </c>
      <c r="N149" s="48">
        <f t="shared" si="48"/>
        <v>2650</v>
      </c>
      <c r="O149" s="48">
        <f t="shared" si="48"/>
        <v>2443.4532578884769</v>
      </c>
      <c r="P149" s="48">
        <f t="shared" si="48"/>
        <v>2236.9065157769537</v>
      </c>
      <c r="Q149" s="48">
        <f t="shared" si="48"/>
        <v>2030.3597736654308</v>
      </c>
      <c r="R149" s="48">
        <f t="shared" si="48"/>
        <v>1823.8130315539079</v>
      </c>
      <c r="S149" s="48">
        <f t="shared" si="48"/>
        <v>1617.266289442385</v>
      </c>
      <c r="T149" s="48">
        <f t="shared" si="48"/>
        <v>1410.719547330862</v>
      </c>
      <c r="U149" s="48">
        <f t="shared" si="48"/>
        <v>1204.1728052193391</v>
      </c>
      <c r="V149" s="48">
        <f t="shared" si="48"/>
        <v>997.62606310781609</v>
      </c>
      <c r="W149" s="48">
        <f t="shared" si="48"/>
        <v>791.07932099629318</v>
      </c>
      <c r="X149" s="48">
        <f t="shared" si="48"/>
        <v>779.04436405956324</v>
      </c>
      <c r="Y149" s="48">
        <f t="shared" si="48"/>
        <v>767.0094071228333</v>
      </c>
      <c r="Z149" s="48">
        <f t="shared" si="48"/>
        <v>754.97445018610335</v>
      </c>
      <c r="AA149" s="48">
        <f t="shared" si="48"/>
        <v>742.93949324937341</v>
      </c>
      <c r="AB149" s="48">
        <f t="shared" si="48"/>
        <v>730.90453631264347</v>
      </c>
      <c r="AC149" s="48">
        <f t="shared" si="48"/>
        <v>718.86957937591353</v>
      </c>
      <c r="AD149" s="48">
        <f t="shared" si="48"/>
        <v>706.83462243918359</v>
      </c>
      <c r="AE149" s="48">
        <f t="shared" si="48"/>
        <v>694.79966550245365</v>
      </c>
      <c r="AF149" s="48">
        <f t="shared" si="48"/>
        <v>682.76470856572371</v>
      </c>
      <c r="AG149" s="48">
        <f t="shared" si="48"/>
        <v>670.72975162899377</v>
      </c>
      <c r="AH149" s="48">
        <f t="shared" si="48"/>
        <v>658.69479469226383</v>
      </c>
      <c r="AI149" s="48">
        <f t="shared" si="48"/>
        <v>646.65983775553389</v>
      </c>
      <c r="AJ149" s="48">
        <f t="shared" si="48"/>
        <v>634.62488081880394</v>
      </c>
      <c r="AK149" s="48">
        <f t="shared" si="48"/>
        <v>622.589923882074</v>
      </c>
      <c r="AL149" s="48">
        <f t="shared" si="48"/>
        <v>610.55496694534406</v>
      </c>
      <c r="AM149" s="48">
        <f t="shared" si="48"/>
        <v>598.52001000861412</v>
      </c>
      <c r="AN149" s="48">
        <f t="shared" si="48"/>
        <v>586.48505307188418</v>
      </c>
      <c r="AO149" s="48">
        <f t="shared" si="48"/>
        <v>574.45009613515424</v>
      </c>
      <c r="AP149" s="48">
        <f t="shared" si="48"/>
        <v>562.4151391984243</v>
      </c>
      <c r="AQ149" s="48">
        <f t="shared" si="48"/>
        <v>550.38018226169538</v>
      </c>
    </row>
    <row r="150" spans="1:91" ht="14.25" hidden="1" customHeight="1" x14ac:dyDescent="0.15">
      <c r="G150" s="7"/>
      <c r="H150" s="207"/>
      <c r="J150" s="156"/>
      <c r="K150" s="5" t="s">
        <v>94</v>
      </c>
      <c r="L150" s="47" t="s">
        <v>66</v>
      </c>
      <c r="M150" s="46">
        <f t="shared" ref="M150:AQ150" si="49">M$377*( M182+M279)</f>
        <v>2743.3329999999996</v>
      </c>
      <c r="N150" s="46">
        <f t="shared" si="49"/>
        <v>2650</v>
      </c>
      <c r="O150" s="46">
        <f t="shared" si="49"/>
        <v>2468.4920686351961</v>
      </c>
      <c r="P150" s="46">
        <f t="shared" si="49"/>
        <v>2286.9841372703922</v>
      </c>
      <c r="Q150" s="46">
        <f t="shared" si="49"/>
        <v>2105.4762059055884</v>
      </c>
      <c r="R150" s="46">
        <f t="shared" si="49"/>
        <v>1923.9682745407847</v>
      </c>
      <c r="S150" s="46">
        <f t="shared" si="49"/>
        <v>1742.4603431759811</v>
      </c>
      <c r="T150" s="46">
        <f t="shared" si="49"/>
        <v>1560.9524118111774</v>
      </c>
      <c r="U150" s="46">
        <f t="shared" si="49"/>
        <v>1379.4444804463737</v>
      </c>
      <c r="V150" s="46">
        <f t="shared" si="49"/>
        <v>1197.9365490815701</v>
      </c>
      <c r="W150" s="46">
        <f t="shared" si="49"/>
        <v>1016.4286177167666</v>
      </c>
      <c r="X150" s="46">
        <f t="shared" si="49"/>
        <v>1005.1611528807429</v>
      </c>
      <c r="Y150" s="46">
        <f t="shared" si="49"/>
        <v>993.89368804471917</v>
      </c>
      <c r="Z150" s="46">
        <f t="shared" si="49"/>
        <v>982.62622320869548</v>
      </c>
      <c r="AA150" s="46">
        <f t="shared" si="49"/>
        <v>971.35875837267179</v>
      </c>
      <c r="AB150" s="46">
        <f t="shared" si="49"/>
        <v>960.0912935366481</v>
      </c>
      <c r="AC150" s="46">
        <f t="shared" si="49"/>
        <v>948.8238287006244</v>
      </c>
      <c r="AD150" s="46">
        <f t="shared" si="49"/>
        <v>937.55636386460071</v>
      </c>
      <c r="AE150" s="46">
        <f t="shared" si="49"/>
        <v>926.28889902857702</v>
      </c>
      <c r="AF150" s="46">
        <f t="shared" si="49"/>
        <v>915.02143419255333</v>
      </c>
      <c r="AG150" s="46">
        <f t="shared" si="49"/>
        <v>903.75396935652964</v>
      </c>
      <c r="AH150" s="46">
        <f t="shared" si="49"/>
        <v>892.48650452050595</v>
      </c>
      <c r="AI150" s="46">
        <f t="shared" si="49"/>
        <v>881.21903968448225</v>
      </c>
      <c r="AJ150" s="46">
        <f t="shared" si="49"/>
        <v>869.95157484845856</v>
      </c>
      <c r="AK150" s="46">
        <f t="shared" si="49"/>
        <v>858.68411001243487</v>
      </c>
      <c r="AL150" s="46">
        <f t="shared" si="49"/>
        <v>847.41664517641118</v>
      </c>
      <c r="AM150" s="46">
        <f t="shared" si="49"/>
        <v>836.14918034038749</v>
      </c>
      <c r="AN150" s="46">
        <f t="shared" si="49"/>
        <v>824.8817155043638</v>
      </c>
      <c r="AO150" s="46">
        <f t="shared" si="49"/>
        <v>813.61425066834011</v>
      </c>
      <c r="AP150" s="46">
        <f t="shared" si="49"/>
        <v>802.34678583231641</v>
      </c>
      <c r="AQ150" s="46">
        <f t="shared" si="49"/>
        <v>791.07932099629318</v>
      </c>
    </row>
    <row r="151" spans="1:91" ht="14.25" hidden="1" customHeight="1" thickBot="1" x14ac:dyDescent="0.2">
      <c r="G151" s="7"/>
      <c r="H151" s="207"/>
      <c r="J151" s="156"/>
      <c r="K151" s="14" t="s">
        <v>94</v>
      </c>
      <c r="L151" s="14" t="s">
        <v>62</v>
      </c>
      <c r="M151" s="45">
        <f t="shared" ref="M151:AQ151" si="50">M$378*( M183+M280)</f>
        <v>2743.3329999999996</v>
      </c>
      <c r="N151" s="45">
        <f t="shared" si="50"/>
        <v>2650</v>
      </c>
      <c r="O151" s="45">
        <f t="shared" si="50"/>
        <v>2609.4919276554911</v>
      </c>
      <c r="P151" s="45">
        <f t="shared" si="50"/>
        <v>2568.9838553109821</v>
      </c>
      <c r="Q151" s="45">
        <f t="shared" si="50"/>
        <v>2528.4757829664732</v>
      </c>
      <c r="R151" s="45">
        <f t="shared" si="50"/>
        <v>2487.9677106219642</v>
      </c>
      <c r="S151" s="45">
        <f t="shared" si="50"/>
        <v>2447.4596382774553</v>
      </c>
      <c r="T151" s="45">
        <f t="shared" si="50"/>
        <v>2406.9515659329463</v>
      </c>
      <c r="U151" s="45">
        <f t="shared" si="50"/>
        <v>2366.4434935884374</v>
      </c>
      <c r="V151" s="45">
        <f t="shared" si="50"/>
        <v>2325.9354212439284</v>
      </c>
      <c r="W151" s="45">
        <f t="shared" si="50"/>
        <v>2285.4273488994199</v>
      </c>
      <c r="X151" s="45">
        <f t="shared" si="50"/>
        <v>2221.9774123402872</v>
      </c>
      <c r="Y151" s="45">
        <f t="shared" si="50"/>
        <v>2158.5274757811544</v>
      </c>
      <c r="Z151" s="45">
        <f t="shared" si="50"/>
        <v>2095.0775392220216</v>
      </c>
      <c r="AA151" s="45">
        <f t="shared" si="50"/>
        <v>2031.6276026628889</v>
      </c>
      <c r="AB151" s="45">
        <f t="shared" si="50"/>
        <v>1968.1776661037561</v>
      </c>
      <c r="AC151" s="45">
        <f t="shared" si="50"/>
        <v>1904.7277295446233</v>
      </c>
      <c r="AD151" s="45">
        <f t="shared" si="50"/>
        <v>1841.2777929854906</v>
      </c>
      <c r="AE151" s="45">
        <f t="shared" si="50"/>
        <v>1777.8278564263578</v>
      </c>
      <c r="AF151" s="45">
        <f t="shared" si="50"/>
        <v>1714.377919867225</v>
      </c>
      <c r="AG151" s="45">
        <f t="shared" si="50"/>
        <v>1650.9279833080923</v>
      </c>
      <c r="AH151" s="45">
        <f t="shared" si="50"/>
        <v>1587.4780467489595</v>
      </c>
      <c r="AI151" s="45">
        <f t="shared" si="50"/>
        <v>1524.0281101898267</v>
      </c>
      <c r="AJ151" s="45">
        <f t="shared" si="50"/>
        <v>1460.578173630694</v>
      </c>
      <c r="AK151" s="45">
        <f t="shared" si="50"/>
        <v>1397.1282370715612</v>
      </c>
      <c r="AL151" s="45">
        <f t="shared" si="50"/>
        <v>1333.6783005124285</v>
      </c>
      <c r="AM151" s="45">
        <f t="shared" si="50"/>
        <v>1270.2283639532957</v>
      </c>
      <c r="AN151" s="45">
        <f t="shared" si="50"/>
        <v>1206.7784273941629</v>
      </c>
      <c r="AO151" s="45">
        <f t="shared" si="50"/>
        <v>1143.3284908350302</v>
      </c>
      <c r="AP151" s="45">
        <f t="shared" si="50"/>
        <v>1079.8785542758974</v>
      </c>
      <c r="AQ151" s="45">
        <f t="shared" si="50"/>
        <v>1016.4286177167666</v>
      </c>
    </row>
    <row r="152" spans="1:91" ht="14.25" hidden="1" customHeight="1" thickTop="1" x14ac:dyDescent="0.15">
      <c r="G152" s="7"/>
      <c r="H152" s="207"/>
      <c r="J152" s="156"/>
      <c r="K152" s="13" t="s">
        <v>93</v>
      </c>
      <c r="L152" s="13" t="s">
        <v>67</v>
      </c>
      <c r="M152" s="48">
        <f t="shared" ref="M152:AQ152" si="51">M$376*( M184+M281)</f>
        <v>2743.3329999999996</v>
      </c>
      <c r="N152" s="48">
        <f t="shared" si="51"/>
        <v>2650</v>
      </c>
      <c r="O152" s="48">
        <f t="shared" si="51"/>
        <v>2443.4532578884769</v>
      </c>
      <c r="P152" s="48">
        <f t="shared" si="51"/>
        <v>2236.9065157769537</v>
      </c>
      <c r="Q152" s="48">
        <f t="shared" si="51"/>
        <v>2030.3597736654308</v>
      </c>
      <c r="R152" s="48">
        <f t="shared" si="51"/>
        <v>1823.8130315539079</v>
      </c>
      <c r="S152" s="48">
        <f t="shared" si="51"/>
        <v>1617.266289442385</v>
      </c>
      <c r="T152" s="48">
        <f t="shared" si="51"/>
        <v>1410.719547330862</v>
      </c>
      <c r="U152" s="48">
        <f t="shared" si="51"/>
        <v>1204.1728052193391</v>
      </c>
      <c r="V152" s="48">
        <f t="shared" si="51"/>
        <v>997.62606310781609</v>
      </c>
      <c r="W152" s="48">
        <f t="shared" si="51"/>
        <v>791.07932099629318</v>
      </c>
      <c r="X152" s="48">
        <f t="shared" si="51"/>
        <v>779.04436405956324</v>
      </c>
      <c r="Y152" s="48">
        <f t="shared" si="51"/>
        <v>767.0094071228333</v>
      </c>
      <c r="Z152" s="48">
        <f t="shared" si="51"/>
        <v>754.97445018610335</v>
      </c>
      <c r="AA152" s="48">
        <f t="shared" si="51"/>
        <v>742.93949324937341</v>
      </c>
      <c r="AB152" s="48">
        <f t="shared" si="51"/>
        <v>730.90453631264347</v>
      </c>
      <c r="AC152" s="48">
        <f t="shared" si="51"/>
        <v>718.86957937591353</v>
      </c>
      <c r="AD152" s="48">
        <f t="shared" si="51"/>
        <v>706.83462243918359</v>
      </c>
      <c r="AE152" s="48">
        <f t="shared" si="51"/>
        <v>694.79966550245365</v>
      </c>
      <c r="AF152" s="48">
        <f t="shared" si="51"/>
        <v>682.76470856572371</v>
      </c>
      <c r="AG152" s="48">
        <f t="shared" si="51"/>
        <v>670.72975162899377</v>
      </c>
      <c r="AH152" s="48">
        <f t="shared" si="51"/>
        <v>658.69479469226383</v>
      </c>
      <c r="AI152" s="48">
        <f t="shared" si="51"/>
        <v>646.65983775553389</v>
      </c>
      <c r="AJ152" s="48">
        <f t="shared" si="51"/>
        <v>634.62488081880394</v>
      </c>
      <c r="AK152" s="48">
        <f t="shared" si="51"/>
        <v>622.589923882074</v>
      </c>
      <c r="AL152" s="48">
        <f t="shared" si="51"/>
        <v>610.55496694534406</v>
      </c>
      <c r="AM152" s="48">
        <f t="shared" si="51"/>
        <v>598.52001000861412</v>
      </c>
      <c r="AN152" s="48">
        <f t="shared" si="51"/>
        <v>586.48505307188418</v>
      </c>
      <c r="AO152" s="48">
        <f t="shared" si="51"/>
        <v>574.45009613515424</v>
      </c>
      <c r="AP152" s="48">
        <f t="shared" si="51"/>
        <v>562.4151391984243</v>
      </c>
      <c r="AQ152" s="48">
        <f t="shared" si="51"/>
        <v>550.38018226169538</v>
      </c>
    </row>
    <row r="153" spans="1:91" ht="14.25" hidden="1" customHeight="1" x14ac:dyDescent="0.15">
      <c r="G153" s="7"/>
      <c r="H153" s="207"/>
      <c r="J153" s="156"/>
      <c r="K153" s="5" t="s">
        <v>93</v>
      </c>
      <c r="L153" s="47" t="s">
        <v>66</v>
      </c>
      <c r="M153" s="46">
        <f t="shared" ref="M153:AQ153" si="52">M$377*( M185+M282)</f>
        <v>2743.3329999999996</v>
      </c>
      <c r="N153" s="46">
        <f t="shared" si="52"/>
        <v>2650</v>
      </c>
      <c r="O153" s="46">
        <f t="shared" si="52"/>
        <v>2468.4920686351961</v>
      </c>
      <c r="P153" s="46">
        <f t="shared" si="52"/>
        <v>2286.9841372703922</v>
      </c>
      <c r="Q153" s="46">
        <f t="shared" si="52"/>
        <v>2105.4762059055884</v>
      </c>
      <c r="R153" s="46">
        <f t="shared" si="52"/>
        <v>1923.9682745407847</v>
      </c>
      <c r="S153" s="46">
        <f t="shared" si="52"/>
        <v>1742.4603431759811</v>
      </c>
      <c r="T153" s="46">
        <f t="shared" si="52"/>
        <v>1560.9524118111774</v>
      </c>
      <c r="U153" s="46">
        <f t="shared" si="52"/>
        <v>1379.4444804463737</v>
      </c>
      <c r="V153" s="46">
        <f t="shared" si="52"/>
        <v>1197.9365490815701</v>
      </c>
      <c r="W153" s="46">
        <f t="shared" si="52"/>
        <v>1016.4286177167666</v>
      </c>
      <c r="X153" s="46">
        <f t="shared" si="52"/>
        <v>1005.1611528807429</v>
      </c>
      <c r="Y153" s="46">
        <f t="shared" si="52"/>
        <v>993.89368804471917</v>
      </c>
      <c r="Z153" s="46">
        <f t="shared" si="52"/>
        <v>982.62622320869548</v>
      </c>
      <c r="AA153" s="46">
        <f t="shared" si="52"/>
        <v>971.35875837267179</v>
      </c>
      <c r="AB153" s="46">
        <f t="shared" si="52"/>
        <v>960.0912935366481</v>
      </c>
      <c r="AC153" s="46">
        <f t="shared" si="52"/>
        <v>948.8238287006244</v>
      </c>
      <c r="AD153" s="46">
        <f t="shared" si="52"/>
        <v>937.55636386460071</v>
      </c>
      <c r="AE153" s="46">
        <f t="shared" si="52"/>
        <v>926.28889902857702</v>
      </c>
      <c r="AF153" s="46">
        <f t="shared" si="52"/>
        <v>915.02143419255333</v>
      </c>
      <c r="AG153" s="46">
        <f t="shared" si="52"/>
        <v>903.75396935652964</v>
      </c>
      <c r="AH153" s="46">
        <f t="shared" si="52"/>
        <v>892.48650452050595</v>
      </c>
      <c r="AI153" s="46">
        <f t="shared" si="52"/>
        <v>881.21903968448225</v>
      </c>
      <c r="AJ153" s="46">
        <f t="shared" si="52"/>
        <v>869.95157484845856</v>
      </c>
      <c r="AK153" s="46">
        <f t="shared" si="52"/>
        <v>858.68411001243487</v>
      </c>
      <c r="AL153" s="46">
        <f t="shared" si="52"/>
        <v>847.41664517641118</v>
      </c>
      <c r="AM153" s="46">
        <f t="shared" si="52"/>
        <v>836.14918034038749</v>
      </c>
      <c r="AN153" s="46">
        <f t="shared" si="52"/>
        <v>824.8817155043638</v>
      </c>
      <c r="AO153" s="46">
        <f t="shared" si="52"/>
        <v>813.61425066834011</v>
      </c>
      <c r="AP153" s="46">
        <f t="shared" si="52"/>
        <v>802.34678583231641</v>
      </c>
      <c r="AQ153" s="46">
        <f t="shared" si="52"/>
        <v>791.07932099629318</v>
      </c>
    </row>
    <row r="154" spans="1:91" ht="14.25" hidden="1" customHeight="1" thickBot="1" x14ac:dyDescent="0.2">
      <c r="G154" s="7"/>
      <c r="H154" s="207"/>
      <c r="J154" s="156"/>
      <c r="K154" s="14" t="s">
        <v>93</v>
      </c>
      <c r="L154" s="14" t="s">
        <v>62</v>
      </c>
      <c r="M154" s="45">
        <f t="shared" ref="M154:AQ154" si="53">M$378*( M186+M283)</f>
        <v>2743.3329999999996</v>
      </c>
      <c r="N154" s="45">
        <f t="shared" si="53"/>
        <v>2650</v>
      </c>
      <c r="O154" s="45">
        <f t="shared" si="53"/>
        <v>2609.4919276554911</v>
      </c>
      <c r="P154" s="45">
        <f t="shared" si="53"/>
        <v>2568.9838553109821</v>
      </c>
      <c r="Q154" s="45">
        <f t="shared" si="53"/>
        <v>2528.4757829664732</v>
      </c>
      <c r="R154" s="45">
        <f t="shared" si="53"/>
        <v>2487.9677106219642</v>
      </c>
      <c r="S154" s="45">
        <f t="shared" si="53"/>
        <v>2447.4596382774553</v>
      </c>
      <c r="T154" s="45">
        <f t="shared" si="53"/>
        <v>2406.9515659329463</v>
      </c>
      <c r="U154" s="45">
        <f t="shared" si="53"/>
        <v>2366.4434935884374</v>
      </c>
      <c r="V154" s="45">
        <f t="shared" si="53"/>
        <v>2325.9354212439284</v>
      </c>
      <c r="W154" s="45">
        <f t="shared" si="53"/>
        <v>2285.4273488994199</v>
      </c>
      <c r="X154" s="45">
        <f t="shared" si="53"/>
        <v>2221.9774123402872</v>
      </c>
      <c r="Y154" s="45">
        <f t="shared" si="53"/>
        <v>2158.5274757811544</v>
      </c>
      <c r="Z154" s="45">
        <f t="shared" si="53"/>
        <v>2095.0775392220216</v>
      </c>
      <c r="AA154" s="45">
        <f t="shared" si="53"/>
        <v>2031.6276026628889</v>
      </c>
      <c r="AB154" s="45">
        <f t="shared" si="53"/>
        <v>1968.1776661037561</v>
      </c>
      <c r="AC154" s="45">
        <f t="shared" si="53"/>
        <v>1904.7277295446233</v>
      </c>
      <c r="AD154" s="45">
        <f t="shared" si="53"/>
        <v>1841.2777929854906</v>
      </c>
      <c r="AE154" s="45">
        <f t="shared" si="53"/>
        <v>1777.8278564263578</v>
      </c>
      <c r="AF154" s="45">
        <f t="shared" si="53"/>
        <v>1714.377919867225</v>
      </c>
      <c r="AG154" s="45">
        <f t="shared" si="53"/>
        <v>1650.9279833080923</v>
      </c>
      <c r="AH154" s="45">
        <f t="shared" si="53"/>
        <v>1587.4780467489595</v>
      </c>
      <c r="AI154" s="45">
        <f t="shared" si="53"/>
        <v>1524.0281101898267</v>
      </c>
      <c r="AJ154" s="45">
        <f t="shared" si="53"/>
        <v>1460.578173630694</v>
      </c>
      <c r="AK154" s="45">
        <f t="shared" si="53"/>
        <v>1397.1282370715612</v>
      </c>
      <c r="AL154" s="45">
        <f t="shared" si="53"/>
        <v>1333.6783005124285</v>
      </c>
      <c r="AM154" s="45">
        <f t="shared" si="53"/>
        <v>1270.2283639532957</v>
      </c>
      <c r="AN154" s="45">
        <f t="shared" si="53"/>
        <v>1206.7784273941629</v>
      </c>
      <c r="AO154" s="45">
        <f t="shared" si="53"/>
        <v>1143.3284908350302</v>
      </c>
      <c r="AP154" s="45">
        <f t="shared" si="53"/>
        <v>1079.8785542758974</v>
      </c>
      <c r="AQ154" s="45">
        <f t="shared" si="53"/>
        <v>1016.4286177167666</v>
      </c>
      <c r="AT154" s="63"/>
      <c r="AU154" s="63"/>
    </row>
    <row r="155" spans="1:91" ht="14.25" hidden="1" customHeight="1" thickTop="1" thickBot="1" x14ac:dyDescent="0.2">
      <c r="G155" s="7"/>
      <c r="H155" s="207"/>
      <c r="J155" s="156"/>
      <c r="K155" s="13" t="s">
        <v>92</v>
      </c>
      <c r="L155" s="13" t="s">
        <v>67</v>
      </c>
      <c r="M155" s="48">
        <f t="shared" ref="M155:AQ155" si="54">M$376*( M187+M284)</f>
        <v>2743.3329999999996</v>
      </c>
      <c r="N155" s="48">
        <f t="shared" si="54"/>
        <v>2650</v>
      </c>
      <c r="O155" s="48">
        <f t="shared" si="54"/>
        <v>2443.4532578884769</v>
      </c>
      <c r="P155" s="48">
        <f t="shared" si="54"/>
        <v>2236.9065157769537</v>
      </c>
      <c r="Q155" s="48">
        <f t="shared" si="54"/>
        <v>2030.3597736654308</v>
      </c>
      <c r="R155" s="48">
        <f t="shared" si="54"/>
        <v>1823.8130315539079</v>
      </c>
      <c r="S155" s="48">
        <f t="shared" si="54"/>
        <v>1617.266289442385</v>
      </c>
      <c r="T155" s="48">
        <f t="shared" si="54"/>
        <v>1410.719547330862</v>
      </c>
      <c r="U155" s="48">
        <f t="shared" si="54"/>
        <v>1204.1728052193391</v>
      </c>
      <c r="V155" s="48">
        <f t="shared" si="54"/>
        <v>997.62606310781609</v>
      </c>
      <c r="W155" s="48">
        <f t="shared" si="54"/>
        <v>791.07932099629318</v>
      </c>
      <c r="X155" s="48">
        <f t="shared" si="54"/>
        <v>779.04436405956324</v>
      </c>
      <c r="Y155" s="48">
        <f t="shared" si="54"/>
        <v>767.0094071228333</v>
      </c>
      <c r="Z155" s="48">
        <f t="shared" si="54"/>
        <v>754.97445018610335</v>
      </c>
      <c r="AA155" s="48">
        <f t="shared" si="54"/>
        <v>742.93949324937341</v>
      </c>
      <c r="AB155" s="48">
        <f t="shared" si="54"/>
        <v>730.90453631264347</v>
      </c>
      <c r="AC155" s="48">
        <f t="shared" si="54"/>
        <v>718.86957937591353</v>
      </c>
      <c r="AD155" s="48">
        <f t="shared" si="54"/>
        <v>706.83462243918359</v>
      </c>
      <c r="AE155" s="48">
        <f t="shared" si="54"/>
        <v>694.79966550245365</v>
      </c>
      <c r="AF155" s="48">
        <f t="shared" si="54"/>
        <v>682.76470856572371</v>
      </c>
      <c r="AG155" s="48">
        <f t="shared" si="54"/>
        <v>670.72975162899377</v>
      </c>
      <c r="AH155" s="48">
        <f t="shared" si="54"/>
        <v>658.69479469226383</v>
      </c>
      <c r="AI155" s="48">
        <f t="shared" si="54"/>
        <v>646.65983775553389</v>
      </c>
      <c r="AJ155" s="48">
        <f t="shared" si="54"/>
        <v>634.62488081880394</v>
      </c>
      <c r="AK155" s="48">
        <f t="shared" si="54"/>
        <v>622.589923882074</v>
      </c>
      <c r="AL155" s="48">
        <f t="shared" si="54"/>
        <v>610.55496694534406</v>
      </c>
      <c r="AM155" s="48">
        <f t="shared" si="54"/>
        <v>598.52001000861412</v>
      </c>
      <c r="AN155" s="48">
        <f t="shared" si="54"/>
        <v>586.48505307188418</v>
      </c>
      <c r="AO155" s="48">
        <f t="shared" si="54"/>
        <v>574.45009613515424</v>
      </c>
      <c r="AP155" s="48">
        <f t="shared" si="54"/>
        <v>562.4151391984243</v>
      </c>
      <c r="AQ155" s="48">
        <f t="shared" si="54"/>
        <v>550.38018226169538</v>
      </c>
      <c r="AV155" s="63"/>
      <c r="AW155" s="63"/>
      <c r="AX155" s="63"/>
      <c r="AY155" s="63"/>
      <c r="BB155" s="63"/>
    </row>
    <row r="156" spans="1:91" s="63" customFormat="1" ht="14.25" hidden="1" customHeight="1" thickTop="1" thickBot="1" x14ac:dyDescent="0.2">
      <c r="A156" s="3"/>
      <c r="B156" s="3"/>
      <c r="C156" s="3"/>
      <c r="D156" s="3"/>
      <c r="E156" s="3"/>
      <c r="F156" s="3"/>
      <c r="G156" s="7"/>
      <c r="H156" s="207"/>
      <c r="I156" s="3"/>
      <c r="J156" s="156"/>
      <c r="K156" s="5" t="s">
        <v>92</v>
      </c>
      <c r="L156" s="47" t="s">
        <v>66</v>
      </c>
      <c r="M156" s="46">
        <f t="shared" ref="M156:AQ156" si="55">M$377*( M188+M285)</f>
        <v>2743.3329999999996</v>
      </c>
      <c r="N156" s="46">
        <f t="shared" si="55"/>
        <v>2650</v>
      </c>
      <c r="O156" s="46">
        <f t="shared" si="55"/>
        <v>2468.4920686351961</v>
      </c>
      <c r="P156" s="46">
        <f t="shared" si="55"/>
        <v>2286.9841372703922</v>
      </c>
      <c r="Q156" s="46">
        <f t="shared" si="55"/>
        <v>2105.4762059055884</v>
      </c>
      <c r="R156" s="46">
        <f t="shared" si="55"/>
        <v>1923.9682745407847</v>
      </c>
      <c r="S156" s="46">
        <f t="shared" si="55"/>
        <v>1742.4603431759811</v>
      </c>
      <c r="T156" s="46">
        <f t="shared" si="55"/>
        <v>1560.9524118111774</v>
      </c>
      <c r="U156" s="46">
        <f t="shared" si="55"/>
        <v>1379.4444804463737</v>
      </c>
      <c r="V156" s="46">
        <f t="shared" si="55"/>
        <v>1197.9365490815701</v>
      </c>
      <c r="W156" s="46">
        <f t="shared" si="55"/>
        <v>1016.4286177167666</v>
      </c>
      <c r="X156" s="46">
        <f t="shared" si="55"/>
        <v>1005.1611528807429</v>
      </c>
      <c r="Y156" s="46">
        <f t="shared" si="55"/>
        <v>993.89368804471917</v>
      </c>
      <c r="Z156" s="46">
        <f t="shared" si="55"/>
        <v>982.62622320869548</v>
      </c>
      <c r="AA156" s="46">
        <f t="shared" si="55"/>
        <v>971.35875837267179</v>
      </c>
      <c r="AB156" s="46">
        <f t="shared" si="55"/>
        <v>960.0912935366481</v>
      </c>
      <c r="AC156" s="46">
        <f t="shared" si="55"/>
        <v>948.8238287006244</v>
      </c>
      <c r="AD156" s="46">
        <f t="shared" si="55"/>
        <v>937.55636386460071</v>
      </c>
      <c r="AE156" s="46">
        <f t="shared" si="55"/>
        <v>926.28889902857702</v>
      </c>
      <c r="AF156" s="46">
        <f t="shared" si="55"/>
        <v>915.02143419255333</v>
      </c>
      <c r="AG156" s="46">
        <f t="shared" si="55"/>
        <v>903.75396935652964</v>
      </c>
      <c r="AH156" s="46">
        <f t="shared" si="55"/>
        <v>892.48650452050595</v>
      </c>
      <c r="AI156" s="46">
        <f t="shared" si="55"/>
        <v>881.21903968448225</v>
      </c>
      <c r="AJ156" s="46">
        <f t="shared" si="55"/>
        <v>869.95157484845856</v>
      </c>
      <c r="AK156" s="46">
        <f t="shared" si="55"/>
        <v>858.68411001243487</v>
      </c>
      <c r="AL156" s="46">
        <f t="shared" si="55"/>
        <v>847.41664517641118</v>
      </c>
      <c r="AM156" s="46">
        <f t="shared" si="55"/>
        <v>836.14918034038749</v>
      </c>
      <c r="AN156" s="46">
        <f t="shared" si="55"/>
        <v>824.8817155043638</v>
      </c>
      <c r="AO156" s="46">
        <f t="shared" si="55"/>
        <v>813.61425066834011</v>
      </c>
      <c r="AP156" s="46">
        <f t="shared" si="55"/>
        <v>802.34678583231641</v>
      </c>
      <c r="AQ156" s="46">
        <f t="shared" si="55"/>
        <v>791.07932099629318</v>
      </c>
      <c r="AR156" s="3"/>
      <c r="AS156" s="3"/>
      <c r="AT156" s="3"/>
      <c r="AU156" s="3"/>
      <c r="AV156" s="62"/>
      <c r="AW156" s="62"/>
      <c r="AX156" s="62"/>
      <c r="AY156" s="62"/>
      <c r="BB156" s="62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</row>
    <row r="157" spans="1:91" s="62" customFormat="1" ht="14.25" hidden="1" customHeight="1" thickTop="1" thickBot="1" x14ac:dyDescent="0.2">
      <c r="A157" s="3"/>
      <c r="B157" s="3"/>
      <c r="C157" s="3"/>
      <c r="D157" s="3"/>
      <c r="E157" s="3"/>
      <c r="F157" s="3"/>
      <c r="G157" s="7"/>
      <c r="H157" s="207"/>
      <c r="I157" s="3"/>
      <c r="J157" s="156"/>
      <c r="K157" s="14" t="s">
        <v>92</v>
      </c>
      <c r="L157" s="14" t="s">
        <v>62</v>
      </c>
      <c r="M157" s="45">
        <f t="shared" ref="M157:AQ157" si="56">M$378*( M189+M286)</f>
        <v>2743.3329999999996</v>
      </c>
      <c r="N157" s="45">
        <f t="shared" si="56"/>
        <v>2650</v>
      </c>
      <c r="O157" s="45">
        <f t="shared" si="56"/>
        <v>2609.4919276554911</v>
      </c>
      <c r="P157" s="45">
        <f t="shared" si="56"/>
        <v>2568.9838553109821</v>
      </c>
      <c r="Q157" s="45">
        <f t="shared" si="56"/>
        <v>2528.4757829664732</v>
      </c>
      <c r="R157" s="45">
        <f t="shared" si="56"/>
        <v>2487.9677106219642</v>
      </c>
      <c r="S157" s="45">
        <f t="shared" si="56"/>
        <v>2447.4596382774553</v>
      </c>
      <c r="T157" s="45">
        <f t="shared" si="56"/>
        <v>2406.9515659329463</v>
      </c>
      <c r="U157" s="45">
        <f t="shared" si="56"/>
        <v>2366.4434935884374</v>
      </c>
      <c r="V157" s="45">
        <f t="shared" si="56"/>
        <v>2325.9354212439284</v>
      </c>
      <c r="W157" s="45">
        <f t="shared" si="56"/>
        <v>2285.4273488994199</v>
      </c>
      <c r="X157" s="45">
        <f t="shared" si="56"/>
        <v>2221.9774123402872</v>
      </c>
      <c r="Y157" s="45">
        <f t="shared" si="56"/>
        <v>2158.5274757811544</v>
      </c>
      <c r="Z157" s="45">
        <f t="shared" si="56"/>
        <v>2095.0775392220216</v>
      </c>
      <c r="AA157" s="45">
        <f t="shared" si="56"/>
        <v>2031.6276026628889</v>
      </c>
      <c r="AB157" s="45">
        <f t="shared" si="56"/>
        <v>1968.1776661037561</v>
      </c>
      <c r="AC157" s="45">
        <f t="shared" si="56"/>
        <v>1904.7277295446233</v>
      </c>
      <c r="AD157" s="45">
        <f t="shared" si="56"/>
        <v>1841.2777929854906</v>
      </c>
      <c r="AE157" s="45">
        <f t="shared" si="56"/>
        <v>1777.8278564263578</v>
      </c>
      <c r="AF157" s="45">
        <f t="shared" si="56"/>
        <v>1714.377919867225</v>
      </c>
      <c r="AG157" s="45">
        <f t="shared" si="56"/>
        <v>1650.9279833080923</v>
      </c>
      <c r="AH157" s="45">
        <f t="shared" si="56"/>
        <v>1587.4780467489595</v>
      </c>
      <c r="AI157" s="45">
        <f t="shared" si="56"/>
        <v>1524.0281101898267</v>
      </c>
      <c r="AJ157" s="45">
        <f t="shared" si="56"/>
        <v>1460.578173630694</v>
      </c>
      <c r="AK157" s="45">
        <f t="shared" si="56"/>
        <v>1397.1282370715612</v>
      </c>
      <c r="AL157" s="45">
        <f t="shared" si="56"/>
        <v>1333.6783005124285</v>
      </c>
      <c r="AM157" s="45">
        <f t="shared" si="56"/>
        <v>1270.2283639532957</v>
      </c>
      <c r="AN157" s="45">
        <f t="shared" si="56"/>
        <v>1206.7784273941629</v>
      </c>
      <c r="AO157" s="45">
        <f t="shared" si="56"/>
        <v>1143.3284908350302</v>
      </c>
      <c r="AP157" s="45">
        <f t="shared" si="56"/>
        <v>1079.8785542758974</v>
      </c>
      <c r="AQ157" s="45">
        <f t="shared" si="56"/>
        <v>1016.4286177167666</v>
      </c>
      <c r="AR157" s="3"/>
      <c r="AS157" s="3"/>
      <c r="AT157" s="3"/>
      <c r="AU157" s="3"/>
      <c r="AV157" s="3"/>
      <c r="AW157" s="3"/>
      <c r="AX157" s="3"/>
      <c r="AY157" s="3"/>
      <c r="BB157" s="3"/>
      <c r="BC157" s="3"/>
      <c r="BD157" s="3"/>
      <c r="BE157" s="3"/>
      <c r="BF157" s="3"/>
      <c r="BG157" s="63"/>
      <c r="BH157" s="63"/>
      <c r="BI157" s="6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</row>
    <row r="158" spans="1:91" ht="14.25" hidden="1" customHeight="1" thickTop="1" thickBot="1" x14ac:dyDescent="0.2">
      <c r="G158" s="7"/>
      <c r="H158" s="207"/>
      <c r="J158" s="156"/>
      <c r="K158" s="13" t="s">
        <v>91</v>
      </c>
      <c r="L158" s="13" t="s">
        <v>67</v>
      </c>
      <c r="M158" s="48">
        <f t="shared" ref="M158:AQ158" si="57">M$376*( M190+M287)</f>
        <v>2743.3329999999996</v>
      </c>
      <c r="N158" s="48">
        <f t="shared" si="57"/>
        <v>2650</v>
      </c>
      <c r="O158" s="48">
        <f t="shared" si="57"/>
        <v>2443.4532578884769</v>
      </c>
      <c r="P158" s="48">
        <f t="shared" si="57"/>
        <v>2236.9065157769537</v>
      </c>
      <c r="Q158" s="48">
        <f t="shared" si="57"/>
        <v>2030.3597736654308</v>
      </c>
      <c r="R158" s="48">
        <f t="shared" si="57"/>
        <v>1823.8130315539079</v>
      </c>
      <c r="S158" s="48">
        <f t="shared" si="57"/>
        <v>1617.266289442385</v>
      </c>
      <c r="T158" s="48">
        <f t="shared" si="57"/>
        <v>1410.719547330862</v>
      </c>
      <c r="U158" s="48">
        <f t="shared" si="57"/>
        <v>1204.1728052193391</v>
      </c>
      <c r="V158" s="48">
        <f t="shared" si="57"/>
        <v>997.62606310781609</v>
      </c>
      <c r="W158" s="48">
        <f t="shared" si="57"/>
        <v>791.07932099629318</v>
      </c>
      <c r="X158" s="48">
        <f t="shared" si="57"/>
        <v>779.04436405956324</v>
      </c>
      <c r="Y158" s="48">
        <f t="shared" si="57"/>
        <v>767.0094071228333</v>
      </c>
      <c r="Z158" s="48">
        <f t="shared" si="57"/>
        <v>754.97445018610335</v>
      </c>
      <c r="AA158" s="48">
        <f t="shared" si="57"/>
        <v>742.93949324937341</v>
      </c>
      <c r="AB158" s="48">
        <f t="shared" si="57"/>
        <v>730.90453631264347</v>
      </c>
      <c r="AC158" s="48">
        <f t="shared" si="57"/>
        <v>718.86957937591353</v>
      </c>
      <c r="AD158" s="48">
        <f t="shared" si="57"/>
        <v>706.83462243918359</v>
      </c>
      <c r="AE158" s="48">
        <f t="shared" si="57"/>
        <v>694.79966550245365</v>
      </c>
      <c r="AF158" s="48">
        <f t="shared" si="57"/>
        <v>682.76470856572371</v>
      </c>
      <c r="AG158" s="48">
        <f t="shared" si="57"/>
        <v>670.72975162899377</v>
      </c>
      <c r="AH158" s="48">
        <f t="shared" si="57"/>
        <v>658.69479469226383</v>
      </c>
      <c r="AI158" s="48">
        <f t="shared" si="57"/>
        <v>646.65983775553389</v>
      </c>
      <c r="AJ158" s="48">
        <f t="shared" si="57"/>
        <v>634.62488081880394</v>
      </c>
      <c r="AK158" s="48">
        <f t="shared" si="57"/>
        <v>622.589923882074</v>
      </c>
      <c r="AL158" s="48">
        <f t="shared" si="57"/>
        <v>610.55496694534406</v>
      </c>
      <c r="AM158" s="48">
        <f t="shared" si="57"/>
        <v>598.52001000861412</v>
      </c>
      <c r="AN158" s="48">
        <f t="shared" si="57"/>
        <v>586.48505307188418</v>
      </c>
      <c r="AO158" s="48">
        <f t="shared" si="57"/>
        <v>574.45009613515424</v>
      </c>
      <c r="AP158" s="48">
        <f t="shared" si="57"/>
        <v>562.4151391984243</v>
      </c>
      <c r="AQ158" s="48">
        <f t="shared" si="57"/>
        <v>550.38018226169538</v>
      </c>
      <c r="AV158" s="63"/>
      <c r="AW158" s="63"/>
      <c r="AX158" s="63"/>
      <c r="AY158" s="63"/>
      <c r="BB158" s="63"/>
    </row>
    <row r="159" spans="1:91" s="63" customFormat="1" ht="14.25" hidden="1" customHeight="1" thickTop="1" thickBot="1" x14ac:dyDescent="0.2">
      <c r="A159" s="3"/>
      <c r="B159" s="3"/>
      <c r="C159" s="3"/>
      <c r="D159" s="3"/>
      <c r="E159" s="3"/>
      <c r="F159" s="3"/>
      <c r="G159" s="7"/>
      <c r="H159" s="207"/>
      <c r="I159" s="3"/>
      <c r="J159" s="156"/>
      <c r="K159" s="5" t="s">
        <v>91</v>
      </c>
      <c r="L159" s="47" t="s">
        <v>66</v>
      </c>
      <c r="M159" s="46">
        <f t="shared" ref="M159:AQ159" si="58">M$377*( M191+M288)</f>
        <v>2743.3329999999996</v>
      </c>
      <c r="N159" s="46">
        <f t="shared" si="58"/>
        <v>2650</v>
      </c>
      <c r="O159" s="46">
        <f t="shared" si="58"/>
        <v>2468.4920686351961</v>
      </c>
      <c r="P159" s="46">
        <f t="shared" si="58"/>
        <v>2286.9841372703922</v>
      </c>
      <c r="Q159" s="46">
        <f t="shared" si="58"/>
        <v>2105.4762059055884</v>
      </c>
      <c r="R159" s="46">
        <f t="shared" si="58"/>
        <v>1923.9682745407847</v>
      </c>
      <c r="S159" s="46">
        <f t="shared" si="58"/>
        <v>1742.4603431759811</v>
      </c>
      <c r="T159" s="46">
        <f t="shared" si="58"/>
        <v>1560.9524118111774</v>
      </c>
      <c r="U159" s="46">
        <f t="shared" si="58"/>
        <v>1379.4444804463737</v>
      </c>
      <c r="V159" s="46">
        <f t="shared" si="58"/>
        <v>1197.9365490815701</v>
      </c>
      <c r="W159" s="46">
        <f t="shared" si="58"/>
        <v>1016.4286177167666</v>
      </c>
      <c r="X159" s="46">
        <f t="shared" si="58"/>
        <v>1005.1611528807429</v>
      </c>
      <c r="Y159" s="46">
        <f t="shared" si="58"/>
        <v>993.89368804471917</v>
      </c>
      <c r="Z159" s="46">
        <f t="shared" si="58"/>
        <v>982.62622320869548</v>
      </c>
      <c r="AA159" s="46">
        <f t="shared" si="58"/>
        <v>971.35875837267179</v>
      </c>
      <c r="AB159" s="46">
        <f t="shared" si="58"/>
        <v>960.0912935366481</v>
      </c>
      <c r="AC159" s="46">
        <f t="shared" si="58"/>
        <v>948.8238287006244</v>
      </c>
      <c r="AD159" s="46">
        <f t="shared" si="58"/>
        <v>937.55636386460071</v>
      </c>
      <c r="AE159" s="46">
        <f t="shared" si="58"/>
        <v>926.28889902857702</v>
      </c>
      <c r="AF159" s="46">
        <f t="shared" si="58"/>
        <v>915.02143419255333</v>
      </c>
      <c r="AG159" s="46">
        <f t="shared" si="58"/>
        <v>903.75396935652964</v>
      </c>
      <c r="AH159" s="46">
        <f t="shared" si="58"/>
        <v>892.48650452050595</v>
      </c>
      <c r="AI159" s="46">
        <f t="shared" si="58"/>
        <v>881.21903968448225</v>
      </c>
      <c r="AJ159" s="46">
        <f t="shared" si="58"/>
        <v>869.95157484845856</v>
      </c>
      <c r="AK159" s="46">
        <f t="shared" si="58"/>
        <v>858.68411001243487</v>
      </c>
      <c r="AL159" s="46">
        <f t="shared" si="58"/>
        <v>847.41664517641118</v>
      </c>
      <c r="AM159" s="46">
        <f t="shared" si="58"/>
        <v>836.14918034038749</v>
      </c>
      <c r="AN159" s="46">
        <f t="shared" si="58"/>
        <v>824.8817155043638</v>
      </c>
      <c r="AO159" s="46">
        <f t="shared" si="58"/>
        <v>813.61425066834011</v>
      </c>
      <c r="AP159" s="46">
        <f t="shared" si="58"/>
        <v>802.34678583231641</v>
      </c>
      <c r="AQ159" s="46">
        <f t="shared" si="58"/>
        <v>791.07932099629318</v>
      </c>
      <c r="AR159" s="3"/>
      <c r="AS159" s="3"/>
      <c r="AT159" s="3"/>
      <c r="AU159" s="3"/>
      <c r="AV159" s="62"/>
      <c r="AW159" s="62"/>
      <c r="AX159" s="62"/>
      <c r="AY159" s="62"/>
      <c r="BB159" s="62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</row>
    <row r="160" spans="1:91" s="62" customFormat="1" ht="14.25" hidden="1" customHeight="1" thickTop="1" thickBot="1" x14ac:dyDescent="0.2">
      <c r="A160" s="3"/>
      <c r="B160" s="3"/>
      <c r="C160" s="3"/>
      <c r="D160" s="3"/>
      <c r="E160" s="3"/>
      <c r="F160" s="3"/>
      <c r="G160" s="7"/>
      <c r="H160" s="207"/>
      <c r="I160" s="3"/>
      <c r="J160" s="156"/>
      <c r="K160" s="14" t="s">
        <v>91</v>
      </c>
      <c r="L160" s="14" t="s">
        <v>62</v>
      </c>
      <c r="M160" s="45">
        <f t="shared" ref="M160:AQ160" si="59">M$378*( M192+M289)</f>
        <v>2743.3329999999996</v>
      </c>
      <c r="N160" s="45">
        <f t="shared" si="59"/>
        <v>2650</v>
      </c>
      <c r="O160" s="45">
        <f t="shared" si="59"/>
        <v>2609.4919276554911</v>
      </c>
      <c r="P160" s="45">
        <f t="shared" si="59"/>
        <v>2568.9838553109821</v>
      </c>
      <c r="Q160" s="45">
        <f t="shared" si="59"/>
        <v>2528.4757829664732</v>
      </c>
      <c r="R160" s="45">
        <f t="shared" si="59"/>
        <v>2487.9677106219642</v>
      </c>
      <c r="S160" s="45">
        <f t="shared" si="59"/>
        <v>2447.4596382774553</v>
      </c>
      <c r="T160" s="45">
        <f t="shared" si="59"/>
        <v>2406.9515659329463</v>
      </c>
      <c r="U160" s="45">
        <f t="shared" si="59"/>
        <v>2366.4434935884374</v>
      </c>
      <c r="V160" s="45">
        <f t="shared" si="59"/>
        <v>2325.9354212439284</v>
      </c>
      <c r="W160" s="45">
        <f t="shared" si="59"/>
        <v>2285.4273488994199</v>
      </c>
      <c r="X160" s="45">
        <f t="shared" si="59"/>
        <v>2221.9774123402872</v>
      </c>
      <c r="Y160" s="45">
        <f t="shared" si="59"/>
        <v>2158.5274757811544</v>
      </c>
      <c r="Z160" s="45">
        <f t="shared" si="59"/>
        <v>2095.0775392220216</v>
      </c>
      <c r="AA160" s="45">
        <f t="shared" si="59"/>
        <v>2031.6276026628889</v>
      </c>
      <c r="AB160" s="45">
        <f t="shared" si="59"/>
        <v>1968.1776661037561</v>
      </c>
      <c r="AC160" s="45">
        <f t="shared" si="59"/>
        <v>1904.7277295446233</v>
      </c>
      <c r="AD160" s="45">
        <f t="shared" si="59"/>
        <v>1841.2777929854906</v>
      </c>
      <c r="AE160" s="45">
        <f t="shared" si="59"/>
        <v>1777.8278564263578</v>
      </c>
      <c r="AF160" s="45">
        <f t="shared" si="59"/>
        <v>1714.377919867225</v>
      </c>
      <c r="AG160" s="45">
        <f t="shared" si="59"/>
        <v>1650.9279833080923</v>
      </c>
      <c r="AH160" s="45">
        <f t="shared" si="59"/>
        <v>1587.4780467489595</v>
      </c>
      <c r="AI160" s="45">
        <f t="shared" si="59"/>
        <v>1524.0281101898267</v>
      </c>
      <c r="AJ160" s="45">
        <f t="shared" si="59"/>
        <v>1460.578173630694</v>
      </c>
      <c r="AK160" s="45">
        <f t="shared" si="59"/>
        <v>1397.1282370715612</v>
      </c>
      <c r="AL160" s="45">
        <f t="shared" si="59"/>
        <v>1333.6783005124285</v>
      </c>
      <c r="AM160" s="45">
        <f t="shared" si="59"/>
        <v>1270.2283639532957</v>
      </c>
      <c r="AN160" s="45">
        <f t="shared" si="59"/>
        <v>1206.7784273941629</v>
      </c>
      <c r="AO160" s="45">
        <f t="shared" si="59"/>
        <v>1143.3284908350302</v>
      </c>
      <c r="AP160" s="45">
        <f t="shared" si="59"/>
        <v>1079.8785542758974</v>
      </c>
      <c r="AQ160" s="45">
        <f t="shared" si="59"/>
        <v>1016.4286177167666</v>
      </c>
      <c r="AR160" s="3"/>
      <c r="AS160" s="3"/>
      <c r="AT160" s="3"/>
      <c r="AU160" s="3"/>
      <c r="AV160" s="3"/>
      <c r="AW160" s="3"/>
      <c r="AX160" s="3"/>
      <c r="AY160" s="3"/>
      <c r="BB160" s="3"/>
      <c r="BC160" s="3"/>
      <c r="BD160" s="3"/>
      <c r="BE160" s="3"/>
      <c r="BF160" s="3"/>
      <c r="BG160" s="63"/>
      <c r="BH160" s="63"/>
      <c r="BI160" s="6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</row>
    <row r="161" spans="1:91" ht="14.25" hidden="1" customHeight="1" thickTop="1" thickBot="1" x14ac:dyDescent="0.2">
      <c r="G161" s="7"/>
      <c r="H161" s="207"/>
      <c r="J161" s="156"/>
      <c r="K161" s="13" t="s">
        <v>90</v>
      </c>
      <c r="L161" s="13" t="s">
        <v>67</v>
      </c>
      <c r="M161" s="48">
        <f t="shared" ref="M161:AQ161" si="60">M$376*( M193+M290)</f>
        <v>2743.3329999999996</v>
      </c>
      <c r="N161" s="48">
        <f t="shared" si="60"/>
        <v>2650</v>
      </c>
      <c r="O161" s="48">
        <f t="shared" si="60"/>
        <v>2443.4532578884769</v>
      </c>
      <c r="P161" s="48">
        <f t="shared" si="60"/>
        <v>2236.9065157769537</v>
      </c>
      <c r="Q161" s="48">
        <f t="shared" si="60"/>
        <v>2030.3597736654308</v>
      </c>
      <c r="R161" s="48">
        <f t="shared" si="60"/>
        <v>1823.8130315539079</v>
      </c>
      <c r="S161" s="48">
        <f t="shared" si="60"/>
        <v>1617.266289442385</v>
      </c>
      <c r="T161" s="48">
        <f t="shared" si="60"/>
        <v>1410.719547330862</v>
      </c>
      <c r="U161" s="48">
        <f t="shared" si="60"/>
        <v>1204.1728052193391</v>
      </c>
      <c r="V161" s="48">
        <f t="shared" si="60"/>
        <v>997.62606310781609</v>
      </c>
      <c r="W161" s="48">
        <f t="shared" si="60"/>
        <v>791.07932099629318</v>
      </c>
      <c r="X161" s="48">
        <f t="shared" si="60"/>
        <v>779.04436405956324</v>
      </c>
      <c r="Y161" s="48">
        <f t="shared" si="60"/>
        <v>767.0094071228333</v>
      </c>
      <c r="Z161" s="48">
        <f t="shared" si="60"/>
        <v>754.97445018610335</v>
      </c>
      <c r="AA161" s="48">
        <f t="shared" si="60"/>
        <v>742.93949324937341</v>
      </c>
      <c r="AB161" s="48">
        <f t="shared" si="60"/>
        <v>730.90453631264347</v>
      </c>
      <c r="AC161" s="48">
        <f t="shared" si="60"/>
        <v>718.86957937591353</v>
      </c>
      <c r="AD161" s="48">
        <f t="shared" si="60"/>
        <v>706.83462243918359</v>
      </c>
      <c r="AE161" s="48">
        <f t="shared" si="60"/>
        <v>694.79966550245365</v>
      </c>
      <c r="AF161" s="48">
        <f t="shared" si="60"/>
        <v>682.76470856572371</v>
      </c>
      <c r="AG161" s="48">
        <f t="shared" si="60"/>
        <v>670.72975162899377</v>
      </c>
      <c r="AH161" s="48">
        <f t="shared" si="60"/>
        <v>658.69479469226383</v>
      </c>
      <c r="AI161" s="48">
        <f t="shared" si="60"/>
        <v>646.65983775553389</v>
      </c>
      <c r="AJ161" s="48">
        <f t="shared" si="60"/>
        <v>634.62488081880394</v>
      </c>
      <c r="AK161" s="48">
        <f t="shared" si="60"/>
        <v>622.589923882074</v>
      </c>
      <c r="AL161" s="48">
        <f t="shared" si="60"/>
        <v>610.55496694534406</v>
      </c>
      <c r="AM161" s="48">
        <f t="shared" si="60"/>
        <v>598.52001000861412</v>
      </c>
      <c r="AN161" s="48">
        <f t="shared" si="60"/>
        <v>586.48505307188418</v>
      </c>
      <c r="AO161" s="48">
        <f t="shared" si="60"/>
        <v>574.45009613515424</v>
      </c>
      <c r="AP161" s="48">
        <f t="shared" si="60"/>
        <v>562.4151391984243</v>
      </c>
      <c r="AQ161" s="48">
        <f t="shared" si="60"/>
        <v>550.38018226169538</v>
      </c>
      <c r="AV161" s="63"/>
      <c r="AW161" s="63"/>
      <c r="AX161" s="63"/>
      <c r="AY161" s="63"/>
      <c r="BB161" s="63"/>
    </row>
    <row r="162" spans="1:91" s="63" customFormat="1" ht="14.25" hidden="1" customHeight="1" thickTop="1" thickBot="1" x14ac:dyDescent="0.2">
      <c r="A162" s="3"/>
      <c r="B162" s="3"/>
      <c r="C162" s="3"/>
      <c r="D162" s="3"/>
      <c r="E162" s="3"/>
      <c r="F162" s="3"/>
      <c r="G162" s="7"/>
      <c r="H162" s="207"/>
      <c r="I162" s="3"/>
      <c r="J162" s="156"/>
      <c r="K162" s="5" t="s">
        <v>90</v>
      </c>
      <c r="L162" s="47" t="s">
        <v>66</v>
      </c>
      <c r="M162" s="46">
        <f t="shared" ref="M162:AQ162" si="61">M$377*( M194+M291)</f>
        <v>2743.3329999999996</v>
      </c>
      <c r="N162" s="46">
        <f t="shared" si="61"/>
        <v>2650</v>
      </c>
      <c r="O162" s="46">
        <f t="shared" si="61"/>
        <v>2468.4920686351961</v>
      </c>
      <c r="P162" s="46">
        <f t="shared" si="61"/>
        <v>2286.9841372703922</v>
      </c>
      <c r="Q162" s="46">
        <f t="shared" si="61"/>
        <v>2105.4762059055884</v>
      </c>
      <c r="R162" s="46">
        <f t="shared" si="61"/>
        <v>1923.9682745407847</v>
      </c>
      <c r="S162" s="46">
        <f t="shared" si="61"/>
        <v>1742.4603431759811</v>
      </c>
      <c r="T162" s="46">
        <f t="shared" si="61"/>
        <v>1560.9524118111774</v>
      </c>
      <c r="U162" s="46">
        <f t="shared" si="61"/>
        <v>1379.4444804463737</v>
      </c>
      <c r="V162" s="46">
        <f t="shared" si="61"/>
        <v>1197.9365490815701</v>
      </c>
      <c r="W162" s="46">
        <f t="shared" si="61"/>
        <v>1016.4286177167666</v>
      </c>
      <c r="X162" s="46">
        <f t="shared" si="61"/>
        <v>1005.1611528807429</v>
      </c>
      <c r="Y162" s="46">
        <f t="shared" si="61"/>
        <v>993.89368804471917</v>
      </c>
      <c r="Z162" s="46">
        <f t="shared" si="61"/>
        <v>982.62622320869548</v>
      </c>
      <c r="AA162" s="46">
        <f t="shared" si="61"/>
        <v>971.35875837267179</v>
      </c>
      <c r="AB162" s="46">
        <f t="shared" si="61"/>
        <v>960.0912935366481</v>
      </c>
      <c r="AC162" s="46">
        <f t="shared" si="61"/>
        <v>948.8238287006244</v>
      </c>
      <c r="AD162" s="46">
        <f t="shared" si="61"/>
        <v>937.55636386460071</v>
      </c>
      <c r="AE162" s="46">
        <f t="shared" si="61"/>
        <v>926.28889902857702</v>
      </c>
      <c r="AF162" s="46">
        <f t="shared" si="61"/>
        <v>915.02143419255333</v>
      </c>
      <c r="AG162" s="46">
        <f t="shared" si="61"/>
        <v>903.75396935652964</v>
      </c>
      <c r="AH162" s="46">
        <f t="shared" si="61"/>
        <v>892.48650452050595</v>
      </c>
      <c r="AI162" s="46">
        <f t="shared" si="61"/>
        <v>881.21903968448225</v>
      </c>
      <c r="AJ162" s="46">
        <f t="shared" si="61"/>
        <v>869.95157484845856</v>
      </c>
      <c r="AK162" s="46">
        <f t="shared" si="61"/>
        <v>858.68411001243487</v>
      </c>
      <c r="AL162" s="46">
        <f t="shared" si="61"/>
        <v>847.41664517641118</v>
      </c>
      <c r="AM162" s="46">
        <f t="shared" si="61"/>
        <v>836.14918034038749</v>
      </c>
      <c r="AN162" s="46">
        <f t="shared" si="61"/>
        <v>824.8817155043638</v>
      </c>
      <c r="AO162" s="46">
        <f t="shared" si="61"/>
        <v>813.61425066834011</v>
      </c>
      <c r="AP162" s="46">
        <f t="shared" si="61"/>
        <v>802.34678583231641</v>
      </c>
      <c r="AQ162" s="46">
        <f t="shared" si="61"/>
        <v>791.07932099629318</v>
      </c>
      <c r="AR162" s="3"/>
      <c r="AS162" s="3"/>
      <c r="AT162" s="3"/>
      <c r="AU162" s="3"/>
      <c r="AV162" s="62"/>
      <c r="AW162" s="62"/>
      <c r="AX162" s="62"/>
      <c r="AY162" s="62"/>
      <c r="BB162" s="62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</row>
    <row r="163" spans="1:91" s="62" customFormat="1" ht="14.25" hidden="1" customHeight="1" thickTop="1" thickBot="1" x14ac:dyDescent="0.2">
      <c r="A163" s="3"/>
      <c r="B163" s="3"/>
      <c r="C163" s="3"/>
      <c r="D163" s="3"/>
      <c r="E163" s="3"/>
      <c r="F163" s="3"/>
      <c r="G163" s="7"/>
      <c r="H163" s="207"/>
      <c r="I163" s="3"/>
      <c r="J163" s="156"/>
      <c r="K163" s="14" t="s">
        <v>90</v>
      </c>
      <c r="L163" s="14" t="s">
        <v>62</v>
      </c>
      <c r="M163" s="45">
        <f t="shared" ref="M163:AQ163" si="62">M$378*( M195+M292)</f>
        <v>2743.3329999999996</v>
      </c>
      <c r="N163" s="45">
        <f t="shared" si="62"/>
        <v>2650</v>
      </c>
      <c r="O163" s="45">
        <f t="shared" si="62"/>
        <v>2609.4919276554911</v>
      </c>
      <c r="P163" s="45">
        <f t="shared" si="62"/>
        <v>2568.9838553109821</v>
      </c>
      <c r="Q163" s="45">
        <f t="shared" si="62"/>
        <v>2528.4757829664732</v>
      </c>
      <c r="R163" s="45">
        <f t="shared" si="62"/>
        <v>2487.9677106219642</v>
      </c>
      <c r="S163" s="45">
        <f t="shared" si="62"/>
        <v>2447.4596382774553</v>
      </c>
      <c r="T163" s="45">
        <f t="shared" si="62"/>
        <v>2406.9515659329463</v>
      </c>
      <c r="U163" s="45">
        <f t="shared" si="62"/>
        <v>2366.4434935884374</v>
      </c>
      <c r="V163" s="45">
        <f t="shared" si="62"/>
        <v>2325.9354212439284</v>
      </c>
      <c r="W163" s="45">
        <f t="shared" si="62"/>
        <v>2285.4273488994199</v>
      </c>
      <c r="X163" s="45">
        <f t="shared" si="62"/>
        <v>2221.9774123402872</v>
      </c>
      <c r="Y163" s="45">
        <f t="shared" si="62"/>
        <v>2158.5274757811544</v>
      </c>
      <c r="Z163" s="45">
        <f t="shared" si="62"/>
        <v>2095.0775392220216</v>
      </c>
      <c r="AA163" s="45">
        <f t="shared" si="62"/>
        <v>2031.6276026628889</v>
      </c>
      <c r="AB163" s="45">
        <f t="shared" si="62"/>
        <v>1968.1776661037561</v>
      </c>
      <c r="AC163" s="45">
        <f t="shared" si="62"/>
        <v>1904.7277295446233</v>
      </c>
      <c r="AD163" s="45">
        <f t="shared" si="62"/>
        <v>1841.2777929854906</v>
      </c>
      <c r="AE163" s="45">
        <f t="shared" si="62"/>
        <v>1777.8278564263578</v>
      </c>
      <c r="AF163" s="45">
        <f t="shared" si="62"/>
        <v>1714.377919867225</v>
      </c>
      <c r="AG163" s="45">
        <f t="shared" si="62"/>
        <v>1650.9279833080923</v>
      </c>
      <c r="AH163" s="45">
        <f t="shared" si="62"/>
        <v>1587.4780467489595</v>
      </c>
      <c r="AI163" s="45">
        <f t="shared" si="62"/>
        <v>1524.0281101898267</v>
      </c>
      <c r="AJ163" s="45">
        <f t="shared" si="62"/>
        <v>1460.578173630694</v>
      </c>
      <c r="AK163" s="45">
        <f t="shared" si="62"/>
        <v>1397.1282370715612</v>
      </c>
      <c r="AL163" s="45">
        <f t="shared" si="62"/>
        <v>1333.6783005124285</v>
      </c>
      <c r="AM163" s="45">
        <f t="shared" si="62"/>
        <v>1270.2283639532957</v>
      </c>
      <c r="AN163" s="45">
        <f t="shared" si="62"/>
        <v>1206.7784273941629</v>
      </c>
      <c r="AO163" s="45">
        <f t="shared" si="62"/>
        <v>1143.3284908350302</v>
      </c>
      <c r="AP163" s="45">
        <f t="shared" si="62"/>
        <v>1079.8785542758974</v>
      </c>
      <c r="AQ163" s="45">
        <f t="shared" si="62"/>
        <v>1016.4286177167666</v>
      </c>
      <c r="AR163" s="3"/>
      <c r="AS163" s="3"/>
      <c r="AT163" s="3"/>
      <c r="AU163" s="3"/>
      <c r="AV163" s="3"/>
      <c r="AW163" s="3"/>
      <c r="AX163" s="3"/>
      <c r="AY163" s="3"/>
      <c r="BB163" s="3"/>
      <c r="BC163" s="3"/>
      <c r="BD163" s="3"/>
      <c r="BE163" s="3"/>
      <c r="BF163" s="3"/>
      <c r="BG163" s="63"/>
      <c r="BH163" s="63"/>
      <c r="BI163" s="6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</row>
    <row r="164" spans="1:91" ht="14.25" hidden="1" customHeight="1" thickTop="1" x14ac:dyDescent="0.15">
      <c r="G164" s="7"/>
      <c r="H164" s="207"/>
      <c r="J164" s="156"/>
      <c r="K164" s="13" t="s">
        <v>89</v>
      </c>
      <c r="L164" s="13" t="s">
        <v>67</v>
      </c>
      <c r="M164" s="48">
        <f t="shared" ref="M164:AQ164" si="63">M$376*( M196+M293)</f>
        <v>2743.3329999999996</v>
      </c>
      <c r="N164" s="48">
        <f t="shared" si="63"/>
        <v>2650</v>
      </c>
      <c r="O164" s="48">
        <f t="shared" si="63"/>
        <v>2443.4532578884769</v>
      </c>
      <c r="P164" s="48">
        <f t="shared" si="63"/>
        <v>2236.9065157769537</v>
      </c>
      <c r="Q164" s="48">
        <f t="shared" si="63"/>
        <v>2030.3597736654308</v>
      </c>
      <c r="R164" s="48">
        <f t="shared" si="63"/>
        <v>1823.8130315539079</v>
      </c>
      <c r="S164" s="48">
        <f t="shared" si="63"/>
        <v>1617.266289442385</v>
      </c>
      <c r="T164" s="48">
        <f t="shared" si="63"/>
        <v>1410.719547330862</v>
      </c>
      <c r="U164" s="48">
        <f t="shared" si="63"/>
        <v>1204.1728052193391</v>
      </c>
      <c r="V164" s="48">
        <f t="shared" si="63"/>
        <v>997.62606310781609</v>
      </c>
      <c r="W164" s="48">
        <f t="shared" si="63"/>
        <v>791.07932099629318</v>
      </c>
      <c r="X164" s="48">
        <f t="shared" si="63"/>
        <v>779.04436405956324</v>
      </c>
      <c r="Y164" s="48">
        <f t="shared" si="63"/>
        <v>767.0094071228333</v>
      </c>
      <c r="Z164" s="48">
        <f t="shared" si="63"/>
        <v>754.97445018610335</v>
      </c>
      <c r="AA164" s="48">
        <f t="shared" si="63"/>
        <v>742.93949324937341</v>
      </c>
      <c r="AB164" s="48">
        <f t="shared" si="63"/>
        <v>730.90453631264347</v>
      </c>
      <c r="AC164" s="48">
        <f t="shared" si="63"/>
        <v>718.86957937591353</v>
      </c>
      <c r="AD164" s="48">
        <f t="shared" si="63"/>
        <v>706.83462243918359</v>
      </c>
      <c r="AE164" s="48">
        <f t="shared" si="63"/>
        <v>694.79966550245365</v>
      </c>
      <c r="AF164" s="48">
        <f t="shared" si="63"/>
        <v>682.76470856572371</v>
      </c>
      <c r="AG164" s="48">
        <f t="shared" si="63"/>
        <v>670.72975162899377</v>
      </c>
      <c r="AH164" s="48">
        <f t="shared" si="63"/>
        <v>658.69479469226383</v>
      </c>
      <c r="AI164" s="48">
        <f t="shared" si="63"/>
        <v>646.65983775553389</v>
      </c>
      <c r="AJ164" s="48">
        <f t="shared" si="63"/>
        <v>634.62488081880394</v>
      </c>
      <c r="AK164" s="48">
        <f t="shared" si="63"/>
        <v>622.589923882074</v>
      </c>
      <c r="AL164" s="48">
        <f t="shared" si="63"/>
        <v>610.55496694534406</v>
      </c>
      <c r="AM164" s="48">
        <f t="shared" si="63"/>
        <v>598.52001000861412</v>
      </c>
      <c r="AN164" s="48">
        <f t="shared" si="63"/>
        <v>586.48505307188418</v>
      </c>
      <c r="AO164" s="48">
        <f t="shared" si="63"/>
        <v>574.45009613515424</v>
      </c>
      <c r="AP164" s="48">
        <f t="shared" si="63"/>
        <v>562.4151391984243</v>
      </c>
      <c r="AQ164" s="48">
        <f t="shared" si="63"/>
        <v>550.38018226169538</v>
      </c>
    </row>
    <row r="165" spans="1:91" ht="14.25" hidden="1" customHeight="1" x14ac:dyDescent="0.15">
      <c r="G165" s="7"/>
      <c r="H165" s="207"/>
      <c r="J165" s="156"/>
      <c r="K165" s="5" t="s">
        <v>89</v>
      </c>
      <c r="L165" s="47" t="s">
        <v>66</v>
      </c>
      <c r="M165" s="46">
        <f t="shared" ref="M165:AQ165" si="64">M$377*( M197+M294)</f>
        <v>2743.3329999999996</v>
      </c>
      <c r="N165" s="46">
        <f t="shared" si="64"/>
        <v>2650</v>
      </c>
      <c r="O165" s="46">
        <f t="shared" si="64"/>
        <v>2468.4920686351961</v>
      </c>
      <c r="P165" s="46">
        <f t="shared" si="64"/>
        <v>2286.9841372703922</v>
      </c>
      <c r="Q165" s="46">
        <f t="shared" si="64"/>
        <v>2105.4762059055884</v>
      </c>
      <c r="R165" s="46">
        <f t="shared" si="64"/>
        <v>1923.9682745407847</v>
      </c>
      <c r="S165" s="46">
        <f t="shared" si="64"/>
        <v>1742.4603431759811</v>
      </c>
      <c r="T165" s="46">
        <f t="shared" si="64"/>
        <v>1560.9524118111774</v>
      </c>
      <c r="U165" s="46">
        <f t="shared" si="64"/>
        <v>1379.4444804463737</v>
      </c>
      <c r="V165" s="46">
        <f t="shared" si="64"/>
        <v>1197.9365490815701</v>
      </c>
      <c r="W165" s="46">
        <f t="shared" si="64"/>
        <v>1016.4286177167666</v>
      </c>
      <c r="X165" s="46">
        <f t="shared" si="64"/>
        <v>1005.1611528807429</v>
      </c>
      <c r="Y165" s="46">
        <f t="shared" si="64"/>
        <v>993.89368804471917</v>
      </c>
      <c r="Z165" s="46">
        <f t="shared" si="64"/>
        <v>982.62622320869548</v>
      </c>
      <c r="AA165" s="46">
        <f t="shared" si="64"/>
        <v>971.35875837267179</v>
      </c>
      <c r="AB165" s="46">
        <f t="shared" si="64"/>
        <v>960.0912935366481</v>
      </c>
      <c r="AC165" s="46">
        <f t="shared" si="64"/>
        <v>948.8238287006244</v>
      </c>
      <c r="AD165" s="46">
        <f t="shared" si="64"/>
        <v>937.55636386460071</v>
      </c>
      <c r="AE165" s="46">
        <f t="shared" si="64"/>
        <v>926.28889902857702</v>
      </c>
      <c r="AF165" s="46">
        <f t="shared" si="64"/>
        <v>915.02143419255333</v>
      </c>
      <c r="AG165" s="46">
        <f t="shared" si="64"/>
        <v>903.75396935652964</v>
      </c>
      <c r="AH165" s="46">
        <f t="shared" si="64"/>
        <v>892.48650452050595</v>
      </c>
      <c r="AI165" s="46">
        <f t="shared" si="64"/>
        <v>881.21903968448225</v>
      </c>
      <c r="AJ165" s="46">
        <f t="shared" si="64"/>
        <v>869.95157484845856</v>
      </c>
      <c r="AK165" s="46">
        <f t="shared" si="64"/>
        <v>858.68411001243487</v>
      </c>
      <c r="AL165" s="46">
        <f t="shared" si="64"/>
        <v>847.41664517641118</v>
      </c>
      <c r="AM165" s="46">
        <f t="shared" si="64"/>
        <v>836.14918034038749</v>
      </c>
      <c r="AN165" s="46">
        <f t="shared" si="64"/>
        <v>824.8817155043638</v>
      </c>
      <c r="AO165" s="46">
        <f t="shared" si="64"/>
        <v>813.61425066834011</v>
      </c>
      <c r="AP165" s="46">
        <f t="shared" si="64"/>
        <v>802.34678583231641</v>
      </c>
      <c r="AQ165" s="46">
        <f t="shared" si="64"/>
        <v>791.07932099629318</v>
      </c>
    </row>
    <row r="166" spans="1:91" ht="14.25" hidden="1" customHeight="1" thickBot="1" x14ac:dyDescent="0.2">
      <c r="G166" s="7"/>
      <c r="H166" s="207"/>
      <c r="J166" s="156"/>
      <c r="K166" s="14" t="s">
        <v>89</v>
      </c>
      <c r="L166" s="14" t="s">
        <v>62</v>
      </c>
      <c r="M166" s="45">
        <f t="shared" ref="M166:AQ166" si="65">M$378*( M198+M295)</f>
        <v>2743.3329999999996</v>
      </c>
      <c r="N166" s="45">
        <f t="shared" si="65"/>
        <v>2650</v>
      </c>
      <c r="O166" s="45">
        <f t="shared" si="65"/>
        <v>2609.4919276554911</v>
      </c>
      <c r="P166" s="45">
        <f t="shared" si="65"/>
        <v>2568.9838553109821</v>
      </c>
      <c r="Q166" s="45">
        <f t="shared" si="65"/>
        <v>2528.4757829664732</v>
      </c>
      <c r="R166" s="45">
        <f t="shared" si="65"/>
        <v>2487.9677106219642</v>
      </c>
      <c r="S166" s="45">
        <f t="shared" si="65"/>
        <v>2447.4596382774553</v>
      </c>
      <c r="T166" s="45">
        <f t="shared" si="65"/>
        <v>2406.9515659329463</v>
      </c>
      <c r="U166" s="45">
        <f t="shared" si="65"/>
        <v>2366.4434935884374</v>
      </c>
      <c r="V166" s="45">
        <f t="shared" si="65"/>
        <v>2325.9354212439284</v>
      </c>
      <c r="W166" s="45">
        <f t="shared" si="65"/>
        <v>2285.4273488994199</v>
      </c>
      <c r="X166" s="45">
        <f t="shared" si="65"/>
        <v>2221.9774123402872</v>
      </c>
      <c r="Y166" s="45">
        <f t="shared" si="65"/>
        <v>2158.5274757811544</v>
      </c>
      <c r="Z166" s="45">
        <f t="shared" si="65"/>
        <v>2095.0775392220216</v>
      </c>
      <c r="AA166" s="45">
        <f t="shared" si="65"/>
        <v>2031.6276026628889</v>
      </c>
      <c r="AB166" s="45">
        <f t="shared" si="65"/>
        <v>1968.1776661037561</v>
      </c>
      <c r="AC166" s="45">
        <f t="shared" si="65"/>
        <v>1904.7277295446233</v>
      </c>
      <c r="AD166" s="45">
        <f t="shared" si="65"/>
        <v>1841.2777929854906</v>
      </c>
      <c r="AE166" s="45">
        <f t="shared" si="65"/>
        <v>1777.8278564263578</v>
      </c>
      <c r="AF166" s="45">
        <f t="shared" si="65"/>
        <v>1714.377919867225</v>
      </c>
      <c r="AG166" s="45">
        <f t="shared" si="65"/>
        <v>1650.9279833080923</v>
      </c>
      <c r="AH166" s="45">
        <f t="shared" si="65"/>
        <v>1587.4780467489595</v>
      </c>
      <c r="AI166" s="45">
        <f t="shared" si="65"/>
        <v>1524.0281101898267</v>
      </c>
      <c r="AJ166" s="45">
        <f t="shared" si="65"/>
        <v>1460.578173630694</v>
      </c>
      <c r="AK166" s="45">
        <f t="shared" si="65"/>
        <v>1397.1282370715612</v>
      </c>
      <c r="AL166" s="45">
        <f t="shared" si="65"/>
        <v>1333.6783005124285</v>
      </c>
      <c r="AM166" s="45">
        <f t="shared" si="65"/>
        <v>1270.2283639532957</v>
      </c>
      <c r="AN166" s="45">
        <f t="shared" si="65"/>
        <v>1206.7784273941629</v>
      </c>
      <c r="AO166" s="45">
        <f t="shared" si="65"/>
        <v>1143.3284908350302</v>
      </c>
      <c r="AP166" s="45">
        <f t="shared" si="65"/>
        <v>1079.8785542758974</v>
      </c>
      <c r="AQ166" s="45">
        <f t="shared" si="65"/>
        <v>1016.4286177167666</v>
      </c>
    </row>
    <row r="167" spans="1:91" ht="14.25" hidden="1" customHeight="1" thickTop="1" x14ac:dyDescent="0.15">
      <c r="G167" s="7"/>
      <c r="H167" s="207"/>
      <c r="J167" s="156"/>
      <c r="K167" s="13" t="s">
        <v>88</v>
      </c>
      <c r="L167" s="13" t="s">
        <v>67</v>
      </c>
      <c r="M167" s="48">
        <f t="shared" ref="M167:AQ167" si="66">M$376*( M199+M296)</f>
        <v>2743.3329999999996</v>
      </c>
      <c r="N167" s="48">
        <f t="shared" si="66"/>
        <v>2650</v>
      </c>
      <c r="O167" s="48">
        <f t="shared" si="66"/>
        <v>2443.4532578884769</v>
      </c>
      <c r="P167" s="48">
        <f t="shared" si="66"/>
        <v>2236.9065157769537</v>
      </c>
      <c r="Q167" s="48">
        <f t="shared" si="66"/>
        <v>2030.3597736654308</v>
      </c>
      <c r="R167" s="48">
        <f t="shared" si="66"/>
        <v>1823.8130315539079</v>
      </c>
      <c r="S167" s="48">
        <f t="shared" si="66"/>
        <v>1617.266289442385</v>
      </c>
      <c r="T167" s="48">
        <f t="shared" si="66"/>
        <v>1410.719547330862</v>
      </c>
      <c r="U167" s="48">
        <f t="shared" si="66"/>
        <v>1204.1728052193391</v>
      </c>
      <c r="V167" s="48">
        <f t="shared" si="66"/>
        <v>997.62606310781609</v>
      </c>
      <c r="W167" s="48">
        <f t="shared" si="66"/>
        <v>791.07932099629318</v>
      </c>
      <c r="X167" s="48">
        <f t="shared" si="66"/>
        <v>779.04436405956324</v>
      </c>
      <c r="Y167" s="48">
        <f t="shared" si="66"/>
        <v>767.0094071228333</v>
      </c>
      <c r="Z167" s="48">
        <f t="shared" si="66"/>
        <v>754.97445018610335</v>
      </c>
      <c r="AA167" s="48">
        <f t="shared" si="66"/>
        <v>742.93949324937341</v>
      </c>
      <c r="AB167" s="48">
        <f t="shared" si="66"/>
        <v>730.90453631264347</v>
      </c>
      <c r="AC167" s="48">
        <f t="shared" si="66"/>
        <v>718.86957937591353</v>
      </c>
      <c r="AD167" s="48">
        <f t="shared" si="66"/>
        <v>706.83462243918359</v>
      </c>
      <c r="AE167" s="48">
        <f t="shared" si="66"/>
        <v>694.79966550245365</v>
      </c>
      <c r="AF167" s="48">
        <f t="shared" si="66"/>
        <v>682.76470856572371</v>
      </c>
      <c r="AG167" s="48">
        <f t="shared" si="66"/>
        <v>670.72975162899377</v>
      </c>
      <c r="AH167" s="48">
        <f t="shared" si="66"/>
        <v>658.69479469226383</v>
      </c>
      <c r="AI167" s="48">
        <f t="shared" si="66"/>
        <v>646.65983775553389</v>
      </c>
      <c r="AJ167" s="48">
        <f t="shared" si="66"/>
        <v>634.62488081880394</v>
      </c>
      <c r="AK167" s="48">
        <f t="shared" si="66"/>
        <v>622.589923882074</v>
      </c>
      <c r="AL167" s="48">
        <f t="shared" si="66"/>
        <v>610.55496694534406</v>
      </c>
      <c r="AM167" s="48">
        <f t="shared" si="66"/>
        <v>598.52001000861412</v>
      </c>
      <c r="AN167" s="48">
        <f t="shared" si="66"/>
        <v>586.48505307188418</v>
      </c>
      <c r="AO167" s="48">
        <f t="shared" si="66"/>
        <v>574.45009613515424</v>
      </c>
      <c r="AP167" s="48">
        <f t="shared" si="66"/>
        <v>562.4151391984243</v>
      </c>
      <c r="AQ167" s="48">
        <f t="shared" si="66"/>
        <v>550.38018226169538</v>
      </c>
    </row>
    <row r="168" spans="1:91" ht="14.25" hidden="1" customHeight="1" x14ac:dyDescent="0.15">
      <c r="G168" s="7"/>
      <c r="H168" s="207"/>
      <c r="J168" s="156"/>
      <c r="K168" s="5" t="s">
        <v>88</v>
      </c>
      <c r="L168" s="47" t="s">
        <v>66</v>
      </c>
      <c r="M168" s="46">
        <f t="shared" ref="M168:AQ168" si="67">M$377*( M200+M297)</f>
        <v>2743.3329999999996</v>
      </c>
      <c r="N168" s="46">
        <f t="shared" si="67"/>
        <v>2650</v>
      </c>
      <c r="O168" s="46">
        <f t="shared" si="67"/>
        <v>2468.4920686351961</v>
      </c>
      <c r="P168" s="46">
        <f t="shared" si="67"/>
        <v>2286.9841372703922</v>
      </c>
      <c r="Q168" s="46">
        <f t="shared" si="67"/>
        <v>2105.4762059055884</v>
      </c>
      <c r="R168" s="46">
        <f t="shared" si="67"/>
        <v>1923.9682745407847</v>
      </c>
      <c r="S168" s="46">
        <f t="shared" si="67"/>
        <v>1742.4603431759811</v>
      </c>
      <c r="T168" s="46">
        <f t="shared" si="67"/>
        <v>1560.9524118111774</v>
      </c>
      <c r="U168" s="46">
        <f t="shared" si="67"/>
        <v>1379.4444804463737</v>
      </c>
      <c r="V168" s="46">
        <f t="shared" si="67"/>
        <v>1197.9365490815701</v>
      </c>
      <c r="W168" s="46">
        <f t="shared" si="67"/>
        <v>1016.4286177167666</v>
      </c>
      <c r="X168" s="46">
        <f t="shared" si="67"/>
        <v>1005.1611528807429</v>
      </c>
      <c r="Y168" s="46">
        <f t="shared" si="67"/>
        <v>993.89368804471917</v>
      </c>
      <c r="Z168" s="46">
        <f t="shared" si="67"/>
        <v>982.62622320869548</v>
      </c>
      <c r="AA168" s="46">
        <f t="shared" si="67"/>
        <v>971.35875837267179</v>
      </c>
      <c r="AB168" s="46">
        <f t="shared" si="67"/>
        <v>960.0912935366481</v>
      </c>
      <c r="AC168" s="46">
        <f t="shared" si="67"/>
        <v>948.8238287006244</v>
      </c>
      <c r="AD168" s="46">
        <f t="shared" si="67"/>
        <v>937.55636386460071</v>
      </c>
      <c r="AE168" s="46">
        <f t="shared" si="67"/>
        <v>926.28889902857702</v>
      </c>
      <c r="AF168" s="46">
        <f t="shared" si="67"/>
        <v>915.02143419255333</v>
      </c>
      <c r="AG168" s="46">
        <f t="shared" si="67"/>
        <v>903.75396935652964</v>
      </c>
      <c r="AH168" s="46">
        <f t="shared" si="67"/>
        <v>892.48650452050595</v>
      </c>
      <c r="AI168" s="46">
        <f t="shared" si="67"/>
        <v>881.21903968448225</v>
      </c>
      <c r="AJ168" s="46">
        <f t="shared" si="67"/>
        <v>869.95157484845856</v>
      </c>
      <c r="AK168" s="46">
        <f t="shared" si="67"/>
        <v>858.68411001243487</v>
      </c>
      <c r="AL168" s="46">
        <f t="shared" si="67"/>
        <v>847.41664517641118</v>
      </c>
      <c r="AM168" s="46">
        <f t="shared" si="67"/>
        <v>836.14918034038749</v>
      </c>
      <c r="AN168" s="46">
        <f t="shared" si="67"/>
        <v>824.8817155043638</v>
      </c>
      <c r="AO168" s="46">
        <f t="shared" si="67"/>
        <v>813.61425066834011</v>
      </c>
      <c r="AP168" s="46">
        <f t="shared" si="67"/>
        <v>802.34678583231641</v>
      </c>
      <c r="AQ168" s="46">
        <f t="shared" si="67"/>
        <v>791.07932099629318</v>
      </c>
    </row>
    <row r="169" spans="1:91" ht="14.25" hidden="1" customHeight="1" thickBot="1" x14ac:dyDescent="0.2">
      <c r="G169" s="7"/>
      <c r="H169" s="207"/>
      <c r="J169" s="156"/>
      <c r="K169" s="14" t="s">
        <v>88</v>
      </c>
      <c r="L169" s="14" t="s">
        <v>62</v>
      </c>
      <c r="M169" s="45">
        <f t="shared" ref="M169:AQ169" si="68">M$378*( M201+M298)</f>
        <v>2743.3329999999996</v>
      </c>
      <c r="N169" s="45">
        <f t="shared" si="68"/>
        <v>2650</v>
      </c>
      <c r="O169" s="45">
        <f t="shared" si="68"/>
        <v>2609.4919276554911</v>
      </c>
      <c r="P169" s="45">
        <f t="shared" si="68"/>
        <v>2568.9838553109821</v>
      </c>
      <c r="Q169" s="45">
        <f t="shared" si="68"/>
        <v>2528.4757829664732</v>
      </c>
      <c r="R169" s="45">
        <f t="shared" si="68"/>
        <v>2487.9677106219642</v>
      </c>
      <c r="S169" s="45">
        <f t="shared" si="68"/>
        <v>2447.4596382774553</v>
      </c>
      <c r="T169" s="45">
        <f t="shared" si="68"/>
        <v>2406.9515659329463</v>
      </c>
      <c r="U169" s="45">
        <f t="shared" si="68"/>
        <v>2366.4434935884374</v>
      </c>
      <c r="V169" s="45">
        <f t="shared" si="68"/>
        <v>2325.9354212439284</v>
      </c>
      <c r="W169" s="45">
        <f t="shared" si="68"/>
        <v>2285.4273488994199</v>
      </c>
      <c r="X169" s="45">
        <f t="shared" si="68"/>
        <v>2221.9774123402872</v>
      </c>
      <c r="Y169" s="45">
        <f t="shared" si="68"/>
        <v>2158.5274757811544</v>
      </c>
      <c r="Z169" s="45">
        <f t="shared" si="68"/>
        <v>2095.0775392220216</v>
      </c>
      <c r="AA169" s="45">
        <f t="shared" si="68"/>
        <v>2031.6276026628889</v>
      </c>
      <c r="AB169" s="45">
        <f t="shared" si="68"/>
        <v>1968.1776661037561</v>
      </c>
      <c r="AC169" s="45">
        <f t="shared" si="68"/>
        <v>1904.7277295446233</v>
      </c>
      <c r="AD169" s="45">
        <f t="shared" si="68"/>
        <v>1841.2777929854906</v>
      </c>
      <c r="AE169" s="45">
        <f t="shared" si="68"/>
        <v>1777.8278564263578</v>
      </c>
      <c r="AF169" s="45">
        <f t="shared" si="68"/>
        <v>1714.377919867225</v>
      </c>
      <c r="AG169" s="45">
        <f t="shared" si="68"/>
        <v>1650.9279833080923</v>
      </c>
      <c r="AH169" s="45">
        <f t="shared" si="68"/>
        <v>1587.4780467489595</v>
      </c>
      <c r="AI169" s="45">
        <f t="shared" si="68"/>
        <v>1524.0281101898267</v>
      </c>
      <c r="AJ169" s="45">
        <f t="shared" si="68"/>
        <v>1460.578173630694</v>
      </c>
      <c r="AK169" s="45">
        <f t="shared" si="68"/>
        <v>1397.1282370715612</v>
      </c>
      <c r="AL169" s="45">
        <f t="shared" si="68"/>
        <v>1333.6783005124285</v>
      </c>
      <c r="AM169" s="45">
        <f t="shared" si="68"/>
        <v>1270.2283639532957</v>
      </c>
      <c r="AN169" s="45">
        <f t="shared" si="68"/>
        <v>1206.7784273941629</v>
      </c>
      <c r="AO169" s="45">
        <f t="shared" si="68"/>
        <v>1143.3284908350302</v>
      </c>
      <c r="AP169" s="45">
        <f t="shared" si="68"/>
        <v>1079.8785542758974</v>
      </c>
      <c r="AQ169" s="45">
        <f t="shared" si="68"/>
        <v>1016.4286177167666</v>
      </c>
      <c r="AT169" s="63"/>
      <c r="AU169" s="63"/>
    </row>
    <row r="170" spans="1:91" ht="14.25" hidden="1" customHeight="1" thickTop="1" thickBot="1" x14ac:dyDescent="0.2">
      <c r="G170" s="7"/>
      <c r="H170" s="207"/>
      <c r="J170" s="156"/>
      <c r="K170" s="13" t="s">
        <v>87</v>
      </c>
      <c r="L170" s="13" t="s">
        <v>67</v>
      </c>
      <c r="M170" s="48">
        <f t="shared" ref="M170:AQ170" si="69">M$376*( M202+M299)</f>
        <v>2743.3329999999996</v>
      </c>
      <c r="N170" s="48">
        <f t="shared" si="69"/>
        <v>2650</v>
      </c>
      <c r="O170" s="48">
        <f t="shared" si="69"/>
        <v>2443.4532578884769</v>
      </c>
      <c r="P170" s="48">
        <f t="shared" si="69"/>
        <v>2236.9065157769537</v>
      </c>
      <c r="Q170" s="48">
        <f t="shared" si="69"/>
        <v>2030.3597736654308</v>
      </c>
      <c r="R170" s="48">
        <f t="shared" si="69"/>
        <v>1823.8130315539079</v>
      </c>
      <c r="S170" s="48">
        <f t="shared" si="69"/>
        <v>1617.266289442385</v>
      </c>
      <c r="T170" s="48">
        <f t="shared" si="69"/>
        <v>1410.719547330862</v>
      </c>
      <c r="U170" s="48">
        <f t="shared" si="69"/>
        <v>1204.1728052193391</v>
      </c>
      <c r="V170" s="48">
        <f t="shared" si="69"/>
        <v>997.62606310781609</v>
      </c>
      <c r="W170" s="48">
        <f t="shared" si="69"/>
        <v>791.07932099629318</v>
      </c>
      <c r="X170" s="48">
        <f t="shared" si="69"/>
        <v>779.04436405956324</v>
      </c>
      <c r="Y170" s="48">
        <f t="shared" si="69"/>
        <v>767.0094071228333</v>
      </c>
      <c r="Z170" s="48">
        <f t="shared" si="69"/>
        <v>754.97445018610335</v>
      </c>
      <c r="AA170" s="48">
        <f t="shared" si="69"/>
        <v>742.93949324937341</v>
      </c>
      <c r="AB170" s="48">
        <f t="shared" si="69"/>
        <v>730.90453631264347</v>
      </c>
      <c r="AC170" s="48">
        <f t="shared" si="69"/>
        <v>718.86957937591353</v>
      </c>
      <c r="AD170" s="48">
        <f t="shared" si="69"/>
        <v>706.83462243918359</v>
      </c>
      <c r="AE170" s="48">
        <f t="shared" si="69"/>
        <v>694.79966550245365</v>
      </c>
      <c r="AF170" s="48">
        <f t="shared" si="69"/>
        <v>682.76470856572371</v>
      </c>
      <c r="AG170" s="48">
        <f t="shared" si="69"/>
        <v>670.72975162899377</v>
      </c>
      <c r="AH170" s="48">
        <f t="shared" si="69"/>
        <v>658.69479469226383</v>
      </c>
      <c r="AI170" s="48">
        <f t="shared" si="69"/>
        <v>646.65983775553389</v>
      </c>
      <c r="AJ170" s="48">
        <f t="shared" si="69"/>
        <v>634.62488081880394</v>
      </c>
      <c r="AK170" s="48">
        <f t="shared" si="69"/>
        <v>622.589923882074</v>
      </c>
      <c r="AL170" s="48">
        <f t="shared" si="69"/>
        <v>610.55496694534406</v>
      </c>
      <c r="AM170" s="48">
        <f t="shared" si="69"/>
        <v>598.52001000861412</v>
      </c>
      <c r="AN170" s="48">
        <f t="shared" si="69"/>
        <v>586.48505307188418</v>
      </c>
      <c r="AO170" s="48">
        <f t="shared" si="69"/>
        <v>574.45009613515424</v>
      </c>
      <c r="AP170" s="48">
        <f t="shared" si="69"/>
        <v>562.4151391984243</v>
      </c>
      <c r="AQ170" s="48">
        <f t="shared" si="69"/>
        <v>550.38018226169538</v>
      </c>
      <c r="AV170" s="63"/>
      <c r="AW170" s="63"/>
      <c r="AX170" s="63"/>
      <c r="AY170" s="63"/>
      <c r="BB170" s="63"/>
    </row>
    <row r="171" spans="1:91" s="63" customFormat="1" ht="14.25" hidden="1" customHeight="1" thickTop="1" thickBot="1" x14ac:dyDescent="0.2">
      <c r="A171" s="3"/>
      <c r="B171" s="3"/>
      <c r="C171" s="3"/>
      <c r="D171" s="3"/>
      <c r="E171" s="3"/>
      <c r="F171" s="3"/>
      <c r="G171" s="7"/>
      <c r="H171" s="207"/>
      <c r="I171" s="3"/>
      <c r="J171" s="156"/>
      <c r="K171" s="5" t="s">
        <v>87</v>
      </c>
      <c r="L171" s="47" t="s">
        <v>66</v>
      </c>
      <c r="M171" s="46">
        <f t="shared" ref="M171:AQ171" si="70">M$377*( M203+M300)</f>
        <v>2743.3329999999996</v>
      </c>
      <c r="N171" s="46">
        <f t="shared" si="70"/>
        <v>2650</v>
      </c>
      <c r="O171" s="46">
        <f t="shared" si="70"/>
        <v>2468.4920686351961</v>
      </c>
      <c r="P171" s="46">
        <f t="shared" si="70"/>
        <v>2286.9841372703922</v>
      </c>
      <c r="Q171" s="46">
        <f t="shared" si="70"/>
        <v>2105.4762059055884</v>
      </c>
      <c r="R171" s="46">
        <f t="shared" si="70"/>
        <v>1923.9682745407847</v>
      </c>
      <c r="S171" s="46">
        <f t="shared" si="70"/>
        <v>1742.4603431759811</v>
      </c>
      <c r="T171" s="46">
        <f t="shared" si="70"/>
        <v>1560.9524118111774</v>
      </c>
      <c r="U171" s="46">
        <f t="shared" si="70"/>
        <v>1379.4444804463737</v>
      </c>
      <c r="V171" s="46">
        <f t="shared" si="70"/>
        <v>1197.9365490815701</v>
      </c>
      <c r="W171" s="46">
        <f t="shared" si="70"/>
        <v>1016.4286177167666</v>
      </c>
      <c r="X171" s="46">
        <f t="shared" si="70"/>
        <v>1005.1611528807429</v>
      </c>
      <c r="Y171" s="46">
        <f t="shared" si="70"/>
        <v>993.89368804471917</v>
      </c>
      <c r="Z171" s="46">
        <f t="shared" si="70"/>
        <v>982.62622320869548</v>
      </c>
      <c r="AA171" s="46">
        <f t="shared" si="70"/>
        <v>971.35875837267179</v>
      </c>
      <c r="AB171" s="46">
        <f t="shared" si="70"/>
        <v>960.0912935366481</v>
      </c>
      <c r="AC171" s="46">
        <f t="shared" si="70"/>
        <v>948.8238287006244</v>
      </c>
      <c r="AD171" s="46">
        <f t="shared" si="70"/>
        <v>937.55636386460071</v>
      </c>
      <c r="AE171" s="46">
        <f t="shared" si="70"/>
        <v>926.28889902857702</v>
      </c>
      <c r="AF171" s="46">
        <f t="shared" si="70"/>
        <v>915.02143419255333</v>
      </c>
      <c r="AG171" s="46">
        <f t="shared" si="70"/>
        <v>903.75396935652964</v>
      </c>
      <c r="AH171" s="46">
        <f t="shared" si="70"/>
        <v>892.48650452050595</v>
      </c>
      <c r="AI171" s="46">
        <f t="shared" si="70"/>
        <v>881.21903968448225</v>
      </c>
      <c r="AJ171" s="46">
        <f t="shared" si="70"/>
        <v>869.95157484845856</v>
      </c>
      <c r="AK171" s="46">
        <f t="shared" si="70"/>
        <v>858.68411001243487</v>
      </c>
      <c r="AL171" s="46">
        <f t="shared" si="70"/>
        <v>847.41664517641118</v>
      </c>
      <c r="AM171" s="46">
        <f t="shared" si="70"/>
        <v>836.14918034038749</v>
      </c>
      <c r="AN171" s="46">
        <f t="shared" si="70"/>
        <v>824.8817155043638</v>
      </c>
      <c r="AO171" s="46">
        <f t="shared" si="70"/>
        <v>813.61425066834011</v>
      </c>
      <c r="AP171" s="46">
        <f t="shared" si="70"/>
        <v>802.34678583231641</v>
      </c>
      <c r="AQ171" s="46">
        <f t="shared" si="70"/>
        <v>791.07932099629318</v>
      </c>
      <c r="AR171" s="3"/>
      <c r="AS171" s="3"/>
      <c r="AT171" s="3"/>
      <c r="AU171" s="3"/>
      <c r="AV171" s="62"/>
      <c r="AW171" s="62"/>
      <c r="AX171" s="62"/>
      <c r="AY171" s="62"/>
      <c r="BB171" s="62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</row>
    <row r="172" spans="1:91" s="62" customFormat="1" ht="14.25" hidden="1" customHeight="1" thickTop="1" thickBot="1" x14ac:dyDescent="0.2">
      <c r="A172" s="3"/>
      <c r="B172" s="3"/>
      <c r="C172" s="3"/>
      <c r="D172" s="3"/>
      <c r="E172" s="3"/>
      <c r="F172" s="3"/>
      <c r="G172" s="7"/>
      <c r="H172" s="207"/>
      <c r="I172" s="3"/>
      <c r="J172" s="156"/>
      <c r="K172" s="14" t="s">
        <v>87</v>
      </c>
      <c r="L172" s="14" t="s">
        <v>62</v>
      </c>
      <c r="M172" s="45">
        <f t="shared" ref="M172:AQ172" si="71">M$378*( M204+M301)</f>
        <v>2743.3329999999996</v>
      </c>
      <c r="N172" s="45">
        <f t="shared" si="71"/>
        <v>2650</v>
      </c>
      <c r="O172" s="45">
        <f t="shared" si="71"/>
        <v>2609.4919276554911</v>
      </c>
      <c r="P172" s="45">
        <f t="shared" si="71"/>
        <v>2568.9838553109821</v>
      </c>
      <c r="Q172" s="45">
        <f t="shared" si="71"/>
        <v>2528.4757829664732</v>
      </c>
      <c r="R172" s="45">
        <f t="shared" si="71"/>
        <v>2487.9677106219642</v>
      </c>
      <c r="S172" s="45">
        <f t="shared" si="71"/>
        <v>2447.4596382774553</v>
      </c>
      <c r="T172" s="45">
        <f t="shared" si="71"/>
        <v>2406.9515659329463</v>
      </c>
      <c r="U172" s="45">
        <f t="shared" si="71"/>
        <v>2366.4434935884374</v>
      </c>
      <c r="V172" s="45">
        <f t="shared" si="71"/>
        <v>2325.9354212439284</v>
      </c>
      <c r="W172" s="45">
        <f t="shared" si="71"/>
        <v>2285.4273488994199</v>
      </c>
      <c r="X172" s="45">
        <f t="shared" si="71"/>
        <v>2221.9774123402872</v>
      </c>
      <c r="Y172" s="45">
        <f t="shared" si="71"/>
        <v>2158.5274757811544</v>
      </c>
      <c r="Z172" s="45">
        <f t="shared" si="71"/>
        <v>2095.0775392220216</v>
      </c>
      <c r="AA172" s="45">
        <f t="shared" si="71"/>
        <v>2031.6276026628889</v>
      </c>
      <c r="AB172" s="45">
        <f t="shared" si="71"/>
        <v>1968.1776661037561</v>
      </c>
      <c r="AC172" s="45">
        <f t="shared" si="71"/>
        <v>1904.7277295446233</v>
      </c>
      <c r="AD172" s="45">
        <f t="shared" si="71"/>
        <v>1841.2777929854906</v>
      </c>
      <c r="AE172" s="45">
        <f t="shared" si="71"/>
        <v>1777.8278564263578</v>
      </c>
      <c r="AF172" s="45">
        <f t="shared" si="71"/>
        <v>1714.377919867225</v>
      </c>
      <c r="AG172" s="45">
        <f t="shared" si="71"/>
        <v>1650.9279833080923</v>
      </c>
      <c r="AH172" s="45">
        <f t="shared" si="71"/>
        <v>1587.4780467489595</v>
      </c>
      <c r="AI172" s="45">
        <f t="shared" si="71"/>
        <v>1524.0281101898267</v>
      </c>
      <c r="AJ172" s="45">
        <f t="shared" si="71"/>
        <v>1460.578173630694</v>
      </c>
      <c r="AK172" s="45">
        <f t="shared" si="71"/>
        <v>1397.1282370715612</v>
      </c>
      <c r="AL172" s="45">
        <f t="shared" si="71"/>
        <v>1333.6783005124285</v>
      </c>
      <c r="AM172" s="45">
        <f t="shared" si="71"/>
        <v>1270.2283639532957</v>
      </c>
      <c r="AN172" s="45">
        <f t="shared" si="71"/>
        <v>1206.7784273941629</v>
      </c>
      <c r="AO172" s="45">
        <f t="shared" si="71"/>
        <v>1143.3284908350302</v>
      </c>
      <c r="AP172" s="45">
        <f t="shared" si="71"/>
        <v>1079.8785542758974</v>
      </c>
      <c r="AQ172" s="45">
        <f t="shared" si="71"/>
        <v>1016.4286177167666</v>
      </c>
      <c r="AR172" s="3"/>
      <c r="AS172" s="3"/>
      <c r="AT172" s="3"/>
      <c r="AU172" s="3"/>
      <c r="AV172" s="3"/>
      <c r="AW172" s="3"/>
      <c r="AX172" s="3"/>
      <c r="AY172" s="3"/>
      <c r="BB172" s="3"/>
      <c r="BC172" s="3"/>
      <c r="BD172" s="3"/>
      <c r="BE172" s="3"/>
      <c r="BF172" s="3"/>
      <c r="BG172" s="63"/>
      <c r="BH172" s="63"/>
      <c r="BI172" s="6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</row>
    <row r="173" spans="1:91" ht="14.25" hidden="1" customHeight="1" thickTop="1" thickBot="1" x14ac:dyDescent="0.2">
      <c r="G173" s="7"/>
      <c r="H173" s="207"/>
      <c r="J173" s="156"/>
      <c r="K173" s="13" t="s">
        <v>86</v>
      </c>
      <c r="L173" s="13" t="s">
        <v>67</v>
      </c>
      <c r="M173" s="48">
        <f t="shared" ref="M173:AQ173" si="72">M$376*( M205+M302)</f>
        <v>2743.3329999999996</v>
      </c>
      <c r="N173" s="48">
        <f t="shared" si="72"/>
        <v>2650</v>
      </c>
      <c r="O173" s="48">
        <f t="shared" si="72"/>
        <v>2443.4532578884769</v>
      </c>
      <c r="P173" s="48">
        <f t="shared" si="72"/>
        <v>2236.9065157769537</v>
      </c>
      <c r="Q173" s="48">
        <f t="shared" si="72"/>
        <v>2030.3597736654308</v>
      </c>
      <c r="R173" s="48">
        <f t="shared" si="72"/>
        <v>1823.8130315539079</v>
      </c>
      <c r="S173" s="48">
        <f t="shared" si="72"/>
        <v>1617.266289442385</v>
      </c>
      <c r="T173" s="48">
        <f t="shared" si="72"/>
        <v>1410.719547330862</v>
      </c>
      <c r="U173" s="48">
        <f t="shared" si="72"/>
        <v>1204.1728052193391</v>
      </c>
      <c r="V173" s="48">
        <f t="shared" si="72"/>
        <v>997.62606310781609</v>
      </c>
      <c r="W173" s="48">
        <f t="shared" si="72"/>
        <v>791.07932099629318</v>
      </c>
      <c r="X173" s="48">
        <f t="shared" si="72"/>
        <v>779.04436405956324</v>
      </c>
      <c r="Y173" s="48">
        <f t="shared" si="72"/>
        <v>767.0094071228333</v>
      </c>
      <c r="Z173" s="48">
        <f t="shared" si="72"/>
        <v>754.97445018610335</v>
      </c>
      <c r="AA173" s="48">
        <f t="shared" si="72"/>
        <v>742.93949324937341</v>
      </c>
      <c r="AB173" s="48">
        <f t="shared" si="72"/>
        <v>730.90453631264347</v>
      </c>
      <c r="AC173" s="48">
        <f t="shared" si="72"/>
        <v>718.86957937591353</v>
      </c>
      <c r="AD173" s="48">
        <f t="shared" si="72"/>
        <v>706.83462243918359</v>
      </c>
      <c r="AE173" s="48">
        <f t="shared" si="72"/>
        <v>694.79966550245365</v>
      </c>
      <c r="AF173" s="48">
        <f t="shared" si="72"/>
        <v>682.76470856572371</v>
      </c>
      <c r="AG173" s="48">
        <f t="shared" si="72"/>
        <v>670.72975162899377</v>
      </c>
      <c r="AH173" s="48">
        <f t="shared" si="72"/>
        <v>658.69479469226383</v>
      </c>
      <c r="AI173" s="48">
        <f t="shared" si="72"/>
        <v>646.65983775553389</v>
      </c>
      <c r="AJ173" s="48">
        <f t="shared" si="72"/>
        <v>634.62488081880394</v>
      </c>
      <c r="AK173" s="48">
        <f t="shared" si="72"/>
        <v>622.589923882074</v>
      </c>
      <c r="AL173" s="48">
        <f t="shared" si="72"/>
        <v>610.55496694534406</v>
      </c>
      <c r="AM173" s="48">
        <f t="shared" si="72"/>
        <v>598.52001000861412</v>
      </c>
      <c r="AN173" s="48">
        <f t="shared" si="72"/>
        <v>586.48505307188418</v>
      </c>
      <c r="AO173" s="48">
        <f t="shared" si="72"/>
        <v>574.45009613515424</v>
      </c>
      <c r="AP173" s="48">
        <f t="shared" si="72"/>
        <v>562.4151391984243</v>
      </c>
      <c r="AQ173" s="48">
        <f t="shared" si="72"/>
        <v>550.38018226169538</v>
      </c>
      <c r="AV173" s="63"/>
      <c r="AW173" s="63"/>
      <c r="AX173" s="63"/>
      <c r="AY173" s="63"/>
      <c r="BB173" s="63"/>
    </row>
    <row r="174" spans="1:91" s="63" customFormat="1" ht="14.25" hidden="1" customHeight="1" thickTop="1" thickBot="1" x14ac:dyDescent="0.2">
      <c r="A174" s="3"/>
      <c r="B174" s="3"/>
      <c r="C174" s="3"/>
      <c r="D174" s="3"/>
      <c r="E174" s="3"/>
      <c r="F174" s="3"/>
      <c r="G174" s="7"/>
      <c r="H174" s="207"/>
      <c r="I174" s="3"/>
      <c r="J174" s="156"/>
      <c r="K174" s="5" t="s">
        <v>86</v>
      </c>
      <c r="L174" s="47" t="s">
        <v>66</v>
      </c>
      <c r="M174" s="46">
        <f t="shared" ref="M174:AQ174" si="73">M$377*( M206+M303)</f>
        <v>2743.3329999999996</v>
      </c>
      <c r="N174" s="46">
        <f t="shared" si="73"/>
        <v>2650</v>
      </c>
      <c r="O174" s="46">
        <f t="shared" si="73"/>
        <v>2468.4920686351961</v>
      </c>
      <c r="P174" s="46">
        <f t="shared" si="73"/>
        <v>2286.9841372703922</v>
      </c>
      <c r="Q174" s="46">
        <f t="shared" si="73"/>
        <v>2105.4762059055884</v>
      </c>
      <c r="R174" s="46">
        <f t="shared" si="73"/>
        <v>1923.9682745407847</v>
      </c>
      <c r="S174" s="46">
        <f t="shared" si="73"/>
        <v>1742.4603431759811</v>
      </c>
      <c r="T174" s="46">
        <f t="shared" si="73"/>
        <v>1560.9524118111774</v>
      </c>
      <c r="U174" s="46">
        <f t="shared" si="73"/>
        <v>1379.4444804463737</v>
      </c>
      <c r="V174" s="46">
        <f t="shared" si="73"/>
        <v>1197.9365490815701</v>
      </c>
      <c r="W174" s="46">
        <f t="shared" si="73"/>
        <v>1016.4286177167666</v>
      </c>
      <c r="X174" s="46">
        <f t="shared" si="73"/>
        <v>1005.1611528807429</v>
      </c>
      <c r="Y174" s="46">
        <f t="shared" si="73"/>
        <v>993.89368804471917</v>
      </c>
      <c r="Z174" s="46">
        <f t="shared" si="73"/>
        <v>982.62622320869548</v>
      </c>
      <c r="AA174" s="46">
        <f t="shared" si="73"/>
        <v>971.35875837267179</v>
      </c>
      <c r="AB174" s="46">
        <f t="shared" si="73"/>
        <v>960.0912935366481</v>
      </c>
      <c r="AC174" s="46">
        <f t="shared" si="73"/>
        <v>948.8238287006244</v>
      </c>
      <c r="AD174" s="46">
        <f t="shared" si="73"/>
        <v>937.55636386460071</v>
      </c>
      <c r="AE174" s="46">
        <f t="shared" si="73"/>
        <v>926.28889902857702</v>
      </c>
      <c r="AF174" s="46">
        <f t="shared" si="73"/>
        <v>915.02143419255333</v>
      </c>
      <c r="AG174" s="46">
        <f t="shared" si="73"/>
        <v>903.75396935652964</v>
      </c>
      <c r="AH174" s="46">
        <f t="shared" si="73"/>
        <v>892.48650452050595</v>
      </c>
      <c r="AI174" s="46">
        <f t="shared" si="73"/>
        <v>881.21903968448225</v>
      </c>
      <c r="AJ174" s="46">
        <f t="shared" si="73"/>
        <v>869.95157484845856</v>
      </c>
      <c r="AK174" s="46">
        <f t="shared" si="73"/>
        <v>858.68411001243487</v>
      </c>
      <c r="AL174" s="46">
        <f t="shared" si="73"/>
        <v>847.41664517641118</v>
      </c>
      <c r="AM174" s="46">
        <f t="shared" si="73"/>
        <v>836.14918034038749</v>
      </c>
      <c r="AN174" s="46">
        <f t="shared" si="73"/>
        <v>824.8817155043638</v>
      </c>
      <c r="AO174" s="46">
        <f t="shared" si="73"/>
        <v>813.61425066834011</v>
      </c>
      <c r="AP174" s="46">
        <f t="shared" si="73"/>
        <v>802.34678583231641</v>
      </c>
      <c r="AQ174" s="46">
        <f t="shared" si="73"/>
        <v>791.07932099629318</v>
      </c>
      <c r="AR174" s="3"/>
      <c r="AS174" s="3"/>
      <c r="AT174" s="3"/>
      <c r="AU174" s="3"/>
      <c r="AV174" s="62"/>
      <c r="AW174" s="62"/>
      <c r="AX174" s="62"/>
      <c r="AY174" s="62"/>
      <c r="BB174" s="62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</row>
    <row r="175" spans="1:91" s="62" customFormat="1" ht="14.25" hidden="1" customHeight="1" thickTop="1" thickBot="1" x14ac:dyDescent="0.2">
      <c r="A175" s="3"/>
      <c r="B175" s="3"/>
      <c r="C175" s="3"/>
      <c r="D175" s="3"/>
      <c r="E175" s="3"/>
      <c r="F175" s="3"/>
      <c r="G175" s="7"/>
      <c r="H175" s="207"/>
      <c r="I175" s="3"/>
      <c r="J175" s="156"/>
      <c r="K175" s="14" t="s">
        <v>86</v>
      </c>
      <c r="L175" s="14" t="s">
        <v>62</v>
      </c>
      <c r="M175" s="45">
        <f t="shared" ref="M175:AQ175" si="74">M$378*( M207+M304)</f>
        <v>2743.3329999999996</v>
      </c>
      <c r="N175" s="45">
        <f t="shared" si="74"/>
        <v>2650</v>
      </c>
      <c r="O175" s="45">
        <f t="shared" si="74"/>
        <v>2609.4919276554911</v>
      </c>
      <c r="P175" s="45">
        <f t="shared" si="74"/>
        <v>2568.9838553109821</v>
      </c>
      <c r="Q175" s="45">
        <f t="shared" si="74"/>
        <v>2528.4757829664732</v>
      </c>
      <c r="R175" s="45">
        <f t="shared" si="74"/>
        <v>2487.9677106219642</v>
      </c>
      <c r="S175" s="45">
        <f t="shared" si="74"/>
        <v>2447.4596382774553</v>
      </c>
      <c r="T175" s="45">
        <f t="shared" si="74"/>
        <v>2406.9515659329463</v>
      </c>
      <c r="U175" s="45">
        <f t="shared" si="74"/>
        <v>2366.4434935884374</v>
      </c>
      <c r="V175" s="45">
        <f t="shared" si="74"/>
        <v>2325.9354212439284</v>
      </c>
      <c r="W175" s="45">
        <f t="shared" si="74"/>
        <v>2285.4273488994199</v>
      </c>
      <c r="X175" s="45">
        <f t="shared" si="74"/>
        <v>2221.9774123402872</v>
      </c>
      <c r="Y175" s="45">
        <f t="shared" si="74"/>
        <v>2158.5274757811544</v>
      </c>
      <c r="Z175" s="45">
        <f t="shared" si="74"/>
        <v>2095.0775392220216</v>
      </c>
      <c r="AA175" s="45">
        <f t="shared" si="74"/>
        <v>2031.6276026628889</v>
      </c>
      <c r="AB175" s="45">
        <f t="shared" si="74"/>
        <v>1968.1776661037561</v>
      </c>
      <c r="AC175" s="45">
        <f t="shared" si="74"/>
        <v>1904.7277295446233</v>
      </c>
      <c r="AD175" s="45">
        <f t="shared" si="74"/>
        <v>1841.2777929854906</v>
      </c>
      <c r="AE175" s="45">
        <f t="shared" si="74"/>
        <v>1777.8278564263578</v>
      </c>
      <c r="AF175" s="45">
        <f t="shared" si="74"/>
        <v>1714.377919867225</v>
      </c>
      <c r="AG175" s="45">
        <f t="shared" si="74"/>
        <v>1650.9279833080923</v>
      </c>
      <c r="AH175" s="45">
        <f t="shared" si="74"/>
        <v>1587.4780467489595</v>
      </c>
      <c r="AI175" s="45">
        <f t="shared" si="74"/>
        <v>1524.0281101898267</v>
      </c>
      <c r="AJ175" s="45">
        <f t="shared" si="74"/>
        <v>1460.578173630694</v>
      </c>
      <c r="AK175" s="45">
        <f t="shared" si="74"/>
        <v>1397.1282370715612</v>
      </c>
      <c r="AL175" s="45">
        <f t="shared" si="74"/>
        <v>1333.6783005124285</v>
      </c>
      <c r="AM175" s="45">
        <f t="shared" si="74"/>
        <v>1270.2283639532957</v>
      </c>
      <c r="AN175" s="45">
        <f t="shared" si="74"/>
        <v>1206.7784273941629</v>
      </c>
      <c r="AO175" s="45">
        <f t="shared" si="74"/>
        <v>1143.3284908350302</v>
      </c>
      <c r="AP175" s="45">
        <f t="shared" si="74"/>
        <v>1079.8785542758974</v>
      </c>
      <c r="AQ175" s="45">
        <f t="shared" si="74"/>
        <v>1016.4286177167666</v>
      </c>
      <c r="AR175" s="3"/>
      <c r="AS175" s="3"/>
      <c r="AT175" s="3"/>
      <c r="AU175" s="3"/>
      <c r="AV175" s="3"/>
      <c r="AW175" s="3"/>
      <c r="AX175" s="3"/>
      <c r="AY175" s="3"/>
      <c r="BB175" s="3"/>
      <c r="BC175" s="3"/>
      <c r="BD175" s="3"/>
      <c r="BE175" s="3"/>
      <c r="BF175" s="3"/>
      <c r="BG175" s="63"/>
      <c r="BH175" s="63"/>
      <c r="BI175" s="6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</row>
    <row r="176" spans="1:91" ht="14.25" hidden="1" customHeight="1" thickTop="1" thickBot="1" x14ac:dyDescent="0.2">
      <c r="G176" s="7"/>
      <c r="H176" s="207"/>
      <c r="J176" s="156"/>
      <c r="K176" s="13" t="s">
        <v>85</v>
      </c>
      <c r="L176" s="13" t="s">
        <v>67</v>
      </c>
      <c r="M176" s="48">
        <f t="shared" ref="M176:AQ176" si="75">M$376*( M208+M305)</f>
        <v>2743.3329999999996</v>
      </c>
      <c r="N176" s="48">
        <f t="shared" si="75"/>
        <v>2650</v>
      </c>
      <c r="O176" s="48">
        <f t="shared" si="75"/>
        <v>2443.4532578884769</v>
      </c>
      <c r="P176" s="48">
        <f t="shared" si="75"/>
        <v>2236.9065157769537</v>
      </c>
      <c r="Q176" s="48">
        <f t="shared" si="75"/>
        <v>2030.3597736654308</v>
      </c>
      <c r="R176" s="48">
        <f t="shared" si="75"/>
        <v>1823.8130315539079</v>
      </c>
      <c r="S176" s="48">
        <f t="shared" si="75"/>
        <v>1617.266289442385</v>
      </c>
      <c r="T176" s="48">
        <f t="shared" si="75"/>
        <v>1410.719547330862</v>
      </c>
      <c r="U176" s="48">
        <f t="shared" si="75"/>
        <v>1204.1728052193391</v>
      </c>
      <c r="V176" s="48">
        <f t="shared" si="75"/>
        <v>997.62606310781609</v>
      </c>
      <c r="W176" s="48">
        <f t="shared" si="75"/>
        <v>791.07932099629318</v>
      </c>
      <c r="X176" s="48">
        <f t="shared" si="75"/>
        <v>779.04436405956324</v>
      </c>
      <c r="Y176" s="48">
        <f t="shared" si="75"/>
        <v>767.0094071228333</v>
      </c>
      <c r="Z176" s="48">
        <f t="shared" si="75"/>
        <v>754.97445018610335</v>
      </c>
      <c r="AA176" s="48">
        <f t="shared" si="75"/>
        <v>742.93949324937341</v>
      </c>
      <c r="AB176" s="48">
        <f t="shared" si="75"/>
        <v>730.90453631264347</v>
      </c>
      <c r="AC176" s="48">
        <f t="shared" si="75"/>
        <v>718.86957937591353</v>
      </c>
      <c r="AD176" s="48">
        <f t="shared" si="75"/>
        <v>706.83462243918359</v>
      </c>
      <c r="AE176" s="48">
        <f t="shared" si="75"/>
        <v>694.79966550245365</v>
      </c>
      <c r="AF176" s="48">
        <f t="shared" si="75"/>
        <v>682.76470856572371</v>
      </c>
      <c r="AG176" s="48">
        <f t="shared" si="75"/>
        <v>670.72975162899377</v>
      </c>
      <c r="AH176" s="48">
        <f t="shared" si="75"/>
        <v>658.69479469226383</v>
      </c>
      <c r="AI176" s="48">
        <f t="shared" si="75"/>
        <v>646.65983775553389</v>
      </c>
      <c r="AJ176" s="48">
        <f t="shared" si="75"/>
        <v>634.62488081880394</v>
      </c>
      <c r="AK176" s="48">
        <f t="shared" si="75"/>
        <v>622.589923882074</v>
      </c>
      <c r="AL176" s="48">
        <f t="shared" si="75"/>
        <v>610.55496694534406</v>
      </c>
      <c r="AM176" s="48">
        <f t="shared" si="75"/>
        <v>598.52001000861412</v>
      </c>
      <c r="AN176" s="48">
        <f t="shared" si="75"/>
        <v>586.48505307188418</v>
      </c>
      <c r="AO176" s="48">
        <f t="shared" si="75"/>
        <v>574.45009613515424</v>
      </c>
      <c r="AP176" s="48">
        <f t="shared" si="75"/>
        <v>562.4151391984243</v>
      </c>
      <c r="AQ176" s="48">
        <f t="shared" si="75"/>
        <v>550.38018226169538</v>
      </c>
      <c r="AV176" s="63"/>
      <c r="AW176" s="63"/>
      <c r="AX176" s="63"/>
      <c r="AY176" s="63"/>
      <c r="BB176" s="63"/>
    </row>
    <row r="177" spans="1:91" s="63" customFormat="1" ht="14.25" hidden="1" customHeight="1" thickTop="1" thickBot="1" x14ac:dyDescent="0.2">
      <c r="A177" s="3"/>
      <c r="B177" s="3"/>
      <c r="C177" s="3"/>
      <c r="D177" s="3"/>
      <c r="E177" s="3"/>
      <c r="F177" s="3"/>
      <c r="G177" s="7"/>
      <c r="H177" s="207"/>
      <c r="I177" s="3"/>
      <c r="J177" s="156"/>
      <c r="K177" s="5" t="s">
        <v>85</v>
      </c>
      <c r="L177" s="47" t="s">
        <v>66</v>
      </c>
      <c r="M177" s="46">
        <f t="shared" ref="M177:AQ177" si="76">M$377*( M209+M306)</f>
        <v>2743.3329999999996</v>
      </c>
      <c r="N177" s="46">
        <f t="shared" si="76"/>
        <v>2650</v>
      </c>
      <c r="O177" s="46">
        <f t="shared" si="76"/>
        <v>2468.4920686351961</v>
      </c>
      <c r="P177" s="46">
        <f t="shared" si="76"/>
        <v>2286.9841372703922</v>
      </c>
      <c r="Q177" s="46">
        <f t="shared" si="76"/>
        <v>2105.4762059055884</v>
      </c>
      <c r="R177" s="46">
        <f t="shared" si="76"/>
        <v>1923.9682745407847</v>
      </c>
      <c r="S177" s="46">
        <f t="shared" si="76"/>
        <v>1742.4603431759811</v>
      </c>
      <c r="T177" s="46">
        <f t="shared" si="76"/>
        <v>1560.9524118111774</v>
      </c>
      <c r="U177" s="46">
        <f t="shared" si="76"/>
        <v>1379.4444804463737</v>
      </c>
      <c r="V177" s="46">
        <f t="shared" si="76"/>
        <v>1197.9365490815701</v>
      </c>
      <c r="W177" s="46">
        <f t="shared" si="76"/>
        <v>1016.4286177167666</v>
      </c>
      <c r="X177" s="46">
        <f t="shared" si="76"/>
        <v>1005.1611528807429</v>
      </c>
      <c r="Y177" s="46">
        <f t="shared" si="76"/>
        <v>993.89368804471917</v>
      </c>
      <c r="Z177" s="46">
        <f t="shared" si="76"/>
        <v>982.62622320869548</v>
      </c>
      <c r="AA177" s="46">
        <f t="shared" si="76"/>
        <v>971.35875837267179</v>
      </c>
      <c r="AB177" s="46">
        <f t="shared" si="76"/>
        <v>960.0912935366481</v>
      </c>
      <c r="AC177" s="46">
        <f t="shared" si="76"/>
        <v>948.8238287006244</v>
      </c>
      <c r="AD177" s="46">
        <f t="shared" si="76"/>
        <v>937.55636386460071</v>
      </c>
      <c r="AE177" s="46">
        <f t="shared" si="76"/>
        <v>926.28889902857702</v>
      </c>
      <c r="AF177" s="46">
        <f t="shared" si="76"/>
        <v>915.02143419255333</v>
      </c>
      <c r="AG177" s="46">
        <f t="shared" si="76"/>
        <v>903.75396935652964</v>
      </c>
      <c r="AH177" s="46">
        <f t="shared" si="76"/>
        <v>892.48650452050595</v>
      </c>
      <c r="AI177" s="46">
        <f t="shared" si="76"/>
        <v>881.21903968448225</v>
      </c>
      <c r="AJ177" s="46">
        <f t="shared" si="76"/>
        <v>869.95157484845856</v>
      </c>
      <c r="AK177" s="46">
        <f t="shared" si="76"/>
        <v>858.68411001243487</v>
      </c>
      <c r="AL177" s="46">
        <f t="shared" si="76"/>
        <v>847.41664517641118</v>
      </c>
      <c r="AM177" s="46">
        <f t="shared" si="76"/>
        <v>836.14918034038749</v>
      </c>
      <c r="AN177" s="46">
        <f t="shared" si="76"/>
        <v>824.8817155043638</v>
      </c>
      <c r="AO177" s="46">
        <f t="shared" si="76"/>
        <v>813.61425066834011</v>
      </c>
      <c r="AP177" s="46">
        <f t="shared" si="76"/>
        <v>802.34678583231641</v>
      </c>
      <c r="AQ177" s="46">
        <f t="shared" si="76"/>
        <v>791.07932099629318</v>
      </c>
      <c r="AR177" s="3"/>
      <c r="AS177" s="3"/>
      <c r="AT177" s="3"/>
      <c r="AU177" s="3"/>
      <c r="AV177" s="62"/>
      <c r="AW177" s="62"/>
      <c r="AX177" s="62"/>
      <c r="AY177" s="62"/>
      <c r="BB177" s="62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</row>
    <row r="178" spans="1:91" s="62" customFormat="1" ht="14.25" hidden="1" customHeight="1" thickTop="1" thickBot="1" x14ac:dyDescent="0.2">
      <c r="A178" s="3"/>
      <c r="B178" s="3"/>
      <c r="C178" s="3"/>
      <c r="D178" s="3"/>
      <c r="E178" s="3"/>
      <c r="F178" s="3"/>
      <c r="G178" s="7"/>
      <c r="H178" s="207"/>
      <c r="I178" s="3"/>
      <c r="J178" s="157"/>
      <c r="K178" s="14" t="s">
        <v>85</v>
      </c>
      <c r="L178" s="14" t="s">
        <v>62</v>
      </c>
      <c r="M178" s="45">
        <f t="shared" ref="M178:AQ178" si="77">M$378*( M210+M307)</f>
        <v>2743.3329999999996</v>
      </c>
      <c r="N178" s="45">
        <f t="shared" si="77"/>
        <v>2650</v>
      </c>
      <c r="O178" s="45">
        <f t="shared" si="77"/>
        <v>2609.4919276554911</v>
      </c>
      <c r="P178" s="45">
        <f t="shared" si="77"/>
        <v>2568.9838553109821</v>
      </c>
      <c r="Q178" s="45">
        <f t="shared" si="77"/>
        <v>2528.4757829664732</v>
      </c>
      <c r="R178" s="45">
        <f t="shared" si="77"/>
        <v>2487.9677106219642</v>
      </c>
      <c r="S178" s="45">
        <f t="shared" si="77"/>
        <v>2447.4596382774553</v>
      </c>
      <c r="T178" s="45">
        <f t="shared" si="77"/>
        <v>2406.9515659329463</v>
      </c>
      <c r="U178" s="45">
        <f t="shared" si="77"/>
        <v>2366.4434935884374</v>
      </c>
      <c r="V178" s="45">
        <f t="shared" si="77"/>
        <v>2325.9354212439284</v>
      </c>
      <c r="W178" s="45">
        <f t="shared" si="77"/>
        <v>2285.4273488994199</v>
      </c>
      <c r="X178" s="45">
        <f t="shared" si="77"/>
        <v>2221.9774123402872</v>
      </c>
      <c r="Y178" s="45">
        <f t="shared" si="77"/>
        <v>2158.5274757811544</v>
      </c>
      <c r="Z178" s="45">
        <f t="shared" si="77"/>
        <v>2095.0775392220216</v>
      </c>
      <c r="AA178" s="45">
        <f t="shared" si="77"/>
        <v>2031.6276026628889</v>
      </c>
      <c r="AB178" s="45">
        <f t="shared" si="77"/>
        <v>1968.1776661037561</v>
      </c>
      <c r="AC178" s="45">
        <f t="shared" si="77"/>
        <v>1904.7277295446233</v>
      </c>
      <c r="AD178" s="45">
        <f t="shared" si="77"/>
        <v>1841.2777929854906</v>
      </c>
      <c r="AE178" s="45">
        <f t="shared" si="77"/>
        <v>1777.8278564263578</v>
      </c>
      <c r="AF178" s="45">
        <f t="shared" si="77"/>
        <v>1714.377919867225</v>
      </c>
      <c r="AG178" s="45">
        <f t="shared" si="77"/>
        <v>1650.9279833080923</v>
      </c>
      <c r="AH178" s="45">
        <f t="shared" si="77"/>
        <v>1587.4780467489595</v>
      </c>
      <c r="AI178" s="45">
        <f t="shared" si="77"/>
        <v>1524.0281101898267</v>
      </c>
      <c r="AJ178" s="45">
        <f t="shared" si="77"/>
        <v>1460.578173630694</v>
      </c>
      <c r="AK178" s="45">
        <f t="shared" si="77"/>
        <v>1397.1282370715612</v>
      </c>
      <c r="AL178" s="45">
        <f t="shared" si="77"/>
        <v>1333.6783005124285</v>
      </c>
      <c r="AM178" s="45">
        <f t="shared" si="77"/>
        <v>1270.2283639532957</v>
      </c>
      <c r="AN178" s="45">
        <f t="shared" si="77"/>
        <v>1206.7784273941629</v>
      </c>
      <c r="AO178" s="45">
        <f t="shared" si="77"/>
        <v>1143.3284908350302</v>
      </c>
      <c r="AP178" s="45">
        <f t="shared" si="77"/>
        <v>1079.8785542758974</v>
      </c>
      <c r="AQ178" s="45">
        <f t="shared" si="77"/>
        <v>1016.4286177167666</v>
      </c>
      <c r="AR178" s="3"/>
      <c r="AS178" s="3"/>
      <c r="AT178" s="3"/>
      <c r="AU178" s="3"/>
      <c r="AV178" s="3"/>
      <c r="AW178" s="3"/>
      <c r="AX178" s="3"/>
      <c r="AY178" s="3"/>
      <c r="BB178" s="3"/>
      <c r="BC178" s="3"/>
      <c r="BD178" s="3"/>
      <c r="BE178" s="3"/>
      <c r="BF178" s="3"/>
      <c r="BG178" s="63"/>
      <c r="BH178" s="63"/>
      <c r="BI178" s="6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</row>
    <row r="179" spans="1:91" ht="14.25" hidden="1" customHeight="1" thickTop="1" thickBot="1" x14ac:dyDescent="0.2">
      <c r="G179" s="7"/>
      <c r="H179" s="207"/>
      <c r="J179" s="57"/>
      <c r="K179" s="14"/>
      <c r="L179" s="5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</row>
    <row r="180" spans="1:91" ht="14.25" hidden="1" customHeight="1" thickTop="1" thickBot="1" x14ac:dyDescent="0.2">
      <c r="G180" s="7"/>
      <c r="H180" s="207"/>
      <c r="M180" s="12">
        <v>2020</v>
      </c>
      <c r="N180" s="12">
        <v>2021</v>
      </c>
      <c r="O180" s="12">
        <v>2022</v>
      </c>
      <c r="P180" s="12">
        <v>2023</v>
      </c>
      <c r="Q180" s="12">
        <v>2024</v>
      </c>
      <c r="R180" s="12">
        <v>2025</v>
      </c>
      <c r="S180" s="12">
        <v>2026</v>
      </c>
      <c r="T180" s="12">
        <v>2027</v>
      </c>
      <c r="U180" s="12">
        <v>2028</v>
      </c>
      <c r="V180" s="12">
        <v>2029</v>
      </c>
      <c r="W180" s="12">
        <v>2030</v>
      </c>
      <c r="X180" s="12">
        <v>2031</v>
      </c>
      <c r="Y180" s="12">
        <v>2032</v>
      </c>
      <c r="Z180" s="12">
        <v>2033</v>
      </c>
      <c r="AA180" s="12">
        <v>2034</v>
      </c>
      <c r="AB180" s="12">
        <v>2035</v>
      </c>
      <c r="AC180" s="12">
        <v>2036</v>
      </c>
      <c r="AD180" s="12">
        <v>2037</v>
      </c>
      <c r="AE180" s="12">
        <v>2038</v>
      </c>
      <c r="AF180" s="12">
        <v>2039</v>
      </c>
      <c r="AG180" s="12">
        <v>2040</v>
      </c>
      <c r="AH180" s="12">
        <v>2041</v>
      </c>
      <c r="AI180" s="12">
        <v>2042</v>
      </c>
      <c r="AJ180" s="12">
        <v>2043</v>
      </c>
      <c r="AK180" s="12">
        <v>2044</v>
      </c>
      <c r="AL180" s="12">
        <v>2045</v>
      </c>
      <c r="AM180" s="12">
        <v>2046</v>
      </c>
      <c r="AN180" s="12">
        <v>2047</v>
      </c>
      <c r="AO180" s="12">
        <v>2048</v>
      </c>
      <c r="AP180" s="12">
        <v>2049</v>
      </c>
      <c r="AQ180" s="12">
        <v>2050</v>
      </c>
      <c r="BC180" s="63"/>
      <c r="BD180" s="63"/>
      <c r="BE180" s="63"/>
      <c r="BF180" s="63"/>
      <c r="BG180" s="62"/>
      <c r="BH180" s="62"/>
      <c r="BI180" s="62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  <c r="BT180" s="63"/>
      <c r="BU180" s="63"/>
      <c r="BV180" s="63"/>
      <c r="BW180" s="63"/>
      <c r="BX180" s="63"/>
      <c r="BY180" s="63"/>
    </row>
    <row r="181" spans="1:91" ht="14.25" hidden="1" customHeight="1" thickTop="1" x14ac:dyDescent="0.15">
      <c r="G181" s="7"/>
      <c r="H181" s="207"/>
      <c r="J181" s="155" t="s">
        <v>50</v>
      </c>
      <c r="K181" s="13" t="s">
        <v>94</v>
      </c>
      <c r="L181" s="13" t="s">
        <v>67</v>
      </c>
      <c r="M181" s="60">
        <v>2743.3329999999996</v>
      </c>
      <c r="N181" s="60">
        <v>2650</v>
      </c>
      <c r="O181" s="60">
        <v>2443.4532578884769</v>
      </c>
      <c r="P181" s="60">
        <v>2236.9065157769537</v>
      </c>
      <c r="Q181" s="60">
        <v>2030.3597736654308</v>
      </c>
      <c r="R181" s="60">
        <v>1823.8130315539079</v>
      </c>
      <c r="S181" s="60">
        <v>1617.266289442385</v>
      </c>
      <c r="T181" s="60">
        <v>1410.719547330862</v>
      </c>
      <c r="U181" s="60">
        <v>1204.1728052193391</v>
      </c>
      <c r="V181" s="60">
        <v>997.62606310781609</v>
      </c>
      <c r="W181" s="60">
        <v>791.07932099629318</v>
      </c>
      <c r="X181" s="60">
        <v>779.04436405956324</v>
      </c>
      <c r="Y181" s="60">
        <v>767.0094071228333</v>
      </c>
      <c r="Z181" s="60">
        <v>754.97445018610335</v>
      </c>
      <c r="AA181" s="60">
        <v>742.93949324937341</v>
      </c>
      <c r="AB181" s="60">
        <v>730.90453631264347</v>
      </c>
      <c r="AC181" s="60">
        <v>718.86957937591353</v>
      </c>
      <c r="AD181" s="60">
        <v>706.83462243918359</v>
      </c>
      <c r="AE181" s="60">
        <v>694.79966550245365</v>
      </c>
      <c r="AF181" s="60">
        <v>682.76470856572371</v>
      </c>
      <c r="AG181" s="60">
        <v>670.72975162899377</v>
      </c>
      <c r="AH181" s="60">
        <v>658.69479469226383</v>
      </c>
      <c r="AI181" s="60">
        <v>646.65983775553389</v>
      </c>
      <c r="AJ181" s="60">
        <v>634.62488081880394</v>
      </c>
      <c r="AK181" s="60">
        <v>622.589923882074</v>
      </c>
      <c r="AL181" s="60">
        <v>610.55496694534406</v>
      </c>
      <c r="AM181" s="60">
        <v>598.52001000861412</v>
      </c>
      <c r="AN181" s="60">
        <v>586.48505307188418</v>
      </c>
      <c r="AO181" s="60">
        <v>574.45009613515424</v>
      </c>
      <c r="AP181" s="60">
        <v>562.4151391984243</v>
      </c>
      <c r="AQ181" s="60">
        <v>550.38018226169538</v>
      </c>
    </row>
    <row r="182" spans="1:91" ht="14.25" hidden="1" customHeight="1" x14ac:dyDescent="0.15">
      <c r="G182" s="7"/>
      <c r="H182" s="207"/>
      <c r="J182" s="156"/>
      <c r="K182" s="5" t="s">
        <v>94</v>
      </c>
      <c r="L182" s="47" t="s">
        <v>66</v>
      </c>
      <c r="M182" s="59">
        <v>2743.3329999999996</v>
      </c>
      <c r="N182" s="59">
        <v>2650</v>
      </c>
      <c r="O182" s="59">
        <v>2468.4920686351961</v>
      </c>
      <c r="P182" s="59">
        <v>2286.9841372703922</v>
      </c>
      <c r="Q182" s="59">
        <v>2105.4762059055884</v>
      </c>
      <c r="R182" s="59">
        <v>1923.9682745407847</v>
      </c>
      <c r="S182" s="59">
        <v>1742.4603431759811</v>
      </c>
      <c r="T182" s="59">
        <v>1560.9524118111774</v>
      </c>
      <c r="U182" s="59">
        <v>1379.4444804463737</v>
      </c>
      <c r="V182" s="59">
        <v>1197.9365490815701</v>
      </c>
      <c r="W182" s="59">
        <v>1016.4286177167666</v>
      </c>
      <c r="X182" s="59">
        <v>1005.1611528807429</v>
      </c>
      <c r="Y182" s="59">
        <v>993.89368804471917</v>
      </c>
      <c r="Z182" s="59">
        <v>982.62622320869548</v>
      </c>
      <c r="AA182" s="59">
        <v>971.35875837267179</v>
      </c>
      <c r="AB182" s="59">
        <v>960.0912935366481</v>
      </c>
      <c r="AC182" s="59">
        <v>948.8238287006244</v>
      </c>
      <c r="AD182" s="59">
        <v>937.55636386460071</v>
      </c>
      <c r="AE182" s="59">
        <v>926.28889902857702</v>
      </c>
      <c r="AF182" s="59">
        <v>915.02143419255333</v>
      </c>
      <c r="AG182" s="59">
        <v>903.75396935652964</v>
      </c>
      <c r="AH182" s="59">
        <v>892.48650452050595</v>
      </c>
      <c r="AI182" s="59">
        <v>881.21903968448225</v>
      </c>
      <c r="AJ182" s="59">
        <v>869.95157484845856</v>
      </c>
      <c r="AK182" s="59">
        <v>858.68411001243487</v>
      </c>
      <c r="AL182" s="59">
        <v>847.41664517641118</v>
      </c>
      <c r="AM182" s="59">
        <v>836.14918034038749</v>
      </c>
      <c r="AN182" s="59">
        <v>824.8817155043638</v>
      </c>
      <c r="AO182" s="59">
        <v>813.61425066834011</v>
      </c>
      <c r="AP182" s="59">
        <v>802.34678583231641</v>
      </c>
      <c r="AQ182" s="59">
        <v>791.07932099629318</v>
      </c>
    </row>
    <row r="183" spans="1:91" ht="14.25" hidden="1" customHeight="1" thickBot="1" x14ac:dyDescent="0.2">
      <c r="G183" s="7"/>
      <c r="H183" s="207"/>
      <c r="J183" s="156"/>
      <c r="K183" s="14" t="s">
        <v>94</v>
      </c>
      <c r="L183" s="14" t="s">
        <v>62</v>
      </c>
      <c r="M183" s="58">
        <v>2743.3329999999996</v>
      </c>
      <c r="N183" s="58">
        <v>2650</v>
      </c>
      <c r="O183" s="58">
        <v>2609.4919276554911</v>
      </c>
      <c r="P183" s="58">
        <v>2568.9838553109821</v>
      </c>
      <c r="Q183" s="58">
        <v>2528.4757829664732</v>
      </c>
      <c r="R183" s="58">
        <v>2487.9677106219642</v>
      </c>
      <c r="S183" s="58">
        <v>2447.4596382774553</v>
      </c>
      <c r="T183" s="58">
        <v>2406.9515659329463</v>
      </c>
      <c r="U183" s="58">
        <v>2366.4434935884374</v>
      </c>
      <c r="V183" s="58">
        <v>2325.9354212439284</v>
      </c>
      <c r="W183" s="58">
        <v>2285.4273488994199</v>
      </c>
      <c r="X183" s="58">
        <v>2221.9774123402872</v>
      </c>
      <c r="Y183" s="58">
        <v>2158.5274757811544</v>
      </c>
      <c r="Z183" s="58">
        <v>2095.0775392220216</v>
      </c>
      <c r="AA183" s="58">
        <v>2031.6276026628889</v>
      </c>
      <c r="AB183" s="58">
        <v>1968.1776661037561</v>
      </c>
      <c r="AC183" s="58">
        <v>1904.7277295446233</v>
      </c>
      <c r="AD183" s="58">
        <v>1841.2777929854906</v>
      </c>
      <c r="AE183" s="58">
        <v>1777.8278564263578</v>
      </c>
      <c r="AF183" s="58">
        <v>1714.377919867225</v>
      </c>
      <c r="AG183" s="58">
        <v>1650.9279833080923</v>
      </c>
      <c r="AH183" s="58">
        <v>1587.4780467489595</v>
      </c>
      <c r="AI183" s="58">
        <v>1524.0281101898267</v>
      </c>
      <c r="AJ183" s="58">
        <v>1460.578173630694</v>
      </c>
      <c r="AK183" s="58">
        <v>1397.1282370715612</v>
      </c>
      <c r="AL183" s="58">
        <v>1333.6783005124285</v>
      </c>
      <c r="AM183" s="58">
        <v>1270.2283639532957</v>
      </c>
      <c r="AN183" s="58">
        <v>1206.7784273941629</v>
      </c>
      <c r="AO183" s="58">
        <v>1143.3284908350302</v>
      </c>
      <c r="AP183" s="58">
        <v>1079.8785542758974</v>
      </c>
      <c r="AQ183" s="58">
        <v>1016.4286177167666</v>
      </c>
      <c r="BZ183" s="63"/>
      <c r="CA183" s="63"/>
      <c r="CB183" s="63"/>
      <c r="CC183" s="63"/>
      <c r="CD183" s="63"/>
      <c r="CE183" s="63"/>
      <c r="CF183" s="63"/>
      <c r="CG183" s="63"/>
      <c r="CH183" s="63"/>
      <c r="CI183" s="63"/>
      <c r="CJ183" s="63"/>
      <c r="CK183" s="63"/>
      <c r="CL183" s="63"/>
      <c r="CM183" s="63"/>
    </row>
    <row r="184" spans="1:91" ht="14.25" hidden="1" customHeight="1" thickTop="1" x14ac:dyDescent="0.15">
      <c r="G184" s="7"/>
      <c r="H184" s="207"/>
      <c r="J184" s="156"/>
      <c r="K184" s="13" t="s">
        <v>93</v>
      </c>
      <c r="L184" s="13" t="s">
        <v>67</v>
      </c>
      <c r="M184" s="60">
        <f t="shared" ref="M184:AQ184" si="78">M181</f>
        <v>2743.3329999999996</v>
      </c>
      <c r="N184" s="60">
        <f t="shared" si="78"/>
        <v>2650</v>
      </c>
      <c r="O184" s="60">
        <f t="shared" si="78"/>
        <v>2443.4532578884769</v>
      </c>
      <c r="P184" s="60">
        <f t="shared" si="78"/>
        <v>2236.9065157769537</v>
      </c>
      <c r="Q184" s="60">
        <f t="shared" si="78"/>
        <v>2030.3597736654308</v>
      </c>
      <c r="R184" s="60">
        <f t="shared" si="78"/>
        <v>1823.8130315539079</v>
      </c>
      <c r="S184" s="60">
        <f t="shared" si="78"/>
        <v>1617.266289442385</v>
      </c>
      <c r="T184" s="60">
        <f t="shared" si="78"/>
        <v>1410.719547330862</v>
      </c>
      <c r="U184" s="60">
        <f t="shared" si="78"/>
        <v>1204.1728052193391</v>
      </c>
      <c r="V184" s="60">
        <f t="shared" si="78"/>
        <v>997.62606310781609</v>
      </c>
      <c r="W184" s="60">
        <f t="shared" si="78"/>
        <v>791.07932099629318</v>
      </c>
      <c r="X184" s="60">
        <f t="shared" si="78"/>
        <v>779.04436405956324</v>
      </c>
      <c r="Y184" s="60">
        <f t="shared" si="78"/>
        <v>767.0094071228333</v>
      </c>
      <c r="Z184" s="60">
        <f t="shared" si="78"/>
        <v>754.97445018610335</v>
      </c>
      <c r="AA184" s="60">
        <f t="shared" si="78"/>
        <v>742.93949324937341</v>
      </c>
      <c r="AB184" s="60">
        <f t="shared" si="78"/>
        <v>730.90453631264347</v>
      </c>
      <c r="AC184" s="60">
        <f t="shared" si="78"/>
        <v>718.86957937591353</v>
      </c>
      <c r="AD184" s="60">
        <f t="shared" si="78"/>
        <v>706.83462243918359</v>
      </c>
      <c r="AE184" s="60">
        <f t="shared" si="78"/>
        <v>694.79966550245365</v>
      </c>
      <c r="AF184" s="60">
        <f t="shared" si="78"/>
        <v>682.76470856572371</v>
      </c>
      <c r="AG184" s="60">
        <f t="shared" si="78"/>
        <v>670.72975162899377</v>
      </c>
      <c r="AH184" s="60">
        <f t="shared" si="78"/>
        <v>658.69479469226383</v>
      </c>
      <c r="AI184" s="60">
        <f t="shared" si="78"/>
        <v>646.65983775553389</v>
      </c>
      <c r="AJ184" s="60">
        <f t="shared" si="78"/>
        <v>634.62488081880394</v>
      </c>
      <c r="AK184" s="60">
        <f t="shared" si="78"/>
        <v>622.589923882074</v>
      </c>
      <c r="AL184" s="60">
        <f t="shared" si="78"/>
        <v>610.55496694534406</v>
      </c>
      <c r="AM184" s="60">
        <f t="shared" si="78"/>
        <v>598.52001000861412</v>
      </c>
      <c r="AN184" s="60">
        <f t="shared" si="78"/>
        <v>586.48505307188418</v>
      </c>
      <c r="AO184" s="60">
        <f t="shared" si="78"/>
        <v>574.45009613515424</v>
      </c>
      <c r="AP184" s="60">
        <f t="shared" si="78"/>
        <v>562.4151391984243</v>
      </c>
      <c r="AQ184" s="60">
        <f t="shared" si="78"/>
        <v>550.38018226169538</v>
      </c>
      <c r="BZ184" s="62"/>
      <c r="CA184" s="62"/>
      <c r="CB184" s="62"/>
      <c r="CC184" s="62"/>
      <c r="CD184" s="62"/>
      <c r="CE184" s="62"/>
      <c r="CF184" s="62"/>
      <c r="CG184" s="62"/>
      <c r="CH184" s="62"/>
      <c r="CI184" s="62"/>
      <c r="CJ184" s="62"/>
      <c r="CK184" s="62"/>
      <c r="CL184" s="62"/>
      <c r="CM184" s="62"/>
    </row>
    <row r="185" spans="1:91" ht="14.25" hidden="1" customHeight="1" x14ac:dyDescent="0.15">
      <c r="G185" s="7"/>
      <c r="H185" s="207"/>
      <c r="J185" s="156"/>
      <c r="K185" s="5" t="s">
        <v>93</v>
      </c>
      <c r="L185" s="47" t="s">
        <v>66</v>
      </c>
      <c r="M185" s="59">
        <f t="shared" ref="M185:AQ185" si="79">M182</f>
        <v>2743.3329999999996</v>
      </c>
      <c r="N185" s="59">
        <f t="shared" si="79"/>
        <v>2650</v>
      </c>
      <c r="O185" s="59">
        <f t="shared" si="79"/>
        <v>2468.4920686351961</v>
      </c>
      <c r="P185" s="59">
        <f t="shared" si="79"/>
        <v>2286.9841372703922</v>
      </c>
      <c r="Q185" s="59">
        <f t="shared" si="79"/>
        <v>2105.4762059055884</v>
      </c>
      <c r="R185" s="59">
        <f t="shared" si="79"/>
        <v>1923.9682745407847</v>
      </c>
      <c r="S185" s="59">
        <f t="shared" si="79"/>
        <v>1742.4603431759811</v>
      </c>
      <c r="T185" s="59">
        <f t="shared" si="79"/>
        <v>1560.9524118111774</v>
      </c>
      <c r="U185" s="59">
        <f t="shared" si="79"/>
        <v>1379.4444804463737</v>
      </c>
      <c r="V185" s="59">
        <f t="shared" si="79"/>
        <v>1197.9365490815701</v>
      </c>
      <c r="W185" s="59">
        <f t="shared" si="79"/>
        <v>1016.4286177167666</v>
      </c>
      <c r="X185" s="59">
        <f t="shared" si="79"/>
        <v>1005.1611528807429</v>
      </c>
      <c r="Y185" s="59">
        <f t="shared" si="79"/>
        <v>993.89368804471917</v>
      </c>
      <c r="Z185" s="59">
        <f t="shared" si="79"/>
        <v>982.62622320869548</v>
      </c>
      <c r="AA185" s="59">
        <f t="shared" si="79"/>
        <v>971.35875837267179</v>
      </c>
      <c r="AB185" s="59">
        <f t="shared" si="79"/>
        <v>960.0912935366481</v>
      </c>
      <c r="AC185" s="59">
        <f t="shared" si="79"/>
        <v>948.8238287006244</v>
      </c>
      <c r="AD185" s="59">
        <f t="shared" si="79"/>
        <v>937.55636386460071</v>
      </c>
      <c r="AE185" s="59">
        <f t="shared" si="79"/>
        <v>926.28889902857702</v>
      </c>
      <c r="AF185" s="59">
        <f t="shared" si="79"/>
        <v>915.02143419255333</v>
      </c>
      <c r="AG185" s="59">
        <f t="shared" si="79"/>
        <v>903.75396935652964</v>
      </c>
      <c r="AH185" s="59">
        <f t="shared" si="79"/>
        <v>892.48650452050595</v>
      </c>
      <c r="AI185" s="59">
        <f t="shared" si="79"/>
        <v>881.21903968448225</v>
      </c>
      <c r="AJ185" s="59">
        <f t="shared" si="79"/>
        <v>869.95157484845856</v>
      </c>
      <c r="AK185" s="59">
        <f t="shared" si="79"/>
        <v>858.68411001243487</v>
      </c>
      <c r="AL185" s="59">
        <f t="shared" si="79"/>
        <v>847.41664517641118</v>
      </c>
      <c r="AM185" s="59">
        <f t="shared" si="79"/>
        <v>836.14918034038749</v>
      </c>
      <c r="AN185" s="59">
        <f t="shared" si="79"/>
        <v>824.8817155043638</v>
      </c>
      <c r="AO185" s="59">
        <f t="shared" si="79"/>
        <v>813.61425066834011</v>
      </c>
      <c r="AP185" s="59">
        <f t="shared" si="79"/>
        <v>802.34678583231641</v>
      </c>
      <c r="AQ185" s="59">
        <f t="shared" si="79"/>
        <v>791.07932099629318</v>
      </c>
    </row>
    <row r="186" spans="1:91" ht="14.25" hidden="1" customHeight="1" thickBot="1" x14ac:dyDescent="0.2">
      <c r="G186" s="7"/>
      <c r="H186" s="207"/>
      <c r="J186" s="156"/>
      <c r="K186" s="14" t="s">
        <v>93</v>
      </c>
      <c r="L186" s="14" t="s">
        <v>62</v>
      </c>
      <c r="M186" s="58">
        <f t="shared" ref="M186:AQ186" si="80">M183</f>
        <v>2743.3329999999996</v>
      </c>
      <c r="N186" s="58">
        <f t="shared" si="80"/>
        <v>2650</v>
      </c>
      <c r="O186" s="58">
        <f t="shared" si="80"/>
        <v>2609.4919276554911</v>
      </c>
      <c r="P186" s="58">
        <f t="shared" si="80"/>
        <v>2568.9838553109821</v>
      </c>
      <c r="Q186" s="58">
        <f t="shared" si="80"/>
        <v>2528.4757829664732</v>
      </c>
      <c r="R186" s="58">
        <f t="shared" si="80"/>
        <v>2487.9677106219642</v>
      </c>
      <c r="S186" s="58">
        <f t="shared" si="80"/>
        <v>2447.4596382774553</v>
      </c>
      <c r="T186" s="58">
        <f t="shared" si="80"/>
        <v>2406.9515659329463</v>
      </c>
      <c r="U186" s="58">
        <f t="shared" si="80"/>
        <v>2366.4434935884374</v>
      </c>
      <c r="V186" s="58">
        <f t="shared" si="80"/>
        <v>2325.9354212439284</v>
      </c>
      <c r="W186" s="58">
        <f t="shared" si="80"/>
        <v>2285.4273488994199</v>
      </c>
      <c r="X186" s="58">
        <f t="shared" si="80"/>
        <v>2221.9774123402872</v>
      </c>
      <c r="Y186" s="58">
        <f t="shared" si="80"/>
        <v>2158.5274757811544</v>
      </c>
      <c r="Z186" s="58">
        <f t="shared" si="80"/>
        <v>2095.0775392220216</v>
      </c>
      <c r="AA186" s="58">
        <f t="shared" si="80"/>
        <v>2031.6276026628889</v>
      </c>
      <c r="AB186" s="58">
        <f t="shared" si="80"/>
        <v>1968.1776661037561</v>
      </c>
      <c r="AC186" s="58">
        <f t="shared" si="80"/>
        <v>1904.7277295446233</v>
      </c>
      <c r="AD186" s="58">
        <f t="shared" si="80"/>
        <v>1841.2777929854906</v>
      </c>
      <c r="AE186" s="58">
        <f t="shared" si="80"/>
        <v>1777.8278564263578</v>
      </c>
      <c r="AF186" s="58">
        <f t="shared" si="80"/>
        <v>1714.377919867225</v>
      </c>
      <c r="AG186" s="58">
        <f t="shared" si="80"/>
        <v>1650.9279833080923</v>
      </c>
      <c r="AH186" s="58">
        <f t="shared" si="80"/>
        <v>1587.4780467489595</v>
      </c>
      <c r="AI186" s="58">
        <f t="shared" si="80"/>
        <v>1524.0281101898267</v>
      </c>
      <c r="AJ186" s="58">
        <f t="shared" si="80"/>
        <v>1460.578173630694</v>
      </c>
      <c r="AK186" s="58">
        <f t="shared" si="80"/>
        <v>1397.1282370715612</v>
      </c>
      <c r="AL186" s="58">
        <f t="shared" si="80"/>
        <v>1333.6783005124285</v>
      </c>
      <c r="AM186" s="58">
        <f t="shared" si="80"/>
        <v>1270.2283639532957</v>
      </c>
      <c r="AN186" s="58">
        <f t="shared" si="80"/>
        <v>1206.7784273941629</v>
      </c>
      <c r="AO186" s="58">
        <f t="shared" si="80"/>
        <v>1143.3284908350302</v>
      </c>
      <c r="AP186" s="58">
        <f t="shared" si="80"/>
        <v>1079.8785542758974</v>
      </c>
      <c r="AQ186" s="58">
        <f t="shared" si="80"/>
        <v>1016.4286177167666</v>
      </c>
    </row>
    <row r="187" spans="1:91" ht="14.25" hidden="1" customHeight="1" thickTop="1" x14ac:dyDescent="0.15">
      <c r="G187" s="7"/>
      <c r="H187" s="207"/>
      <c r="J187" s="156"/>
      <c r="K187" s="13" t="s">
        <v>92</v>
      </c>
      <c r="L187" s="13" t="s">
        <v>67</v>
      </c>
      <c r="M187" s="60">
        <f t="shared" ref="M187:AQ187" si="81">M184</f>
        <v>2743.3329999999996</v>
      </c>
      <c r="N187" s="60">
        <f t="shared" si="81"/>
        <v>2650</v>
      </c>
      <c r="O187" s="60">
        <f t="shared" si="81"/>
        <v>2443.4532578884769</v>
      </c>
      <c r="P187" s="60">
        <f t="shared" si="81"/>
        <v>2236.9065157769537</v>
      </c>
      <c r="Q187" s="60">
        <f t="shared" si="81"/>
        <v>2030.3597736654308</v>
      </c>
      <c r="R187" s="60">
        <f t="shared" si="81"/>
        <v>1823.8130315539079</v>
      </c>
      <c r="S187" s="60">
        <f t="shared" si="81"/>
        <v>1617.266289442385</v>
      </c>
      <c r="T187" s="60">
        <f t="shared" si="81"/>
        <v>1410.719547330862</v>
      </c>
      <c r="U187" s="60">
        <f t="shared" si="81"/>
        <v>1204.1728052193391</v>
      </c>
      <c r="V187" s="60">
        <f t="shared" si="81"/>
        <v>997.62606310781609</v>
      </c>
      <c r="W187" s="60">
        <f t="shared" si="81"/>
        <v>791.07932099629318</v>
      </c>
      <c r="X187" s="60">
        <f t="shared" si="81"/>
        <v>779.04436405956324</v>
      </c>
      <c r="Y187" s="60">
        <f t="shared" si="81"/>
        <v>767.0094071228333</v>
      </c>
      <c r="Z187" s="60">
        <f t="shared" si="81"/>
        <v>754.97445018610335</v>
      </c>
      <c r="AA187" s="60">
        <f t="shared" si="81"/>
        <v>742.93949324937341</v>
      </c>
      <c r="AB187" s="60">
        <f t="shared" si="81"/>
        <v>730.90453631264347</v>
      </c>
      <c r="AC187" s="60">
        <f t="shared" si="81"/>
        <v>718.86957937591353</v>
      </c>
      <c r="AD187" s="60">
        <f t="shared" si="81"/>
        <v>706.83462243918359</v>
      </c>
      <c r="AE187" s="60">
        <f t="shared" si="81"/>
        <v>694.79966550245365</v>
      </c>
      <c r="AF187" s="60">
        <f t="shared" si="81"/>
        <v>682.76470856572371</v>
      </c>
      <c r="AG187" s="60">
        <f t="shared" si="81"/>
        <v>670.72975162899377</v>
      </c>
      <c r="AH187" s="60">
        <f t="shared" si="81"/>
        <v>658.69479469226383</v>
      </c>
      <c r="AI187" s="60">
        <f t="shared" si="81"/>
        <v>646.65983775553389</v>
      </c>
      <c r="AJ187" s="60">
        <f t="shared" si="81"/>
        <v>634.62488081880394</v>
      </c>
      <c r="AK187" s="60">
        <f t="shared" si="81"/>
        <v>622.589923882074</v>
      </c>
      <c r="AL187" s="60">
        <f t="shared" si="81"/>
        <v>610.55496694534406</v>
      </c>
      <c r="AM187" s="60">
        <f t="shared" si="81"/>
        <v>598.52001000861412</v>
      </c>
      <c r="AN187" s="60">
        <f t="shared" si="81"/>
        <v>586.48505307188418</v>
      </c>
      <c r="AO187" s="60">
        <f t="shared" si="81"/>
        <v>574.45009613515424</v>
      </c>
      <c r="AP187" s="60">
        <f t="shared" si="81"/>
        <v>562.4151391984243</v>
      </c>
      <c r="AQ187" s="60">
        <f t="shared" si="81"/>
        <v>550.38018226169538</v>
      </c>
    </row>
    <row r="188" spans="1:91" ht="14.25" hidden="1" customHeight="1" x14ac:dyDescent="0.15">
      <c r="G188" s="7"/>
      <c r="H188" s="207"/>
      <c r="J188" s="156"/>
      <c r="K188" s="5" t="s">
        <v>92</v>
      </c>
      <c r="L188" s="47" t="s">
        <v>66</v>
      </c>
      <c r="M188" s="59">
        <f t="shared" ref="M188:AQ188" si="82">M185</f>
        <v>2743.3329999999996</v>
      </c>
      <c r="N188" s="59">
        <f t="shared" si="82"/>
        <v>2650</v>
      </c>
      <c r="O188" s="59">
        <f t="shared" si="82"/>
        <v>2468.4920686351961</v>
      </c>
      <c r="P188" s="59">
        <f t="shared" si="82"/>
        <v>2286.9841372703922</v>
      </c>
      <c r="Q188" s="59">
        <f t="shared" si="82"/>
        <v>2105.4762059055884</v>
      </c>
      <c r="R188" s="59">
        <f t="shared" si="82"/>
        <v>1923.9682745407847</v>
      </c>
      <c r="S188" s="59">
        <f t="shared" si="82"/>
        <v>1742.4603431759811</v>
      </c>
      <c r="T188" s="59">
        <f t="shared" si="82"/>
        <v>1560.9524118111774</v>
      </c>
      <c r="U188" s="59">
        <f t="shared" si="82"/>
        <v>1379.4444804463737</v>
      </c>
      <c r="V188" s="59">
        <f t="shared" si="82"/>
        <v>1197.9365490815701</v>
      </c>
      <c r="W188" s="59">
        <f t="shared" si="82"/>
        <v>1016.4286177167666</v>
      </c>
      <c r="X188" s="59">
        <f t="shared" si="82"/>
        <v>1005.1611528807429</v>
      </c>
      <c r="Y188" s="59">
        <f t="shared" si="82"/>
        <v>993.89368804471917</v>
      </c>
      <c r="Z188" s="59">
        <f t="shared" si="82"/>
        <v>982.62622320869548</v>
      </c>
      <c r="AA188" s="59">
        <f t="shared" si="82"/>
        <v>971.35875837267179</v>
      </c>
      <c r="AB188" s="59">
        <f t="shared" si="82"/>
        <v>960.0912935366481</v>
      </c>
      <c r="AC188" s="59">
        <f t="shared" si="82"/>
        <v>948.8238287006244</v>
      </c>
      <c r="AD188" s="59">
        <f t="shared" si="82"/>
        <v>937.55636386460071</v>
      </c>
      <c r="AE188" s="59">
        <f t="shared" si="82"/>
        <v>926.28889902857702</v>
      </c>
      <c r="AF188" s="59">
        <f t="shared" si="82"/>
        <v>915.02143419255333</v>
      </c>
      <c r="AG188" s="59">
        <f t="shared" si="82"/>
        <v>903.75396935652964</v>
      </c>
      <c r="AH188" s="59">
        <f t="shared" si="82"/>
        <v>892.48650452050595</v>
      </c>
      <c r="AI188" s="59">
        <f t="shared" si="82"/>
        <v>881.21903968448225</v>
      </c>
      <c r="AJ188" s="59">
        <f t="shared" si="82"/>
        <v>869.95157484845856</v>
      </c>
      <c r="AK188" s="59">
        <f t="shared" si="82"/>
        <v>858.68411001243487</v>
      </c>
      <c r="AL188" s="59">
        <f t="shared" si="82"/>
        <v>847.41664517641118</v>
      </c>
      <c r="AM188" s="59">
        <f t="shared" si="82"/>
        <v>836.14918034038749</v>
      </c>
      <c r="AN188" s="59">
        <f t="shared" si="82"/>
        <v>824.8817155043638</v>
      </c>
      <c r="AO188" s="59">
        <f t="shared" si="82"/>
        <v>813.61425066834011</v>
      </c>
      <c r="AP188" s="59">
        <f t="shared" si="82"/>
        <v>802.34678583231641</v>
      </c>
      <c r="AQ188" s="59">
        <f t="shared" si="82"/>
        <v>791.07932099629318</v>
      </c>
    </row>
    <row r="189" spans="1:91" ht="14.25" hidden="1" customHeight="1" thickBot="1" x14ac:dyDescent="0.2">
      <c r="G189" s="7"/>
      <c r="H189" s="207"/>
      <c r="J189" s="156"/>
      <c r="K189" s="14" t="s">
        <v>92</v>
      </c>
      <c r="L189" s="14" t="s">
        <v>62</v>
      </c>
      <c r="M189" s="58">
        <f t="shared" ref="M189:AQ189" si="83">M186</f>
        <v>2743.3329999999996</v>
      </c>
      <c r="N189" s="58">
        <f t="shared" si="83"/>
        <v>2650</v>
      </c>
      <c r="O189" s="58">
        <f t="shared" si="83"/>
        <v>2609.4919276554911</v>
      </c>
      <c r="P189" s="58">
        <f t="shared" si="83"/>
        <v>2568.9838553109821</v>
      </c>
      <c r="Q189" s="58">
        <f t="shared" si="83"/>
        <v>2528.4757829664732</v>
      </c>
      <c r="R189" s="58">
        <f t="shared" si="83"/>
        <v>2487.9677106219642</v>
      </c>
      <c r="S189" s="58">
        <f t="shared" si="83"/>
        <v>2447.4596382774553</v>
      </c>
      <c r="T189" s="58">
        <f t="shared" si="83"/>
        <v>2406.9515659329463</v>
      </c>
      <c r="U189" s="58">
        <f t="shared" si="83"/>
        <v>2366.4434935884374</v>
      </c>
      <c r="V189" s="58">
        <f t="shared" si="83"/>
        <v>2325.9354212439284</v>
      </c>
      <c r="W189" s="58">
        <f t="shared" si="83"/>
        <v>2285.4273488994199</v>
      </c>
      <c r="X189" s="58">
        <f t="shared" si="83"/>
        <v>2221.9774123402872</v>
      </c>
      <c r="Y189" s="58">
        <f t="shared" si="83"/>
        <v>2158.5274757811544</v>
      </c>
      <c r="Z189" s="58">
        <f t="shared" si="83"/>
        <v>2095.0775392220216</v>
      </c>
      <c r="AA189" s="58">
        <f t="shared" si="83"/>
        <v>2031.6276026628889</v>
      </c>
      <c r="AB189" s="58">
        <f t="shared" si="83"/>
        <v>1968.1776661037561</v>
      </c>
      <c r="AC189" s="58">
        <f t="shared" si="83"/>
        <v>1904.7277295446233</v>
      </c>
      <c r="AD189" s="58">
        <f t="shared" si="83"/>
        <v>1841.2777929854906</v>
      </c>
      <c r="AE189" s="58">
        <f t="shared" si="83"/>
        <v>1777.8278564263578</v>
      </c>
      <c r="AF189" s="58">
        <f t="shared" si="83"/>
        <v>1714.377919867225</v>
      </c>
      <c r="AG189" s="58">
        <f t="shared" si="83"/>
        <v>1650.9279833080923</v>
      </c>
      <c r="AH189" s="58">
        <f t="shared" si="83"/>
        <v>1587.4780467489595</v>
      </c>
      <c r="AI189" s="58">
        <f t="shared" si="83"/>
        <v>1524.0281101898267</v>
      </c>
      <c r="AJ189" s="58">
        <f t="shared" si="83"/>
        <v>1460.578173630694</v>
      </c>
      <c r="AK189" s="58">
        <f t="shared" si="83"/>
        <v>1397.1282370715612</v>
      </c>
      <c r="AL189" s="58">
        <f t="shared" si="83"/>
        <v>1333.6783005124285</v>
      </c>
      <c r="AM189" s="58">
        <f t="shared" si="83"/>
        <v>1270.2283639532957</v>
      </c>
      <c r="AN189" s="58">
        <f t="shared" si="83"/>
        <v>1206.7784273941629</v>
      </c>
      <c r="AO189" s="58">
        <f t="shared" si="83"/>
        <v>1143.3284908350302</v>
      </c>
      <c r="AP189" s="58">
        <f t="shared" si="83"/>
        <v>1079.8785542758974</v>
      </c>
      <c r="AQ189" s="58">
        <f t="shared" si="83"/>
        <v>1016.4286177167666</v>
      </c>
    </row>
    <row r="190" spans="1:91" ht="14.25" hidden="1" customHeight="1" thickTop="1" x14ac:dyDescent="0.15">
      <c r="G190" s="7"/>
      <c r="H190" s="207"/>
      <c r="J190" s="156"/>
      <c r="K190" s="13" t="s">
        <v>91</v>
      </c>
      <c r="L190" s="13" t="s">
        <v>67</v>
      </c>
      <c r="M190" s="60">
        <f t="shared" ref="M190:AQ190" si="84">M187</f>
        <v>2743.3329999999996</v>
      </c>
      <c r="N190" s="60">
        <f t="shared" si="84"/>
        <v>2650</v>
      </c>
      <c r="O190" s="60">
        <f t="shared" si="84"/>
        <v>2443.4532578884769</v>
      </c>
      <c r="P190" s="60">
        <f t="shared" si="84"/>
        <v>2236.9065157769537</v>
      </c>
      <c r="Q190" s="60">
        <f t="shared" si="84"/>
        <v>2030.3597736654308</v>
      </c>
      <c r="R190" s="60">
        <f t="shared" si="84"/>
        <v>1823.8130315539079</v>
      </c>
      <c r="S190" s="60">
        <f t="shared" si="84"/>
        <v>1617.266289442385</v>
      </c>
      <c r="T190" s="60">
        <f t="shared" si="84"/>
        <v>1410.719547330862</v>
      </c>
      <c r="U190" s="60">
        <f t="shared" si="84"/>
        <v>1204.1728052193391</v>
      </c>
      <c r="V190" s="60">
        <f t="shared" si="84"/>
        <v>997.62606310781609</v>
      </c>
      <c r="W190" s="60">
        <f t="shared" si="84"/>
        <v>791.07932099629318</v>
      </c>
      <c r="X190" s="60">
        <f t="shared" si="84"/>
        <v>779.04436405956324</v>
      </c>
      <c r="Y190" s="60">
        <f t="shared" si="84"/>
        <v>767.0094071228333</v>
      </c>
      <c r="Z190" s="60">
        <f t="shared" si="84"/>
        <v>754.97445018610335</v>
      </c>
      <c r="AA190" s="60">
        <f t="shared" si="84"/>
        <v>742.93949324937341</v>
      </c>
      <c r="AB190" s="60">
        <f t="shared" si="84"/>
        <v>730.90453631264347</v>
      </c>
      <c r="AC190" s="60">
        <f t="shared" si="84"/>
        <v>718.86957937591353</v>
      </c>
      <c r="AD190" s="60">
        <f t="shared" si="84"/>
        <v>706.83462243918359</v>
      </c>
      <c r="AE190" s="60">
        <f t="shared" si="84"/>
        <v>694.79966550245365</v>
      </c>
      <c r="AF190" s="60">
        <f t="shared" si="84"/>
        <v>682.76470856572371</v>
      </c>
      <c r="AG190" s="60">
        <f t="shared" si="84"/>
        <v>670.72975162899377</v>
      </c>
      <c r="AH190" s="60">
        <f t="shared" si="84"/>
        <v>658.69479469226383</v>
      </c>
      <c r="AI190" s="60">
        <f t="shared" si="84"/>
        <v>646.65983775553389</v>
      </c>
      <c r="AJ190" s="60">
        <f t="shared" si="84"/>
        <v>634.62488081880394</v>
      </c>
      <c r="AK190" s="60">
        <f t="shared" si="84"/>
        <v>622.589923882074</v>
      </c>
      <c r="AL190" s="60">
        <f t="shared" si="84"/>
        <v>610.55496694534406</v>
      </c>
      <c r="AM190" s="60">
        <f t="shared" si="84"/>
        <v>598.52001000861412</v>
      </c>
      <c r="AN190" s="60">
        <f t="shared" si="84"/>
        <v>586.48505307188418</v>
      </c>
      <c r="AO190" s="60">
        <f t="shared" si="84"/>
        <v>574.45009613515424</v>
      </c>
      <c r="AP190" s="60">
        <f t="shared" si="84"/>
        <v>562.4151391984243</v>
      </c>
      <c r="AQ190" s="60">
        <f t="shared" si="84"/>
        <v>550.38018226169538</v>
      </c>
    </row>
    <row r="191" spans="1:91" ht="14.25" hidden="1" customHeight="1" x14ac:dyDescent="0.15">
      <c r="G191" s="7"/>
      <c r="H191" s="207"/>
      <c r="J191" s="156"/>
      <c r="K191" s="5" t="s">
        <v>91</v>
      </c>
      <c r="L191" s="47" t="s">
        <v>66</v>
      </c>
      <c r="M191" s="59">
        <f t="shared" ref="M191:AQ191" si="85">M188</f>
        <v>2743.3329999999996</v>
      </c>
      <c r="N191" s="59">
        <f t="shared" si="85"/>
        <v>2650</v>
      </c>
      <c r="O191" s="59">
        <f t="shared" si="85"/>
        <v>2468.4920686351961</v>
      </c>
      <c r="P191" s="59">
        <f t="shared" si="85"/>
        <v>2286.9841372703922</v>
      </c>
      <c r="Q191" s="59">
        <f t="shared" si="85"/>
        <v>2105.4762059055884</v>
      </c>
      <c r="R191" s="59">
        <f t="shared" si="85"/>
        <v>1923.9682745407847</v>
      </c>
      <c r="S191" s="59">
        <f t="shared" si="85"/>
        <v>1742.4603431759811</v>
      </c>
      <c r="T191" s="59">
        <f t="shared" si="85"/>
        <v>1560.9524118111774</v>
      </c>
      <c r="U191" s="59">
        <f t="shared" si="85"/>
        <v>1379.4444804463737</v>
      </c>
      <c r="V191" s="59">
        <f t="shared" si="85"/>
        <v>1197.9365490815701</v>
      </c>
      <c r="W191" s="59">
        <f t="shared" si="85"/>
        <v>1016.4286177167666</v>
      </c>
      <c r="X191" s="59">
        <f t="shared" si="85"/>
        <v>1005.1611528807429</v>
      </c>
      <c r="Y191" s="59">
        <f t="shared" si="85"/>
        <v>993.89368804471917</v>
      </c>
      <c r="Z191" s="59">
        <f t="shared" si="85"/>
        <v>982.62622320869548</v>
      </c>
      <c r="AA191" s="59">
        <f t="shared" si="85"/>
        <v>971.35875837267179</v>
      </c>
      <c r="AB191" s="59">
        <f t="shared" si="85"/>
        <v>960.0912935366481</v>
      </c>
      <c r="AC191" s="59">
        <f t="shared" si="85"/>
        <v>948.8238287006244</v>
      </c>
      <c r="AD191" s="59">
        <f t="shared" si="85"/>
        <v>937.55636386460071</v>
      </c>
      <c r="AE191" s="59">
        <f t="shared" si="85"/>
        <v>926.28889902857702</v>
      </c>
      <c r="AF191" s="59">
        <f t="shared" si="85"/>
        <v>915.02143419255333</v>
      </c>
      <c r="AG191" s="59">
        <f t="shared" si="85"/>
        <v>903.75396935652964</v>
      </c>
      <c r="AH191" s="59">
        <f t="shared" si="85"/>
        <v>892.48650452050595</v>
      </c>
      <c r="AI191" s="59">
        <f t="shared" si="85"/>
        <v>881.21903968448225</v>
      </c>
      <c r="AJ191" s="59">
        <f t="shared" si="85"/>
        <v>869.95157484845856</v>
      </c>
      <c r="AK191" s="59">
        <f t="shared" si="85"/>
        <v>858.68411001243487</v>
      </c>
      <c r="AL191" s="59">
        <f t="shared" si="85"/>
        <v>847.41664517641118</v>
      </c>
      <c r="AM191" s="59">
        <f t="shared" si="85"/>
        <v>836.14918034038749</v>
      </c>
      <c r="AN191" s="59">
        <f t="shared" si="85"/>
        <v>824.8817155043638</v>
      </c>
      <c r="AO191" s="59">
        <f t="shared" si="85"/>
        <v>813.61425066834011</v>
      </c>
      <c r="AP191" s="59">
        <f t="shared" si="85"/>
        <v>802.34678583231641</v>
      </c>
      <c r="AQ191" s="59">
        <f t="shared" si="85"/>
        <v>791.07932099629318</v>
      </c>
    </row>
    <row r="192" spans="1:91" ht="14.25" hidden="1" customHeight="1" thickBot="1" x14ac:dyDescent="0.2">
      <c r="G192" s="7"/>
      <c r="H192" s="207"/>
      <c r="J192" s="156"/>
      <c r="K192" s="14" t="s">
        <v>91</v>
      </c>
      <c r="L192" s="14" t="s">
        <v>62</v>
      </c>
      <c r="M192" s="58">
        <f t="shared" ref="M192:AQ192" si="86">M189</f>
        <v>2743.3329999999996</v>
      </c>
      <c r="N192" s="58">
        <f t="shared" si="86"/>
        <v>2650</v>
      </c>
      <c r="O192" s="58">
        <f t="shared" si="86"/>
        <v>2609.4919276554911</v>
      </c>
      <c r="P192" s="58">
        <f t="shared" si="86"/>
        <v>2568.9838553109821</v>
      </c>
      <c r="Q192" s="58">
        <f t="shared" si="86"/>
        <v>2528.4757829664732</v>
      </c>
      <c r="R192" s="58">
        <f t="shared" si="86"/>
        <v>2487.9677106219642</v>
      </c>
      <c r="S192" s="58">
        <f t="shared" si="86"/>
        <v>2447.4596382774553</v>
      </c>
      <c r="T192" s="58">
        <f t="shared" si="86"/>
        <v>2406.9515659329463</v>
      </c>
      <c r="U192" s="58">
        <f t="shared" si="86"/>
        <v>2366.4434935884374</v>
      </c>
      <c r="V192" s="58">
        <f t="shared" si="86"/>
        <v>2325.9354212439284</v>
      </c>
      <c r="W192" s="58">
        <f t="shared" si="86"/>
        <v>2285.4273488994199</v>
      </c>
      <c r="X192" s="58">
        <f t="shared" si="86"/>
        <v>2221.9774123402872</v>
      </c>
      <c r="Y192" s="58">
        <f t="shared" si="86"/>
        <v>2158.5274757811544</v>
      </c>
      <c r="Z192" s="58">
        <f t="shared" si="86"/>
        <v>2095.0775392220216</v>
      </c>
      <c r="AA192" s="58">
        <f t="shared" si="86"/>
        <v>2031.6276026628889</v>
      </c>
      <c r="AB192" s="58">
        <f t="shared" si="86"/>
        <v>1968.1776661037561</v>
      </c>
      <c r="AC192" s="58">
        <f t="shared" si="86"/>
        <v>1904.7277295446233</v>
      </c>
      <c r="AD192" s="58">
        <f t="shared" si="86"/>
        <v>1841.2777929854906</v>
      </c>
      <c r="AE192" s="58">
        <f t="shared" si="86"/>
        <v>1777.8278564263578</v>
      </c>
      <c r="AF192" s="58">
        <f t="shared" si="86"/>
        <v>1714.377919867225</v>
      </c>
      <c r="AG192" s="58">
        <f t="shared" si="86"/>
        <v>1650.9279833080923</v>
      </c>
      <c r="AH192" s="58">
        <f t="shared" si="86"/>
        <v>1587.4780467489595</v>
      </c>
      <c r="AI192" s="58">
        <f t="shared" si="86"/>
        <v>1524.0281101898267</v>
      </c>
      <c r="AJ192" s="58">
        <f t="shared" si="86"/>
        <v>1460.578173630694</v>
      </c>
      <c r="AK192" s="58">
        <f t="shared" si="86"/>
        <v>1397.1282370715612</v>
      </c>
      <c r="AL192" s="58">
        <f t="shared" si="86"/>
        <v>1333.6783005124285</v>
      </c>
      <c r="AM192" s="58">
        <f t="shared" si="86"/>
        <v>1270.2283639532957</v>
      </c>
      <c r="AN192" s="58">
        <f t="shared" si="86"/>
        <v>1206.7784273941629</v>
      </c>
      <c r="AO192" s="58">
        <f t="shared" si="86"/>
        <v>1143.3284908350302</v>
      </c>
      <c r="AP192" s="58">
        <f t="shared" si="86"/>
        <v>1079.8785542758974</v>
      </c>
      <c r="AQ192" s="58">
        <f t="shared" si="86"/>
        <v>1016.4286177167666</v>
      </c>
    </row>
    <row r="193" spans="7:91" ht="14.25" hidden="1" customHeight="1" thickTop="1" x14ac:dyDescent="0.15">
      <c r="G193" s="7"/>
      <c r="H193" s="207"/>
      <c r="J193" s="156"/>
      <c r="K193" s="13" t="s">
        <v>90</v>
      </c>
      <c r="L193" s="13" t="s">
        <v>67</v>
      </c>
      <c r="M193" s="60">
        <f t="shared" ref="M193:AQ193" si="87">M190</f>
        <v>2743.3329999999996</v>
      </c>
      <c r="N193" s="60">
        <f t="shared" si="87"/>
        <v>2650</v>
      </c>
      <c r="O193" s="60">
        <f t="shared" si="87"/>
        <v>2443.4532578884769</v>
      </c>
      <c r="P193" s="60">
        <f t="shared" si="87"/>
        <v>2236.9065157769537</v>
      </c>
      <c r="Q193" s="60">
        <f t="shared" si="87"/>
        <v>2030.3597736654308</v>
      </c>
      <c r="R193" s="60">
        <f t="shared" si="87"/>
        <v>1823.8130315539079</v>
      </c>
      <c r="S193" s="60">
        <f t="shared" si="87"/>
        <v>1617.266289442385</v>
      </c>
      <c r="T193" s="60">
        <f t="shared" si="87"/>
        <v>1410.719547330862</v>
      </c>
      <c r="U193" s="60">
        <f t="shared" si="87"/>
        <v>1204.1728052193391</v>
      </c>
      <c r="V193" s="60">
        <f t="shared" si="87"/>
        <v>997.62606310781609</v>
      </c>
      <c r="W193" s="60">
        <f t="shared" si="87"/>
        <v>791.07932099629318</v>
      </c>
      <c r="X193" s="60">
        <f t="shared" si="87"/>
        <v>779.04436405956324</v>
      </c>
      <c r="Y193" s="60">
        <f t="shared" si="87"/>
        <v>767.0094071228333</v>
      </c>
      <c r="Z193" s="60">
        <f t="shared" si="87"/>
        <v>754.97445018610335</v>
      </c>
      <c r="AA193" s="60">
        <f t="shared" si="87"/>
        <v>742.93949324937341</v>
      </c>
      <c r="AB193" s="60">
        <f t="shared" si="87"/>
        <v>730.90453631264347</v>
      </c>
      <c r="AC193" s="60">
        <f t="shared" si="87"/>
        <v>718.86957937591353</v>
      </c>
      <c r="AD193" s="60">
        <f t="shared" si="87"/>
        <v>706.83462243918359</v>
      </c>
      <c r="AE193" s="60">
        <f t="shared" si="87"/>
        <v>694.79966550245365</v>
      </c>
      <c r="AF193" s="60">
        <f t="shared" si="87"/>
        <v>682.76470856572371</v>
      </c>
      <c r="AG193" s="60">
        <f t="shared" si="87"/>
        <v>670.72975162899377</v>
      </c>
      <c r="AH193" s="60">
        <f t="shared" si="87"/>
        <v>658.69479469226383</v>
      </c>
      <c r="AI193" s="60">
        <f t="shared" si="87"/>
        <v>646.65983775553389</v>
      </c>
      <c r="AJ193" s="60">
        <f t="shared" si="87"/>
        <v>634.62488081880394</v>
      </c>
      <c r="AK193" s="60">
        <f t="shared" si="87"/>
        <v>622.589923882074</v>
      </c>
      <c r="AL193" s="60">
        <f t="shared" si="87"/>
        <v>610.55496694534406</v>
      </c>
      <c r="AM193" s="60">
        <f t="shared" si="87"/>
        <v>598.52001000861412</v>
      </c>
      <c r="AN193" s="60">
        <f t="shared" si="87"/>
        <v>586.48505307188418</v>
      </c>
      <c r="AO193" s="60">
        <f t="shared" si="87"/>
        <v>574.45009613515424</v>
      </c>
      <c r="AP193" s="60">
        <f t="shared" si="87"/>
        <v>562.4151391984243</v>
      </c>
      <c r="AQ193" s="60">
        <f t="shared" si="87"/>
        <v>550.38018226169538</v>
      </c>
    </row>
    <row r="194" spans="7:91" ht="14.25" hidden="1" customHeight="1" x14ac:dyDescent="0.15">
      <c r="G194" s="7"/>
      <c r="H194" s="207"/>
      <c r="J194" s="156"/>
      <c r="K194" s="5" t="s">
        <v>90</v>
      </c>
      <c r="L194" s="47" t="s">
        <v>66</v>
      </c>
      <c r="M194" s="59">
        <f t="shared" ref="M194:AQ194" si="88">M191</f>
        <v>2743.3329999999996</v>
      </c>
      <c r="N194" s="59">
        <f t="shared" si="88"/>
        <v>2650</v>
      </c>
      <c r="O194" s="59">
        <f t="shared" si="88"/>
        <v>2468.4920686351961</v>
      </c>
      <c r="P194" s="59">
        <f t="shared" si="88"/>
        <v>2286.9841372703922</v>
      </c>
      <c r="Q194" s="59">
        <f t="shared" si="88"/>
        <v>2105.4762059055884</v>
      </c>
      <c r="R194" s="59">
        <f t="shared" si="88"/>
        <v>1923.9682745407847</v>
      </c>
      <c r="S194" s="59">
        <f t="shared" si="88"/>
        <v>1742.4603431759811</v>
      </c>
      <c r="T194" s="59">
        <f t="shared" si="88"/>
        <v>1560.9524118111774</v>
      </c>
      <c r="U194" s="59">
        <f t="shared" si="88"/>
        <v>1379.4444804463737</v>
      </c>
      <c r="V194" s="59">
        <f t="shared" si="88"/>
        <v>1197.9365490815701</v>
      </c>
      <c r="W194" s="59">
        <f t="shared" si="88"/>
        <v>1016.4286177167666</v>
      </c>
      <c r="X194" s="59">
        <f t="shared" si="88"/>
        <v>1005.1611528807429</v>
      </c>
      <c r="Y194" s="59">
        <f t="shared" si="88"/>
        <v>993.89368804471917</v>
      </c>
      <c r="Z194" s="59">
        <f t="shared" si="88"/>
        <v>982.62622320869548</v>
      </c>
      <c r="AA194" s="59">
        <f t="shared" si="88"/>
        <v>971.35875837267179</v>
      </c>
      <c r="AB194" s="59">
        <f t="shared" si="88"/>
        <v>960.0912935366481</v>
      </c>
      <c r="AC194" s="59">
        <f t="shared" si="88"/>
        <v>948.8238287006244</v>
      </c>
      <c r="AD194" s="59">
        <f t="shared" si="88"/>
        <v>937.55636386460071</v>
      </c>
      <c r="AE194" s="59">
        <f t="shared" si="88"/>
        <v>926.28889902857702</v>
      </c>
      <c r="AF194" s="59">
        <f t="shared" si="88"/>
        <v>915.02143419255333</v>
      </c>
      <c r="AG194" s="59">
        <f t="shared" si="88"/>
        <v>903.75396935652964</v>
      </c>
      <c r="AH194" s="59">
        <f t="shared" si="88"/>
        <v>892.48650452050595</v>
      </c>
      <c r="AI194" s="59">
        <f t="shared" si="88"/>
        <v>881.21903968448225</v>
      </c>
      <c r="AJ194" s="59">
        <f t="shared" si="88"/>
        <v>869.95157484845856</v>
      </c>
      <c r="AK194" s="59">
        <f t="shared" si="88"/>
        <v>858.68411001243487</v>
      </c>
      <c r="AL194" s="59">
        <f t="shared" si="88"/>
        <v>847.41664517641118</v>
      </c>
      <c r="AM194" s="59">
        <f t="shared" si="88"/>
        <v>836.14918034038749</v>
      </c>
      <c r="AN194" s="59">
        <f t="shared" si="88"/>
        <v>824.8817155043638</v>
      </c>
      <c r="AO194" s="59">
        <f t="shared" si="88"/>
        <v>813.61425066834011</v>
      </c>
      <c r="AP194" s="59">
        <f t="shared" si="88"/>
        <v>802.34678583231641</v>
      </c>
      <c r="AQ194" s="59">
        <f t="shared" si="88"/>
        <v>791.07932099629318</v>
      </c>
    </row>
    <row r="195" spans="7:91" ht="14.25" hidden="1" customHeight="1" thickBot="1" x14ac:dyDescent="0.2">
      <c r="G195" s="7"/>
      <c r="H195" s="207"/>
      <c r="J195" s="156"/>
      <c r="K195" s="14" t="s">
        <v>90</v>
      </c>
      <c r="L195" s="14" t="s">
        <v>62</v>
      </c>
      <c r="M195" s="58">
        <f t="shared" ref="M195:AQ195" si="89">M192</f>
        <v>2743.3329999999996</v>
      </c>
      <c r="N195" s="58">
        <f t="shared" si="89"/>
        <v>2650</v>
      </c>
      <c r="O195" s="58">
        <f t="shared" si="89"/>
        <v>2609.4919276554911</v>
      </c>
      <c r="P195" s="58">
        <f t="shared" si="89"/>
        <v>2568.9838553109821</v>
      </c>
      <c r="Q195" s="58">
        <f t="shared" si="89"/>
        <v>2528.4757829664732</v>
      </c>
      <c r="R195" s="58">
        <f t="shared" si="89"/>
        <v>2487.9677106219642</v>
      </c>
      <c r="S195" s="58">
        <f t="shared" si="89"/>
        <v>2447.4596382774553</v>
      </c>
      <c r="T195" s="58">
        <f t="shared" si="89"/>
        <v>2406.9515659329463</v>
      </c>
      <c r="U195" s="58">
        <f t="shared" si="89"/>
        <v>2366.4434935884374</v>
      </c>
      <c r="V195" s="58">
        <f t="shared" si="89"/>
        <v>2325.9354212439284</v>
      </c>
      <c r="W195" s="58">
        <f t="shared" si="89"/>
        <v>2285.4273488994199</v>
      </c>
      <c r="X195" s="58">
        <f t="shared" si="89"/>
        <v>2221.9774123402872</v>
      </c>
      <c r="Y195" s="58">
        <f t="shared" si="89"/>
        <v>2158.5274757811544</v>
      </c>
      <c r="Z195" s="58">
        <f t="shared" si="89"/>
        <v>2095.0775392220216</v>
      </c>
      <c r="AA195" s="58">
        <f t="shared" si="89"/>
        <v>2031.6276026628889</v>
      </c>
      <c r="AB195" s="58">
        <f t="shared" si="89"/>
        <v>1968.1776661037561</v>
      </c>
      <c r="AC195" s="58">
        <f t="shared" si="89"/>
        <v>1904.7277295446233</v>
      </c>
      <c r="AD195" s="58">
        <f t="shared" si="89"/>
        <v>1841.2777929854906</v>
      </c>
      <c r="AE195" s="58">
        <f t="shared" si="89"/>
        <v>1777.8278564263578</v>
      </c>
      <c r="AF195" s="58">
        <f t="shared" si="89"/>
        <v>1714.377919867225</v>
      </c>
      <c r="AG195" s="58">
        <f t="shared" si="89"/>
        <v>1650.9279833080923</v>
      </c>
      <c r="AH195" s="58">
        <f t="shared" si="89"/>
        <v>1587.4780467489595</v>
      </c>
      <c r="AI195" s="58">
        <f t="shared" si="89"/>
        <v>1524.0281101898267</v>
      </c>
      <c r="AJ195" s="58">
        <f t="shared" si="89"/>
        <v>1460.578173630694</v>
      </c>
      <c r="AK195" s="58">
        <f t="shared" si="89"/>
        <v>1397.1282370715612</v>
      </c>
      <c r="AL195" s="58">
        <f t="shared" si="89"/>
        <v>1333.6783005124285</v>
      </c>
      <c r="AM195" s="58">
        <f t="shared" si="89"/>
        <v>1270.2283639532957</v>
      </c>
      <c r="AN195" s="58">
        <f t="shared" si="89"/>
        <v>1206.7784273941629</v>
      </c>
      <c r="AO195" s="58">
        <f t="shared" si="89"/>
        <v>1143.3284908350302</v>
      </c>
      <c r="AP195" s="58">
        <f t="shared" si="89"/>
        <v>1079.8785542758974</v>
      </c>
      <c r="AQ195" s="58">
        <f t="shared" si="89"/>
        <v>1016.4286177167666</v>
      </c>
    </row>
    <row r="196" spans="7:91" ht="14.25" hidden="1" customHeight="1" thickTop="1" x14ac:dyDescent="0.15">
      <c r="G196" s="7"/>
      <c r="H196" s="207"/>
      <c r="J196" s="156"/>
      <c r="K196" s="13" t="s">
        <v>89</v>
      </c>
      <c r="L196" s="13" t="s">
        <v>67</v>
      </c>
      <c r="M196" s="60">
        <f t="shared" ref="M196:AQ196" si="90">M193</f>
        <v>2743.3329999999996</v>
      </c>
      <c r="N196" s="60">
        <f t="shared" si="90"/>
        <v>2650</v>
      </c>
      <c r="O196" s="60">
        <f t="shared" si="90"/>
        <v>2443.4532578884769</v>
      </c>
      <c r="P196" s="60">
        <f t="shared" si="90"/>
        <v>2236.9065157769537</v>
      </c>
      <c r="Q196" s="60">
        <f t="shared" si="90"/>
        <v>2030.3597736654308</v>
      </c>
      <c r="R196" s="60">
        <f t="shared" si="90"/>
        <v>1823.8130315539079</v>
      </c>
      <c r="S196" s="60">
        <f t="shared" si="90"/>
        <v>1617.266289442385</v>
      </c>
      <c r="T196" s="60">
        <f t="shared" si="90"/>
        <v>1410.719547330862</v>
      </c>
      <c r="U196" s="60">
        <f t="shared" si="90"/>
        <v>1204.1728052193391</v>
      </c>
      <c r="V196" s="60">
        <f t="shared" si="90"/>
        <v>997.62606310781609</v>
      </c>
      <c r="W196" s="60">
        <f t="shared" si="90"/>
        <v>791.07932099629318</v>
      </c>
      <c r="X196" s="60">
        <f t="shared" si="90"/>
        <v>779.04436405956324</v>
      </c>
      <c r="Y196" s="60">
        <f t="shared" si="90"/>
        <v>767.0094071228333</v>
      </c>
      <c r="Z196" s="60">
        <f t="shared" si="90"/>
        <v>754.97445018610335</v>
      </c>
      <c r="AA196" s="60">
        <f t="shared" si="90"/>
        <v>742.93949324937341</v>
      </c>
      <c r="AB196" s="60">
        <f t="shared" si="90"/>
        <v>730.90453631264347</v>
      </c>
      <c r="AC196" s="60">
        <f t="shared" si="90"/>
        <v>718.86957937591353</v>
      </c>
      <c r="AD196" s="60">
        <f t="shared" si="90"/>
        <v>706.83462243918359</v>
      </c>
      <c r="AE196" s="60">
        <f t="shared" si="90"/>
        <v>694.79966550245365</v>
      </c>
      <c r="AF196" s="60">
        <f t="shared" si="90"/>
        <v>682.76470856572371</v>
      </c>
      <c r="AG196" s="60">
        <f t="shared" si="90"/>
        <v>670.72975162899377</v>
      </c>
      <c r="AH196" s="60">
        <f t="shared" si="90"/>
        <v>658.69479469226383</v>
      </c>
      <c r="AI196" s="60">
        <f t="shared" si="90"/>
        <v>646.65983775553389</v>
      </c>
      <c r="AJ196" s="60">
        <f t="shared" si="90"/>
        <v>634.62488081880394</v>
      </c>
      <c r="AK196" s="60">
        <f t="shared" si="90"/>
        <v>622.589923882074</v>
      </c>
      <c r="AL196" s="60">
        <f t="shared" si="90"/>
        <v>610.55496694534406</v>
      </c>
      <c r="AM196" s="60">
        <f t="shared" si="90"/>
        <v>598.52001000861412</v>
      </c>
      <c r="AN196" s="60">
        <f t="shared" si="90"/>
        <v>586.48505307188418</v>
      </c>
      <c r="AO196" s="60">
        <f t="shared" si="90"/>
        <v>574.45009613515424</v>
      </c>
      <c r="AP196" s="60">
        <f t="shared" si="90"/>
        <v>562.4151391984243</v>
      </c>
      <c r="AQ196" s="60">
        <f t="shared" si="90"/>
        <v>550.38018226169538</v>
      </c>
    </row>
    <row r="197" spans="7:91" ht="14.25" hidden="1" customHeight="1" x14ac:dyDescent="0.15">
      <c r="G197" s="7"/>
      <c r="H197" s="207"/>
      <c r="J197" s="156"/>
      <c r="K197" s="5" t="s">
        <v>89</v>
      </c>
      <c r="L197" s="47" t="s">
        <v>66</v>
      </c>
      <c r="M197" s="59">
        <f t="shared" ref="M197:AQ197" si="91">M194</f>
        <v>2743.3329999999996</v>
      </c>
      <c r="N197" s="59">
        <f t="shared" si="91"/>
        <v>2650</v>
      </c>
      <c r="O197" s="59">
        <f t="shared" si="91"/>
        <v>2468.4920686351961</v>
      </c>
      <c r="P197" s="59">
        <f t="shared" si="91"/>
        <v>2286.9841372703922</v>
      </c>
      <c r="Q197" s="59">
        <f t="shared" si="91"/>
        <v>2105.4762059055884</v>
      </c>
      <c r="R197" s="59">
        <f t="shared" si="91"/>
        <v>1923.9682745407847</v>
      </c>
      <c r="S197" s="59">
        <f t="shared" si="91"/>
        <v>1742.4603431759811</v>
      </c>
      <c r="T197" s="59">
        <f t="shared" si="91"/>
        <v>1560.9524118111774</v>
      </c>
      <c r="U197" s="59">
        <f t="shared" si="91"/>
        <v>1379.4444804463737</v>
      </c>
      <c r="V197" s="59">
        <f t="shared" si="91"/>
        <v>1197.9365490815701</v>
      </c>
      <c r="W197" s="59">
        <f t="shared" si="91"/>
        <v>1016.4286177167666</v>
      </c>
      <c r="X197" s="59">
        <f t="shared" si="91"/>
        <v>1005.1611528807429</v>
      </c>
      <c r="Y197" s="59">
        <f t="shared" si="91"/>
        <v>993.89368804471917</v>
      </c>
      <c r="Z197" s="59">
        <f t="shared" si="91"/>
        <v>982.62622320869548</v>
      </c>
      <c r="AA197" s="59">
        <f t="shared" si="91"/>
        <v>971.35875837267179</v>
      </c>
      <c r="AB197" s="59">
        <f t="shared" si="91"/>
        <v>960.0912935366481</v>
      </c>
      <c r="AC197" s="59">
        <f t="shared" si="91"/>
        <v>948.8238287006244</v>
      </c>
      <c r="AD197" s="59">
        <f t="shared" si="91"/>
        <v>937.55636386460071</v>
      </c>
      <c r="AE197" s="59">
        <f t="shared" si="91"/>
        <v>926.28889902857702</v>
      </c>
      <c r="AF197" s="59">
        <f t="shared" si="91"/>
        <v>915.02143419255333</v>
      </c>
      <c r="AG197" s="59">
        <f t="shared" si="91"/>
        <v>903.75396935652964</v>
      </c>
      <c r="AH197" s="59">
        <f t="shared" si="91"/>
        <v>892.48650452050595</v>
      </c>
      <c r="AI197" s="59">
        <f t="shared" si="91"/>
        <v>881.21903968448225</v>
      </c>
      <c r="AJ197" s="59">
        <f t="shared" si="91"/>
        <v>869.95157484845856</v>
      </c>
      <c r="AK197" s="59">
        <f t="shared" si="91"/>
        <v>858.68411001243487</v>
      </c>
      <c r="AL197" s="59">
        <f t="shared" si="91"/>
        <v>847.41664517641118</v>
      </c>
      <c r="AM197" s="59">
        <f t="shared" si="91"/>
        <v>836.14918034038749</v>
      </c>
      <c r="AN197" s="59">
        <f t="shared" si="91"/>
        <v>824.8817155043638</v>
      </c>
      <c r="AO197" s="59">
        <f t="shared" si="91"/>
        <v>813.61425066834011</v>
      </c>
      <c r="AP197" s="59">
        <f t="shared" si="91"/>
        <v>802.34678583231641</v>
      </c>
      <c r="AQ197" s="59">
        <f t="shared" si="91"/>
        <v>791.07932099629318</v>
      </c>
    </row>
    <row r="198" spans="7:91" ht="14.25" hidden="1" customHeight="1" thickBot="1" x14ac:dyDescent="0.2">
      <c r="G198" s="7"/>
      <c r="H198" s="207"/>
      <c r="J198" s="156"/>
      <c r="K198" s="14" t="s">
        <v>89</v>
      </c>
      <c r="L198" s="14" t="s">
        <v>62</v>
      </c>
      <c r="M198" s="58">
        <f t="shared" ref="M198:AQ198" si="92">M195</f>
        <v>2743.3329999999996</v>
      </c>
      <c r="N198" s="58">
        <f t="shared" si="92"/>
        <v>2650</v>
      </c>
      <c r="O198" s="58">
        <f t="shared" si="92"/>
        <v>2609.4919276554911</v>
      </c>
      <c r="P198" s="58">
        <f t="shared" si="92"/>
        <v>2568.9838553109821</v>
      </c>
      <c r="Q198" s="58">
        <f t="shared" si="92"/>
        <v>2528.4757829664732</v>
      </c>
      <c r="R198" s="58">
        <f t="shared" si="92"/>
        <v>2487.9677106219642</v>
      </c>
      <c r="S198" s="58">
        <f t="shared" si="92"/>
        <v>2447.4596382774553</v>
      </c>
      <c r="T198" s="58">
        <f t="shared" si="92"/>
        <v>2406.9515659329463</v>
      </c>
      <c r="U198" s="58">
        <f t="shared" si="92"/>
        <v>2366.4434935884374</v>
      </c>
      <c r="V198" s="58">
        <f t="shared" si="92"/>
        <v>2325.9354212439284</v>
      </c>
      <c r="W198" s="58">
        <f t="shared" si="92"/>
        <v>2285.4273488994199</v>
      </c>
      <c r="X198" s="58">
        <f t="shared" si="92"/>
        <v>2221.9774123402872</v>
      </c>
      <c r="Y198" s="58">
        <f t="shared" si="92"/>
        <v>2158.5274757811544</v>
      </c>
      <c r="Z198" s="58">
        <f t="shared" si="92"/>
        <v>2095.0775392220216</v>
      </c>
      <c r="AA198" s="58">
        <f t="shared" si="92"/>
        <v>2031.6276026628889</v>
      </c>
      <c r="AB198" s="58">
        <f t="shared" si="92"/>
        <v>1968.1776661037561</v>
      </c>
      <c r="AC198" s="58">
        <f t="shared" si="92"/>
        <v>1904.7277295446233</v>
      </c>
      <c r="AD198" s="58">
        <f t="shared" si="92"/>
        <v>1841.2777929854906</v>
      </c>
      <c r="AE198" s="58">
        <f t="shared" si="92"/>
        <v>1777.8278564263578</v>
      </c>
      <c r="AF198" s="58">
        <f t="shared" si="92"/>
        <v>1714.377919867225</v>
      </c>
      <c r="AG198" s="58">
        <f t="shared" si="92"/>
        <v>1650.9279833080923</v>
      </c>
      <c r="AH198" s="58">
        <f t="shared" si="92"/>
        <v>1587.4780467489595</v>
      </c>
      <c r="AI198" s="58">
        <f t="shared" si="92"/>
        <v>1524.0281101898267</v>
      </c>
      <c r="AJ198" s="58">
        <f t="shared" si="92"/>
        <v>1460.578173630694</v>
      </c>
      <c r="AK198" s="58">
        <f t="shared" si="92"/>
        <v>1397.1282370715612</v>
      </c>
      <c r="AL198" s="58">
        <f t="shared" si="92"/>
        <v>1333.6783005124285</v>
      </c>
      <c r="AM198" s="58">
        <f t="shared" si="92"/>
        <v>1270.2283639532957</v>
      </c>
      <c r="AN198" s="58">
        <f t="shared" si="92"/>
        <v>1206.7784273941629</v>
      </c>
      <c r="AO198" s="58">
        <f t="shared" si="92"/>
        <v>1143.3284908350302</v>
      </c>
      <c r="AP198" s="58">
        <f t="shared" si="92"/>
        <v>1079.8785542758974</v>
      </c>
      <c r="AQ198" s="58">
        <f t="shared" si="92"/>
        <v>1016.4286177167666</v>
      </c>
      <c r="BZ198" s="63"/>
      <c r="CA198" s="63"/>
      <c r="CB198" s="63"/>
      <c r="CC198" s="63"/>
      <c r="CD198" s="63"/>
      <c r="CE198" s="63"/>
      <c r="CF198" s="63"/>
      <c r="CG198" s="63"/>
      <c r="CH198" s="63"/>
      <c r="CI198" s="63"/>
      <c r="CJ198" s="63"/>
      <c r="CK198" s="63"/>
      <c r="CL198" s="63"/>
      <c r="CM198" s="63"/>
    </row>
    <row r="199" spans="7:91" ht="14.25" hidden="1" customHeight="1" thickTop="1" x14ac:dyDescent="0.15">
      <c r="G199" s="7"/>
      <c r="H199" s="207"/>
      <c r="J199" s="156"/>
      <c r="K199" s="13" t="s">
        <v>88</v>
      </c>
      <c r="L199" s="13" t="s">
        <v>67</v>
      </c>
      <c r="M199" s="60">
        <f t="shared" ref="M199:AQ199" si="93">M196</f>
        <v>2743.3329999999996</v>
      </c>
      <c r="N199" s="60">
        <f t="shared" si="93"/>
        <v>2650</v>
      </c>
      <c r="O199" s="60">
        <f t="shared" si="93"/>
        <v>2443.4532578884769</v>
      </c>
      <c r="P199" s="60">
        <f t="shared" si="93"/>
        <v>2236.9065157769537</v>
      </c>
      <c r="Q199" s="60">
        <f t="shared" si="93"/>
        <v>2030.3597736654308</v>
      </c>
      <c r="R199" s="60">
        <f t="shared" si="93"/>
        <v>1823.8130315539079</v>
      </c>
      <c r="S199" s="60">
        <f t="shared" si="93"/>
        <v>1617.266289442385</v>
      </c>
      <c r="T199" s="60">
        <f t="shared" si="93"/>
        <v>1410.719547330862</v>
      </c>
      <c r="U199" s="60">
        <f t="shared" si="93"/>
        <v>1204.1728052193391</v>
      </c>
      <c r="V199" s="60">
        <f t="shared" si="93"/>
        <v>997.62606310781609</v>
      </c>
      <c r="W199" s="60">
        <f t="shared" si="93"/>
        <v>791.07932099629318</v>
      </c>
      <c r="X199" s="60">
        <f t="shared" si="93"/>
        <v>779.04436405956324</v>
      </c>
      <c r="Y199" s="60">
        <f t="shared" si="93"/>
        <v>767.0094071228333</v>
      </c>
      <c r="Z199" s="60">
        <f t="shared" si="93"/>
        <v>754.97445018610335</v>
      </c>
      <c r="AA199" s="60">
        <f t="shared" si="93"/>
        <v>742.93949324937341</v>
      </c>
      <c r="AB199" s="60">
        <f t="shared" si="93"/>
        <v>730.90453631264347</v>
      </c>
      <c r="AC199" s="60">
        <f t="shared" si="93"/>
        <v>718.86957937591353</v>
      </c>
      <c r="AD199" s="60">
        <f t="shared" si="93"/>
        <v>706.83462243918359</v>
      </c>
      <c r="AE199" s="60">
        <f t="shared" si="93"/>
        <v>694.79966550245365</v>
      </c>
      <c r="AF199" s="60">
        <f t="shared" si="93"/>
        <v>682.76470856572371</v>
      </c>
      <c r="AG199" s="60">
        <f t="shared" si="93"/>
        <v>670.72975162899377</v>
      </c>
      <c r="AH199" s="60">
        <f t="shared" si="93"/>
        <v>658.69479469226383</v>
      </c>
      <c r="AI199" s="60">
        <f t="shared" si="93"/>
        <v>646.65983775553389</v>
      </c>
      <c r="AJ199" s="60">
        <f t="shared" si="93"/>
        <v>634.62488081880394</v>
      </c>
      <c r="AK199" s="60">
        <f t="shared" si="93"/>
        <v>622.589923882074</v>
      </c>
      <c r="AL199" s="60">
        <f t="shared" si="93"/>
        <v>610.55496694534406</v>
      </c>
      <c r="AM199" s="60">
        <f t="shared" si="93"/>
        <v>598.52001000861412</v>
      </c>
      <c r="AN199" s="60">
        <f t="shared" si="93"/>
        <v>586.48505307188418</v>
      </c>
      <c r="AO199" s="60">
        <f t="shared" si="93"/>
        <v>574.45009613515424</v>
      </c>
      <c r="AP199" s="60">
        <f t="shared" si="93"/>
        <v>562.4151391984243</v>
      </c>
      <c r="AQ199" s="60">
        <f t="shared" si="93"/>
        <v>550.38018226169538</v>
      </c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</row>
    <row r="200" spans="7:91" ht="14.25" hidden="1" customHeight="1" x14ac:dyDescent="0.15">
      <c r="G200" s="7"/>
      <c r="H200" s="207"/>
      <c r="J200" s="156"/>
      <c r="K200" s="5" t="s">
        <v>88</v>
      </c>
      <c r="L200" s="47" t="s">
        <v>66</v>
      </c>
      <c r="M200" s="59">
        <f t="shared" ref="M200:AQ200" si="94">M197</f>
        <v>2743.3329999999996</v>
      </c>
      <c r="N200" s="59">
        <f t="shared" si="94"/>
        <v>2650</v>
      </c>
      <c r="O200" s="59">
        <f t="shared" si="94"/>
        <v>2468.4920686351961</v>
      </c>
      <c r="P200" s="59">
        <f t="shared" si="94"/>
        <v>2286.9841372703922</v>
      </c>
      <c r="Q200" s="59">
        <f t="shared" si="94"/>
        <v>2105.4762059055884</v>
      </c>
      <c r="R200" s="59">
        <f t="shared" si="94"/>
        <v>1923.9682745407847</v>
      </c>
      <c r="S200" s="59">
        <f t="shared" si="94"/>
        <v>1742.4603431759811</v>
      </c>
      <c r="T200" s="59">
        <f t="shared" si="94"/>
        <v>1560.9524118111774</v>
      </c>
      <c r="U200" s="59">
        <f t="shared" si="94"/>
        <v>1379.4444804463737</v>
      </c>
      <c r="V200" s="59">
        <f t="shared" si="94"/>
        <v>1197.9365490815701</v>
      </c>
      <c r="W200" s="59">
        <f t="shared" si="94"/>
        <v>1016.4286177167666</v>
      </c>
      <c r="X200" s="59">
        <f t="shared" si="94"/>
        <v>1005.1611528807429</v>
      </c>
      <c r="Y200" s="59">
        <f t="shared" si="94"/>
        <v>993.89368804471917</v>
      </c>
      <c r="Z200" s="59">
        <f t="shared" si="94"/>
        <v>982.62622320869548</v>
      </c>
      <c r="AA200" s="59">
        <f t="shared" si="94"/>
        <v>971.35875837267179</v>
      </c>
      <c r="AB200" s="59">
        <f t="shared" si="94"/>
        <v>960.0912935366481</v>
      </c>
      <c r="AC200" s="59">
        <f t="shared" si="94"/>
        <v>948.8238287006244</v>
      </c>
      <c r="AD200" s="59">
        <f t="shared" si="94"/>
        <v>937.55636386460071</v>
      </c>
      <c r="AE200" s="59">
        <f t="shared" si="94"/>
        <v>926.28889902857702</v>
      </c>
      <c r="AF200" s="59">
        <f t="shared" si="94"/>
        <v>915.02143419255333</v>
      </c>
      <c r="AG200" s="59">
        <f t="shared" si="94"/>
        <v>903.75396935652964</v>
      </c>
      <c r="AH200" s="59">
        <f t="shared" si="94"/>
        <v>892.48650452050595</v>
      </c>
      <c r="AI200" s="59">
        <f t="shared" si="94"/>
        <v>881.21903968448225</v>
      </c>
      <c r="AJ200" s="59">
        <f t="shared" si="94"/>
        <v>869.95157484845856</v>
      </c>
      <c r="AK200" s="59">
        <f t="shared" si="94"/>
        <v>858.68411001243487</v>
      </c>
      <c r="AL200" s="59">
        <f t="shared" si="94"/>
        <v>847.41664517641118</v>
      </c>
      <c r="AM200" s="59">
        <f t="shared" si="94"/>
        <v>836.14918034038749</v>
      </c>
      <c r="AN200" s="59">
        <f t="shared" si="94"/>
        <v>824.8817155043638</v>
      </c>
      <c r="AO200" s="59">
        <f t="shared" si="94"/>
        <v>813.61425066834011</v>
      </c>
      <c r="AP200" s="59">
        <f t="shared" si="94"/>
        <v>802.34678583231641</v>
      </c>
      <c r="AQ200" s="59">
        <f t="shared" si="94"/>
        <v>791.07932099629318</v>
      </c>
    </row>
    <row r="201" spans="7:91" ht="14.25" hidden="1" customHeight="1" thickBot="1" x14ac:dyDescent="0.2">
      <c r="G201" s="7"/>
      <c r="H201" s="207"/>
      <c r="J201" s="156"/>
      <c r="K201" s="14" t="s">
        <v>88</v>
      </c>
      <c r="L201" s="14" t="s">
        <v>62</v>
      </c>
      <c r="M201" s="58">
        <f t="shared" ref="M201:AQ201" si="95">M198</f>
        <v>2743.3329999999996</v>
      </c>
      <c r="N201" s="58">
        <f t="shared" si="95"/>
        <v>2650</v>
      </c>
      <c r="O201" s="58">
        <f t="shared" si="95"/>
        <v>2609.4919276554911</v>
      </c>
      <c r="P201" s="58">
        <f t="shared" si="95"/>
        <v>2568.9838553109821</v>
      </c>
      <c r="Q201" s="58">
        <f t="shared" si="95"/>
        <v>2528.4757829664732</v>
      </c>
      <c r="R201" s="58">
        <f t="shared" si="95"/>
        <v>2487.9677106219642</v>
      </c>
      <c r="S201" s="58">
        <f t="shared" si="95"/>
        <v>2447.4596382774553</v>
      </c>
      <c r="T201" s="58">
        <f t="shared" si="95"/>
        <v>2406.9515659329463</v>
      </c>
      <c r="U201" s="58">
        <f t="shared" si="95"/>
        <v>2366.4434935884374</v>
      </c>
      <c r="V201" s="58">
        <f t="shared" si="95"/>
        <v>2325.9354212439284</v>
      </c>
      <c r="W201" s="58">
        <f t="shared" si="95"/>
        <v>2285.4273488994199</v>
      </c>
      <c r="X201" s="58">
        <f t="shared" si="95"/>
        <v>2221.9774123402872</v>
      </c>
      <c r="Y201" s="58">
        <f t="shared" si="95"/>
        <v>2158.5274757811544</v>
      </c>
      <c r="Z201" s="58">
        <f t="shared" si="95"/>
        <v>2095.0775392220216</v>
      </c>
      <c r="AA201" s="58">
        <f t="shared" si="95"/>
        <v>2031.6276026628889</v>
      </c>
      <c r="AB201" s="58">
        <f t="shared" si="95"/>
        <v>1968.1776661037561</v>
      </c>
      <c r="AC201" s="58">
        <f t="shared" si="95"/>
        <v>1904.7277295446233</v>
      </c>
      <c r="AD201" s="58">
        <f t="shared" si="95"/>
        <v>1841.2777929854906</v>
      </c>
      <c r="AE201" s="58">
        <f t="shared" si="95"/>
        <v>1777.8278564263578</v>
      </c>
      <c r="AF201" s="58">
        <f t="shared" si="95"/>
        <v>1714.377919867225</v>
      </c>
      <c r="AG201" s="58">
        <f t="shared" si="95"/>
        <v>1650.9279833080923</v>
      </c>
      <c r="AH201" s="58">
        <f t="shared" si="95"/>
        <v>1587.4780467489595</v>
      </c>
      <c r="AI201" s="58">
        <f t="shared" si="95"/>
        <v>1524.0281101898267</v>
      </c>
      <c r="AJ201" s="58">
        <f t="shared" si="95"/>
        <v>1460.578173630694</v>
      </c>
      <c r="AK201" s="58">
        <f t="shared" si="95"/>
        <v>1397.1282370715612</v>
      </c>
      <c r="AL201" s="58">
        <f t="shared" si="95"/>
        <v>1333.6783005124285</v>
      </c>
      <c r="AM201" s="58">
        <f t="shared" si="95"/>
        <v>1270.2283639532957</v>
      </c>
      <c r="AN201" s="58">
        <f t="shared" si="95"/>
        <v>1206.7784273941629</v>
      </c>
      <c r="AO201" s="58">
        <f t="shared" si="95"/>
        <v>1143.3284908350302</v>
      </c>
      <c r="AP201" s="58">
        <f t="shared" si="95"/>
        <v>1079.8785542758974</v>
      </c>
      <c r="AQ201" s="58">
        <f t="shared" si="95"/>
        <v>1016.4286177167666</v>
      </c>
    </row>
    <row r="202" spans="7:91" ht="14.25" hidden="1" customHeight="1" thickTop="1" x14ac:dyDescent="0.15">
      <c r="G202" s="7"/>
      <c r="H202" s="207"/>
      <c r="J202" s="156"/>
      <c r="K202" s="13" t="s">
        <v>87</v>
      </c>
      <c r="L202" s="13" t="s">
        <v>67</v>
      </c>
      <c r="M202" s="60">
        <f t="shared" ref="M202:AQ202" si="96">M199</f>
        <v>2743.3329999999996</v>
      </c>
      <c r="N202" s="60">
        <f t="shared" si="96"/>
        <v>2650</v>
      </c>
      <c r="O202" s="60">
        <f t="shared" si="96"/>
        <v>2443.4532578884769</v>
      </c>
      <c r="P202" s="60">
        <f t="shared" si="96"/>
        <v>2236.9065157769537</v>
      </c>
      <c r="Q202" s="60">
        <f t="shared" si="96"/>
        <v>2030.3597736654308</v>
      </c>
      <c r="R202" s="60">
        <f t="shared" si="96"/>
        <v>1823.8130315539079</v>
      </c>
      <c r="S202" s="60">
        <f t="shared" si="96"/>
        <v>1617.266289442385</v>
      </c>
      <c r="T202" s="60">
        <f t="shared" si="96"/>
        <v>1410.719547330862</v>
      </c>
      <c r="U202" s="60">
        <f t="shared" si="96"/>
        <v>1204.1728052193391</v>
      </c>
      <c r="V202" s="60">
        <f t="shared" si="96"/>
        <v>997.62606310781609</v>
      </c>
      <c r="W202" s="60">
        <f t="shared" si="96"/>
        <v>791.07932099629318</v>
      </c>
      <c r="X202" s="60">
        <f t="shared" si="96"/>
        <v>779.04436405956324</v>
      </c>
      <c r="Y202" s="60">
        <f t="shared" si="96"/>
        <v>767.0094071228333</v>
      </c>
      <c r="Z202" s="60">
        <f t="shared" si="96"/>
        <v>754.97445018610335</v>
      </c>
      <c r="AA202" s="60">
        <f t="shared" si="96"/>
        <v>742.93949324937341</v>
      </c>
      <c r="AB202" s="60">
        <f t="shared" si="96"/>
        <v>730.90453631264347</v>
      </c>
      <c r="AC202" s="60">
        <f t="shared" si="96"/>
        <v>718.86957937591353</v>
      </c>
      <c r="AD202" s="60">
        <f t="shared" si="96"/>
        <v>706.83462243918359</v>
      </c>
      <c r="AE202" s="60">
        <f t="shared" si="96"/>
        <v>694.79966550245365</v>
      </c>
      <c r="AF202" s="60">
        <f t="shared" si="96"/>
        <v>682.76470856572371</v>
      </c>
      <c r="AG202" s="60">
        <f t="shared" si="96"/>
        <v>670.72975162899377</v>
      </c>
      <c r="AH202" s="60">
        <f t="shared" si="96"/>
        <v>658.69479469226383</v>
      </c>
      <c r="AI202" s="60">
        <f t="shared" si="96"/>
        <v>646.65983775553389</v>
      </c>
      <c r="AJ202" s="60">
        <f t="shared" si="96"/>
        <v>634.62488081880394</v>
      </c>
      <c r="AK202" s="60">
        <f t="shared" si="96"/>
        <v>622.589923882074</v>
      </c>
      <c r="AL202" s="60">
        <f t="shared" si="96"/>
        <v>610.55496694534406</v>
      </c>
      <c r="AM202" s="60">
        <f t="shared" si="96"/>
        <v>598.52001000861412</v>
      </c>
      <c r="AN202" s="60">
        <f t="shared" si="96"/>
        <v>586.48505307188418</v>
      </c>
      <c r="AO202" s="60">
        <f t="shared" si="96"/>
        <v>574.45009613515424</v>
      </c>
      <c r="AP202" s="60">
        <f t="shared" si="96"/>
        <v>562.4151391984243</v>
      </c>
      <c r="AQ202" s="60">
        <f t="shared" si="96"/>
        <v>550.38018226169538</v>
      </c>
    </row>
    <row r="203" spans="7:91" ht="14.25" hidden="1" customHeight="1" x14ac:dyDescent="0.15">
      <c r="G203" s="7"/>
      <c r="H203" s="207"/>
      <c r="J203" s="156"/>
      <c r="K203" s="5" t="s">
        <v>87</v>
      </c>
      <c r="L203" s="47" t="s">
        <v>66</v>
      </c>
      <c r="M203" s="59">
        <f t="shared" ref="M203:AQ203" si="97">M200</f>
        <v>2743.3329999999996</v>
      </c>
      <c r="N203" s="59">
        <f t="shared" si="97"/>
        <v>2650</v>
      </c>
      <c r="O203" s="59">
        <f t="shared" si="97"/>
        <v>2468.4920686351961</v>
      </c>
      <c r="P203" s="59">
        <f t="shared" si="97"/>
        <v>2286.9841372703922</v>
      </c>
      <c r="Q203" s="59">
        <f t="shared" si="97"/>
        <v>2105.4762059055884</v>
      </c>
      <c r="R203" s="59">
        <f t="shared" si="97"/>
        <v>1923.9682745407847</v>
      </c>
      <c r="S203" s="59">
        <f t="shared" si="97"/>
        <v>1742.4603431759811</v>
      </c>
      <c r="T203" s="59">
        <f t="shared" si="97"/>
        <v>1560.9524118111774</v>
      </c>
      <c r="U203" s="59">
        <f t="shared" si="97"/>
        <v>1379.4444804463737</v>
      </c>
      <c r="V203" s="59">
        <f t="shared" si="97"/>
        <v>1197.9365490815701</v>
      </c>
      <c r="W203" s="59">
        <f t="shared" si="97"/>
        <v>1016.4286177167666</v>
      </c>
      <c r="X203" s="59">
        <f t="shared" si="97"/>
        <v>1005.1611528807429</v>
      </c>
      <c r="Y203" s="59">
        <f t="shared" si="97"/>
        <v>993.89368804471917</v>
      </c>
      <c r="Z203" s="59">
        <f t="shared" si="97"/>
        <v>982.62622320869548</v>
      </c>
      <c r="AA203" s="59">
        <f t="shared" si="97"/>
        <v>971.35875837267179</v>
      </c>
      <c r="AB203" s="59">
        <f t="shared" si="97"/>
        <v>960.0912935366481</v>
      </c>
      <c r="AC203" s="59">
        <f t="shared" si="97"/>
        <v>948.8238287006244</v>
      </c>
      <c r="AD203" s="59">
        <f t="shared" si="97"/>
        <v>937.55636386460071</v>
      </c>
      <c r="AE203" s="59">
        <f t="shared" si="97"/>
        <v>926.28889902857702</v>
      </c>
      <c r="AF203" s="59">
        <f t="shared" si="97"/>
        <v>915.02143419255333</v>
      </c>
      <c r="AG203" s="59">
        <f t="shared" si="97"/>
        <v>903.75396935652964</v>
      </c>
      <c r="AH203" s="59">
        <f t="shared" si="97"/>
        <v>892.48650452050595</v>
      </c>
      <c r="AI203" s="59">
        <f t="shared" si="97"/>
        <v>881.21903968448225</v>
      </c>
      <c r="AJ203" s="59">
        <f t="shared" si="97"/>
        <v>869.95157484845856</v>
      </c>
      <c r="AK203" s="59">
        <f t="shared" si="97"/>
        <v>858.68411001243487</v>
      </c>
      <c r="AL203" s="59">
        <f t="shared" si="97"/>
        <v>847.41664517641118</v>
      </c>
      <c r="AM203" s="59">
        <f t="shared" si="97"/>
        <v>836.14918034038749</v>
      </c>
      <c r="AN203" s="59">
        <f t="shared" si="97"/>
        <v>824.8817155043638</v>
      </c>
      <c r="AO203" s="59">
        <f t="shared" si="97"/>
        <v>813.61425066834011</v>
      </c>
      <c r="AP203" s="59">
        <f t="shared" si="97"/>
        <v>802.34678583231641</v>
      </c>
      <c r="AQ203" s="59">
        <f t="shared" si="97"/>
        <v>791.07932099629318</v>
      </c>
    </row>
    <row r="204" spans="7:91" ht="14.25" hidden="1" customHeight="1" thickBot="1" x14ac:dyDescent="0.2">
      <c r="G204" s="7"/>
      <c r="H204" s="207"/>
      <c r="J204" s="156"/>
      <c r="K204" s="14" t="s">
        <v>87</v>
      </c>
      <c r="L204" s="14" t="s">
        <v>62</v>
      </c>
      <c r="M204" s="58">
        <f t="shared" ref="M204:AQ204" si="98">M201</f>
        <v>2743.3329999999996</v>
      </c>
      <c r="N204" s="58">
        <f t="shared" si="98"/>
        <v>2650</v>
      </c>
      <c r="O204" s="58">
        <f t="shared" si="98"/>
        <v>2609.4919276554911</v>
      </c>
      <c r="P204" s="58">
        <f t="shared" si="98"/>
        <v>2568.9838553109821</v>
      </c>
      <c r="Q204" s="58">
        <f t="shared" si="98"/>
        <v>2528.4757829664732</v>
      </c>
      <c r="R204" s="58">
        <f t="shared" si="98"/>
        <v>2487.9677106219642</v>
      </c>
      <c r="S204" s="58">
        <f t="shared" si="98"/>
        <v>2447.4596382774553</v>
      </c>
      <c r="T204" s="58">
        <f t="shared" si="98"/>
        <v>2406.9515659329463</v>
      </c>
      <c r="U204" s="58">
        <f t="shared" si="98"/>
        <v>2366.4434935884374</v>
      </c>
      <c r="V204" s="58">
        <f t="shared" si="98"/>
        <v>2325.9354212439284</v>
      </c>
      <c r="W204" s="58">
        <f t="shared" si="98"/>
        <v>2285.4273488994199</v>
      </c>
      <c r="X204" s="58">
        <f t="shared" si="98"/>
        <v>2221.9774123402872</v>
      </c>
      <c r="Y204" s="58">
        <f t="shared" si="98"/>
        <v>2158.5274757811544</v>
      </c>
      <c r="Z204" s="58">
        <f t="shared" si="98"/>
        <v>2095.0775392220216</v>
      </c>
      <c r="AA204" s="58">
        <f t="shared" si="98"/>
        <v>2031.6276026628889</v>
      </c>
      <c r="AB204" s="58">
        <f t="shared" si="98"/>
        <v>1968.1776661037561</v>
      </c>
      <c r="AC204" s="58">
        <f t="shared" si="98"/>
        <v>1904.7277295446233</v>
      </c>
      <c r="AD204" s="58">
        <f t="shared" si="98"/>
        <v>1841.2777929854906</v>
      </c>
      <c r="AE204" s="58">
        <f t="shared" si="98"/>
        <v>1777.8278564263578</v>
      </c>
      <c r="AF204" s="58">
        <f t="shared" si="98"/>
        <v>1714.377919867225</v>
      </c>
      <c r="AG204" s="58">
        <f t="shared" si="98"/>
        <v>1650.9279833080923</v>
      </c>
      <c r="AH204" s="58">
        <f t="shared" si="98"/>
        <v>1587.4780467489595</v>
      </c>
      <c r="AI204" s="58">
        <f t="shared" si="98"/>
        <v>1524.0281101898267</v>
      </c>
      <c r="AJ204" s="58">
        <f t="shared" si="98"/>
        <v>1460.578173630694</v>
      </c>
      <c r="AK204" s="58">
        <f t="shared" si="98"/>
        <v>1397.1282370715612</v>
      </c>
      <c r="AL204" s="58">
        <f t="shared" si="98"/>
        <v>1333.6783005124285</v>
      </c>
      <c r="AM204" s="58">
        <f t="shared" si="98"/>
        <v>1270.2283639532957</v>
      </c>
      <c r="AN204" s="58">
        <f t="shared" si="98"/>
        <v>1206.7784273941629</v>
      </c>
      <c r="AO204" s="58">
        <f t="shared" si="98"/>
        <v>1143.3284908350302</v>
      </c>
      <c r="AP204" s="58">
        <f t="shared" si="98"/>
        <v>1079.8785542758974</v>
      </c>
      <c r="AQ204" s="58">
        <f t="shared" si="98"/>
        <v>1016.4286177167666</v>
      </c>
    </row>
    <row r="205" spans="7:91" ht="14.25" hidden="1" customHeight="1" thickTop="1" x14ac:dyDescent="0.15">
      <c r="G205" s="7"/>
      <c r="H205" s="207"/>
      <c r="J205" s="156"/>
      <c r="K205" s="13" t="s">
        <v>86</v>
      </c>
      <c r="L205" s="13" t="s">
        <v>67</v>
      </c>
      <c r="M205" s="60">
        <f t="shared" ref="M205:AQ205" si="99">M202</f>
        <v>2743.3329999999996</v>
      </c>
      <c r="N205" s="60">
        <f t="shared" si="99"/>
        <v>2650</v>
      </c>
      <c r="O205" s="60">
        <f t="shared" si="99"/>
        <v>2443.4532578884769</v>
      </c>
      <c r="P205" s="60">
        <f t="shared" si="99"/>
        <v>2236.9065157769537</v>
      </c>
      <c r="Q205" s="60">
        <f t="shared" si="99"/>
        <v>2030.3597736654308</v>
      </c>
      <c r="R205" s="60">
        <f t="shared" si="99"/>
        <v>1823.8130315539079</v>
      </c>
      <c r="S205" s="60">
        <f t="shared" si="99"/>
        <v>1617.266289442385</v>
      </c>
      <c r="T205" s="60">
        <f t="shared" si="99"/>
        <v>1410.719547330862</v>
      </c>
      <c r="U205" s="60">
        <f t="shared" si="99"/>
        <v>1204.1728052193391</v>
      </c>
      <c r="V205" s="60">
        <f t="shared" si="99"/>
        <v>997.62606310781609</v>
      </c>
      <c r="W205" s="60">
        <f t="shared" si="99"/>
        <v>791.07932099629318</v>
      </c>
      <c r="X205" s="60">
        <f t="shared" si="99"/>
        <v>779.04436405956324</v>
      </c>
      <c r="Y205" s="60">
        <f t="shared" si="99"/>
        <v>767.0094071228333</v>
      </c>
      <c r="Z205" s="60">
        <f t="shared" si="99"/>
        <v>754.97445018610335</v>
      </c>
      <c r="AA205" s="60">
        <f t="shared" si="99"/>
        <v>742.93949324937341</v>
      </c>
      <c r="AB205" s="60">
        <f t="shared" si="99"/>
        <v>730.90453631264347</v>
      </c>
      <c r="AC205" s="60">
        <f t="shared" si="99"/>
        <v>718.86957937591353</v>
      </c>
      <c r="AD205" s="60">
        <f t="shared" si="99"/>
        <v>706.83462243918359</v>
      </c>
      <c r="AE205" s="60">
        <f t="shared" si="99"/>
        <v>694.79966550245365</v>
      </c>
      <c r="AF205" s="60">
        <f t="shared" si="99"/>
        <v>682.76470856572371</v>
      </c>
      <c r="AG205" s="60">
        <f t="shared" si="99"/>
        <v>670.72975162899377</v>
      </c>
      <c r="AH205" s="60">
        <f t="shared" si="99"/>
        <v>658.69479469226383</v>
      </c>
      <c r="AI205" s="60">
        <f t="shared" si="99"/>
        <v>646.65983775553389</v>
      </c>
      <c r="AJ205" s="60">
        <f t="shared" si="99"/>
        <v>634.62488081880394</v>
      </c>
      <c r="AK205" s="60">
        <f t="shared" si="99"/>
        <v>622.589923882074</v>
      </c>
      <c r="AL205" s="60">
        <f t="shared" si="99"/>
        <v>610.55496694534406</v>
      </c>
      <c r="AM205" s="60">
        <f t="shared" si="99"/>
        <v>598.52001000861412</v>
      </c>
      <c r="AN205" s="60">
        <f t="shared" si="99"/>
        <v>586.48505307188418</v>
      </c>
      <c r="AO205" s="60">
        <f t="shared" si="99"/>
        <v>574.45009613515424</v>
      </c>
      <c r="AP205" s="60">
        <f t="shared" si="99"/>
        <v>562.4151391984243</v>
      </c>
      <c r="AQ205" s="60">
        <f t="shared" si="99"/>
        <v>550.38018226169538</v>
      </c>
    </row>
    <row r="206" spans="7:91" ht="14.25" hidden="1" customHeight="1" x14ac:dyDescent="0.15">
      <c r="G206" s="7"/>
      <c r="H206" s="207"/>
      <c r="J206" s="156"/>
      <c r="K206" s="5" t="s">
        <v>86</v>
      </c>
      <c r="L206" s="47" t="s">
        <v>66</v>
      </c>
      <c r="M206" s="59">
        <f t="shared" ref="M206:AQ206" si="100">M203</f>
        <v>2743.3329999999996</v>
      </c>
      <c r="N206" s="59">
        <f t="shared" si="100"/>
        <v>2650</v>
      </c>
      <c r="O206" s="59">
        <f t="shared" si="100"/>
        <v>2468.4920686351961</v>
      </c>
      <c r="P206" s="59">
        <f t="shared" si="100"/>
        <v>2286.9841372703922</v>
      </c>
      <c r="Q206" s="59">
        <f t="shared" si="100"/>
        <v>2105.4762059055884</v>
      </c>
      <c r="R206" s="59">
        <f t="shared" si="100"/>
        <v>1923.9682745407847</v>
      </c>
      <c r="S206" s="59">
        <f t="shared" si="100"/>
        <v>1742.4603431759811</v>
      </c>
      <c r="T206" s="59">
        <f t="shared" si="100"/>
        <v>1560.9524118111774</v>
      </c>
      <c r="U206" s="59">
        <f t="shared" si="100"/>
        <v>1379.4444804463737</v>
      </c>
      <c r="V206" s="59">
        <f t="shared" si="100"/>
        <v>1197.9365490815701</v>
      </c>
      <c r="W206" s="59">
        <f t="shared" si="100"/>
        <v>1016.4286177167666</v>
      </c>
      <c r="X206" s="59">
        <f t="shared" si="100"/>
        <v>1005.1611528807429</v>
      </c>
      <c r="Y206" s="59">
        <f t="shared" si="100"/>
        <v>993.89368804471917</v>
      </c>
      <c r="Z206" s="59">
        <f t="shared" si="100"/>
        <v>982.62622320869548</v>
      </c>
      <c r="AA206" s="59">
        <f t="shared" si="100"/>
        <v>971.35875837267179</v>
      </c>
      <c r="AB206" s="59">
        <f t="shared" si="100"/>
        <v>960.0912935366481</v>
      </c>
      <c r="AC206" s="59">
        <f t="shared" si="100"/>
        <v>948.8238287006244</v>
      </c>
      <c r="AD206" s="59">
        <f t="shared" si="100"/>
        <v>937.55636386460071</v>
      </c>
      <c r="AE206" s="59">
        <f t="shared" si="100"/>
        <v>926.28889902857702</v>
      </c>
      <c r="AF206" s="59">
        <f t="shared" si="100"/>
        <v>915.02143419255333</v>
      </c>
      <c r="AG206" s="59">
        <f t="shared" si="100"/>
        <v>903.75396935652964</v>
      </c>
      <c r="AH206" s="59">
        <f t="shared" si="100"/>
        <v>892.48650452050595</v>
      </c>
      <c r="AI206" s="59">
        <f t="shared" si="100"/>
        <v>881.21903968448225</v>
      </c>
      <c r="AJ206" s="59">
        <f t="shared" si="100"/>
        <v>869.95157484845856</v>
      </c>
      <c r="AK206" s="59">
        <f t="shared" si="100"/>
        <v>858.68411001243487</v>
      </c>
      <c r="AL206" s="59">
        <f t="shared" si="100"/>
        <v>847.41664517641118</v>
      </c>
      <c r="AM206" s="59">
        <f t="shared" si="100"/>
        <v>836.14918034038749</v>
      </c>
      <c r="AN206" s="59">
        <f t="shared" si="100"/>
        <v>824.8817155043638</v>
      </c>
      <c r="AO206" s="59">
        <f t="shared" si="100"/>
        <v>813.61425066834011</v>
      </c>
      <c r="AP206" s="59">
        <f t="shared" si="100"/>
        <v>802.34678583231641</v>
      </c>
      <c r="AQ206" s="59">
        <f t="shared" si="100"/>
        <v>791.07932099629318</v>
      </c>
    </row>
    <row r="207" spans="7:91" ht="14.25" hidden="1" customHeight="1" thickBot="1" x14ac:dyDescent="0.2">
      <c r="G207" s="7"/>
      <c r="H207" s="207"/>
      <c r="J207" s="156"/>
      <c r="K207" s="14" t="s">
        <v>86</v>
      </c>
      <c r="L207" s="14" t="s">
        <v>62</v>
      </c>
      <c r="M207" s="58">
        <f t="shared" ref="M207:AQ207" si="101">M204</f>
        <v>2743.3329999999996</v>
      </c>
      <c r="N207" s="58">
        <f t="shared" si="101"/>
        <v>2650</v>
      </c>
      <c r="O207" s="58">
        <f t="shared" si="101"/>
        <v>2609.4919276554911</v>
      </c>
      <c r="P207" s="58">
        <f t="shared" si="101"/>
        <v>2568.9838553109821</v>
      </c>
      <c r="Q207" s="58">
        <f t="shared" si="101"/>
        <v>2528.4757829664732</v>
      </c>
      <c r="R207" s="58">
        <f t="shared" si="101"/>
        <v>2487.9677106219642</v>
      </c>
      <c r="S207" s="58">
        <f t="shared" si="101"/>
        <v>2447.4596382774553</v>
      </c>
      <c r="T207" s="58">
        <f t="shared" si="101"/>
        <v>2406.9515659329463</v>
      </c>
      <c r="U207" s="58">
        <f t="shared" si="101"/>
        <v>2366.4434935884374</v>
      </c>
      <c r="V207" s="58">
        <f t="shared" si="101"/>
        <v>2325.9354212439284</v>
      </c>
      <c r="W207" s="58">
        <f t="shared" si="101"/>
        <v>2285.4273488994199</v>
      </c>
      <c r="X207" s="58">
        <f t="shared" si="101"/>
        <v>2221.9774123402872</v>
      </c>
      <c r="Y207" s="58">
        <f t="shared" si="101"/>
        <v>2158.5274757811544</v>
      </c>
      <c r="Z207" s="58">
        <f t="shared" si="101"/>
        <v>2095.0775392220216</v>
      </c>
      <c r="AA207" s="58">
        <f t="shared" si="101"/>
        <v>2031.6276026628889</v>
      </c>
      <c r="AB207" s="58">
        <f t="shared" si="101"/>
        <v>1968.1776661037561</v>
      </c>
      <c r="AC207" s="58">
        <f t="shared" si="101"/>
        <v>1904.7277295446233</v>
      </c>
      <c r="AD207" s="58">
        <f t="shared" si="101"/>
        <v>1841.2777929854906</v>
      </c>
      <c r="AE207" s="58">
        <f t="shared" si="101"/>
        <v>1777.8278564263578</v>
      </c>
      <c r="AF207" s="58">
        <f t="shared" si="101"/>
        <v>1714.377919867225</v>
      </c>
      <c r="AG207" s="58">
        <f t="shared" si="101"/>
        <v>1650.9279833080923</v>
      </c>
      <c r="AH207" s="58">
        <f t="shared" si="101"/>
        <v>1587.4780467489595</v>
      </c>
      <c r="AI207" s="58">
        <f t="shared" si="101"/>
        <v>1524.0281101898267</v>
      </c>
      <c r="AJ207" s="58">
        <f t="shared" si="101"/>
        <v>1460.578173630694</v>
      </c>
      <c r="AK207" s="58">
        <f t="shared" si="101"/>
        <v>1397.1282370715612</v>
      </c>
      <c r="AL207" s="58">
        <f t="shared" si="101"/>
        <v>1333.6783005124285</v>
      </c>
      <c r="AM207" s="58">
        <f t="shared" si="101"/>
        <v>1270.2283639532957</v>
      </c>
      <c r="AN207" s="58">
        <f t="shared" si="101"/>
        <v>1206.7784273941629</v>
      </c>
      <c r="AO207" s="58">
        <f t="shared" si="101"/>
        <v>1143.3284908350302</v>
      </c>
      <c r="AP207" s="58">
        <f t="shared" si="101"/>
        <v>1079.8785542758974</v>
      </c>
      <c r="AQ207" s="58">
        <f t="shared" si="101"/>
        <v>1016.4286177167666</v>
      </c>
    </row>
    <row r="208" spans="7:91" ht="14.25" hidden="1" customHeight="1" thickTop="1" x14ac:dyDescent="0.15">
      <c r="G208" s="7"/>
      <c r="H208" s="207"/>
      <c r="J208" s="156"/>
      <c r="K208" s="13" t="s">
        <v>85</v>
      </c>
      <c r="L208" s="13" t="s">
        <v>67</v>
      </c>
      <c r="M208" s="60">
        <f t="shared" ref="M208:AQ208" si="102">M205</f>
        <v>2743.3329999999996</v>
      </c>
      <c r="N208" s="60">
        <f t="shared" si="102"/>
        <v>2650</v>
      </c>
      <c r="O208" s="60">
        <f t="shared" si="102"/>
        <v>2443.4532578884769</v>
      </c>
      <c r="P208" s="60">
        <f t="shared" si="102"/>
        <v>2236.9065157769537</v>
      </c>
      <c r="Q208" s="60">
        <f t="shared" si="102"/>
        <v>2030.3597736654308</v>
      </c>
      <c r="R208" s="60">
        <f t="shared" si="102"/>
        <v>1823.8130315539079</v>
      </c>
      <c r="S208" s="60">
        <f t="shared" si="102"/>
        <v>1617.266289442385</v>
      </c>
      <c r="T208" s="60">
        <f t="shared" si="102"/>
        <v>1410.719547330862</v>
      </c>
      <c r="U208" s="60">
        <f t="shared" si="102"/>
        <v>1204.1728052193391</v>
      </c>
      <c r="V208" s="60">
        <f t="shared" si="102"/>
        <v>997.62606310781609</v>
      </c>
      <c r="W208" s="60">
        <f t="shared" si="102"/>
        <v>791.07932099629318</v>
      </c>
      <c r="X208" s="60">
        <f t="shared" si="102"/>
        <v>779.04436405956324</v>
      </c>
      <c r="Y208" s="60">
        <f t="shared" si="102"/>
        <v>767.0094071228333</v>
      </c>
      <c r="Z208" s="60">
        <f t="shared" si="102"/>
        <v>754.97445018610335</v>
      </c>
      <c r="AA208" s="60">
        <f t="shared" si="102"/>
        <v>742.93949324937341</v>
      </c>
      <c r="AB208" s="60">
        <f t="shared" si="102"/>
        <v>730.90453631264347</v>
      </c>
      <c r="AC208" s="60">
        <f t="shared" si="102"/>
        <v>718.86957937591353</v>
      </c>
      <c r="AD208" s="60">
        <f t="shared" si="102"/>
        <v>706.83462243918359</v>
      </c>
      <c r="AE208" s="60">
        <f t="shared" si="102"/>
        <v>694.79966550245365</v>
      </c>
      <c r="AF208" s="60">
        <f t="shared" si="102"/>
        <v>682.76470856572371</v>
      </c>
      <c r="AG208" s="60">
        <f t="shared" si="102"/>
        <v>670.72975162899377</v>
      </c>
      <c r="AH208" s="60">
        <f t="shared" si="102"/>
        <v>658.69479469226383</v>
      </c>
      <c r="AI208" s="60">
        <f t="shared" si="102"/>
        <v>646.65983775553389</v>
      </c>
      <c r="AJ208" s="60">
        <f t="shared" si="102"/>
        <v>634.62488081880394</v>
      </c>
      <c r="AK208" s="60">
        <f t="shared" si="102"/>
        <v>622.589923882074</v>
      </c>
      <c r="AL208" s="60">
        <f t="shared" si="102"/>
        <v>610.55496694534406</v>
      </c>
      <c r="AM208" s="60">
        <f t="shared" si="102"/>
        <v>598.52001000861412</v>
      </c>
      <c r="AN208" s="60">
        <f t="shared" si="102"/>
        <v>586.48505307188418</v>
      </c>
      <c r="AO208" s="60">
        <f t="shared" si="102"/>
        <v>574.45009613515424</v>
      </c>
      <c r="AP208" s="60">
        <f t="shared" si="102"/>
        <v>562.4151391984243</v>
      </c>
      <c r="AQ208" s="60">
        <f t="shared" si="102"/>
        <v>550.38018226169538</v>
      </c>
    </row>
    <row r="209" spans="7:69" ht="14.25" hidden="1" customHeight="1" x14ac:dyDescent="0.15">
      <c r="G209" s="7"/>
      <c r="H209" s="207"/>
      <c r="J209" s="156"/>
      <c r="K209" s="5" t="s">
        <v>85</v>
      </c>
      <c r="L209" s="47" t="s">
        <v>66</v>
      </c>
      <c r="M209" s="59">
        <f t="shared" ref="M209:AQ209" si="103">M206</f>
        <v>2743.3329999999996</v>
      </c>
      <c r="N209" s="59">
        <f t="shared" si="103"/>
        <v>2650</v>
      </c>
      <c r="O209" s="59">
        <f t="shared" si="103"/>
        <v>2468.4920686351961</v>
      </c>
      <c r="P209" s="59">
        <f t="shared" si="103"/>
        <v>2286.9841372703922</v>
      </c>
      <c r="Q209" s="59">
        <f t="shared" si="103"/>
        <v>2105.4762059055884</v>
      </c>
      <c r="R209" s="59">
        <f t="shared" si="103"/>
        <v>1923.9682745407847</v>
      </c>
      <c r="S209" s="59">
        <f t="shared" si="103"/>
        <v>1742.4603431759811</v>
      </c>
      <c r="T209" s="59">
        <f t="shared" si="103"/>
        <v>1560.9524118111774</v>
      </c>
      <c r="U209" s="59">
        <f t="shared" si="103"/>
        <v>1379.4444804463737</v>
      </c>
      <c r="V209" s="59">
        <f t="shared" si="103"/>
        <v>1197.9365490815701</v>
      </c>
      <c r="W209" s="59">
        <f t="shared" si="103"/>
        <v>1016.4286177167666</v>
      </c>
      <c r="X209" s="59">
        <f t="shared" si="103"/>
        <v>1005.1611528807429</v>
      </c>
      <c r="Y209" s="59">
        <f t="shared" si="103"/>
        <v>993.89368804471917</v>
      </c>
      <c r="Z209" s="59">
        <f t="shared" si="103"/>
        <v>982.62622320869548</v>
      </c>
      <c r="AA209" s="59">
        <f t="shared" si="103"/>
        <v>971.35875837267179</v>
      </c>
      <c r="AB209" s="59">
        <f t="shared" si="103"/>
        <v>960.0912935366481</v>
      </c>
      <c r="AC209" s="59">
        <f t="shared" si="103"/>
        <v>948.8238287006244</v>
      </c>
      <c r="AD209" s="59">
        <f t="shared" si="103"/>
        <v>937.55636386460071</v>
      </c>
      <c r="AE209" s="59">
        <f t="shared" si="103"/>
        <v>926.28889902857702</v>
      </c>
      <c r="AF209" s="59">
        <f t="shared" si="103"/>
        <v>915.02143419255333</v>
      </c>
      <c r="AG209" s="59">
        <f t="shared" si="103"/>
        <v>903.75396935652964</v>
      </c>
      <c r="AH209" s="59">
        <f t="shared" si="103"/>
        <v>892.48650452050595</v>
      </c>
      <c r="AI209" s="59">
        <f t="shared" si="103"/>
        <v>881.21903968448225</v>
      </c>
      <c r="AJ209" s="59">
        <f t="shared" si="103"/>
        <v>869.95157484845856</v>
      </c>
      <c r="AK209" s="59">
        <f t="shared" si="103"/>
        <v>858.68411001243487</v>
      </c>
      <c r="AL209" s="59">
        <f t="shared" si="103"/>
        <v>847.41664517641118</v>
      </c>
      <c r="AM209" s="59">
        <f t="shared" si="103"/>
        <v>836.14918034038749</v>
      </c>
      <c r="AN209" s="59">
        <f t="shared" si="103"/>
        <v>824.8817155043638</v>
      </c>
      <c r="AO209" s="59">
        <f t="shared" si="103"/>
        <v>813.61425066834011</v>
      </c>
      <c r="AP209" s="59">
        <f t="shared" si="103"/>
        <v>802.34678583231641</v>
      </c>
      <c r="AQ209" s="59">
        <f t="shared" si="103"/>
        <v>791.07932099629318</v>
      </c>
    </row>
    <row r="210" spans="7:69" ht="14.25" hidden="1" customHeight="1" thickBot="1" x14ac:dyDescent="0.2">
      <c r="G210" s="7"/>
      <c r="H210" s="207"/>
      <c r="J210" s="157"/>
      <c r="K210" s="14" t="s">
        <v>85</v>
      </c>
      <c r="L210" s="14" t="s">
        <v>62</v>
      </c>
      <c r="M210" s="58">
        <f t="shared" ref="M210:AQ210" si="104">M207</f>
        <v>2743.3329999999996</v>
      </c>
      <c r="N210" s="58">
        <f t="shared" si="104"/>
        <v>2650</v>
      </c>
      <c r="O210" s="58">
        <f t="shared" si="104"/>
        <v>2609.4919276554911</v>
      </c>
      <c r="P210" s="58">
        <f t="shared" si="104"/>
        <v>2568.9838553109821</v>
      </c>
      <c r="Q210" s="58">
        <f t="shared" si="104"/>
        <v>2528.4757829664732</v>
      </c>
      <c r="R210" s="58">
        <f t="shared" si="104"/>
        <v>2487.9677106219642</v>
      </c>
      <c r="S210" s="58">
        <f t="shared" si="104"/>
        <v>2447.4596382774553</v>
      </c>
      <c r="T210" s="58">
        <f t="shared" si="104"/>
        <v>2406.9515659329463</v>
      </c>
      <c r="U210" s="58">
        <f t="shared" si="104"/>
        <v>2366.4434935884374</v>
      </c>
      <c r="V210" s="58">
        <f t="shared" si="104"/>
        <v>2325.9354212439284</v>
      </c>
      <c r="W210" s="58">
        <f t="shared" si="104"/>
        <v>2285.4273488994199</v>
      </c>
      <c r="X210" s="58">
        <f t="shared" si="104"/>
        <v>2221.9774123402872</v>
      </c>
      <c r="Y210" s="58">
        <f t="shared" si="104"/>
        <v>2158.5274757811544</v>
      </c>
      <c r="Z210" s="58">
        <f t="shared" si="104"/>
        <v>2095.0775392220216</v>
      </c>
      <c r="AA210" s="58">
        <f t="shared" si="104"/>
        <v>2031.6276026628889</v>
      </c>
      <c r="AB210" s="58">
        <f t="shared" si="104"/>
        <v>1968.1776661037561</v>
      </c>
      <c r="AC210" s="58">
        <f t="shared" si="104"/>
        <v>1904.7277295446233</v>
      </c>
      <c r="AD210" s="58">
        <f t="shared" si="104"/>
        <v>1841.2777929854906</v>
      </c>
      <c r="AE210" s="58">
        <f t="shared" si="104"/>
        <v>1777.8278564263578</v>
      </c>
      <c r="AF210" s="58">
        <f t="shared" si="104"/>
        <v>1714.377919867225</v>
      </c>
      <c r="AG210" s="58">
        <f t="shared" si="104"/>
        <v>1650.9279833080923</v>
      </c>
      <c r="AH210" s="58">
        <f t="shared" si="104"/>
        <v>1587.4780467489595</v>
      </c>
      <c r="AI210" s="58">
        <f t="shared" si="104"/>
        <v>1524.0281101898267</v>
      </c>
      <c r="AJ210" s="58">
        <f t="shared" si="104"/>
        <v>1460.578173630694</v>
      </c>
      <c r="AK210" s="58">
        <f t="shared" si="104"/>
        <v>1397.1282370715612</v>
      </c>
      <c r="AL210" s="58">
        <f t="shared" si="104"/>
        <v>1333.6783005124285</v>
      </c>
      <c r="AM210" s="58">
        <f t="shared" si="104"/>
        <v>1270.2283639532957</v>
      </c>
      <c r="AN210" s="58">
        <f t="shared" si="104"/>
        <v>1206.7784273941629</v>
      </c>
      <c r="AO210" s="58">
        <f t="shared" si="104"/>
        <v>1143.3284908350302</v>
      </c>
      <c r="AP210" s="58">
        <f t="shared" si="104"/>
        <v>1079.8785542758974</v>
      </c>
      <c r="AQ210" s="58">
        <f t="shared" si="104"/>
        <v>1016.4286177167666</v>
      </c>
    </row>
    <row r="211" spans="7:69" ht="14.25" hidden="1" customHeight="1" thickTop="1" x14ac:dyDescent="0.15">
      <c r="G211" s="7"/>
      <c r="H211" s="207"/>
      <c r="J211" s="57"/>
      <c r="K211" s="5"/>
      <c r="L211" s="5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  <c r="AN211" s="61"/>
      <c r="AO211" s="61"/>
      <c r="AP211" s="61"/>
      <c r="AQ211" s="61"/>
    </row>
    <row r="212" spans="7:69" ht="14.25" hidden="1" customHeight="1" x14ac:dyDescent="0.15">
      <c r="G212" s="7"/>
      <c r="H212" s="207"/>
      <c r="M212" s="12">
        <v>2020</v>
      </c>
      <c r="N212" s="12">
        <v>2021</v>
      </c>
      <c r="O212" s="12">
        <v>2022</v>
      </c>
      <c r="P212" s="12">
        <v>2023</v>
      </c>
      <c r="Q212" s="12">
        <v>2024</v>
      </c>
      <c r="R212" s="12">
        <v>2025</v>
      </c>
      <c r="S212" s="12">
        <v>2026</v>
      </c>
      <c r="T212" s="12">
        <v>2027</v>
      </c>
      <c r="U212" s="12">
        <v>2028</v>
      </c>
      <c r="V212" s="12">
        <v>2029</v>
      </c>
      <c r="W212" s="12">
        <v>2030</v>
      </c>
      <c r="X212" s="12">
        <v>2031</v>
      </c>
      <c r="Y212" s="12">
        <v>2032</v>
      </c>
      <c r="Z212" s="12">
        <v>2033</v>
      </c>
      <c r="AA212" s="12">
        <v>2034</v>
      </c>
      <c r="AB212" s="12">
        <v>2035</v>
      </c>
      <c r="AC212" s="12">
        <v>2036</v>
      </c>
      <c r="AD212" s="12">
        <v>2037</v>
      </c>
      <c r="AE212" s="12">
        <v>2038</v>
      </c>
      <c r="AF212" s="12">
        <v>2039</v>
      </c>
      <c r="AG212" s="12">
        <v>2040</v>
      </c>
      <c r="AH212" s="12">
        <v>2041</v>
      </c>
      <c r="AI212" s="12">
        <v>2042</v>
      </c>
      <c r="AJ212" s="12">
        <v>2043</v>
      </c>
      <c r="AK212" s="12">
        <v>2044</v>
      </c>
      <c r="AL212" s="12">
        <v>2045</v>
      </c>
      <c r="AM212" s="12">
        <v>2046</v>
      </c>
      <c r="AN212" s="12">
        <v>2047</v>
      </c>
      <c r="AO212" s="12">
        <v>2048</v>
      </c>
      <c r="AP212" s="12">
        <v>2049</v>
      </c>
      <c r="AQ212" s="12">
        <v>2050</v>
      </c>
    </row>
    <row r="213" spans="7:69" ht="14.25" hidden="1" customHeight="1" x14ac:dyDescent="0.15">
      <c r="G213" s="7"/>
      <c r="H213" s="207"/>
      <c r="J213" s="155" t="s">
        <v>101</v>
      </c>
      <c r="K213" s="13" t="s">
        <v>94</v>
      </c>
      <c r="L213" s="13" t="s">
        <v>67</v>
      </c>
      <c r="M213" s="60">
        <v>29.295961999999999</v>
      </c>
      <c r="N213" s="60">
        <v>28.973695854980193</v>
      </c>
      <c r="O213" s="60">
        <v>26.986999899631765</v>
      </c>
      <c r="P213" s="60">
        <v>25.000303944283338</v>
      </c>
      <c r="Q213" s="60">
        <v>23.013607988934911</v>
      </c>
      <c r="R213" s="60">
        <v>21.026912033586488</v>
      </c>
      <c r="S213" s="60">
        <v>19.040216078238061</v>
      </c>
      <c r="T213" s="60">
        <v>17.053520122889637</v>
      </c>
      <c r="U213" s="60">
        <v>15.06682416754121</v>
      </c>
      <c r="V213" s="60">
        <v>13.080128212192784</v>
      </c>
      <c r="W213" s="60">
        <v>11.093432256844359</v>
      </c>
      <c r="X213" s="60">
        <v>10.97767250181475</v>
      </c>
      <c r="Y213" s="60">
        <v>10.861912746785141</v>
      </c>
      <c r="Z213" s="60">
        <v>10.74615299175553</v>
      </c>
      <c r="AA213" s="60">
        <v>10.63039323672592</v>
      </c>
      <c r="AB213" s="60">
        <v>10.514633481696311</v>
      </c>
      <c r="AC213" s="60">
        <v>10.398873726666702</v>
      </c>
      <c r="AD213" s="60">
        <v>10.283113971637091</v>
      </c>
      <c r="AE213" s="60">
        <v>10.167354216607482</v>
      </c>
      <c r="AF213" s="60">
        <v>10.051594461577873</v>
      </c>
      <c r="AG213" s="60">
        <v>9.9358347065482633</v>
      </c>
      <c r="AH213" s="60">
        <v>9.8200749515186541</v>
      </c>
      <c r="AI213" s="60">
        <v>9.7043151964890431</v>
      </c>
      <c r="AJ213" s="60">
        <v>9.5885554414594338</v>
      </c>
      <c r="AK213" s="60">
        <v>9.4727956864298246</v>
      </c>
      <c r="AL213" s="60">
        <v>9.3570359314002154</v>
      </c>
      <c r="AM213" s="60">
        <v>9.2412761763706044</v>
      </c>
      <c r="AN213" s="60">
        <v>9.1255164213409952</v>
      </c>
      <c r="AO213" s="60">
        <v>9.0097566663113859</v>
      </c>
      <c r="AP213" s="60">
        <v>8.8939969112817767</v>
      </c>
      <c r="AQ213" s="60">
        <v>8.7782371562521764</v>
      </c>
    </row>
    <row r="214" spans="7:69" ht="14.25" hidden="1" customHeight="1" x14ac:dyDescent="0.15">
      <c r="G214" s="7"/>
      <c r="H214" s="207"/>
      <c r="J214" s="156"/>
      <c r="K214" s="5" t="s">
        <v>94</v>
      </c>
      <c r="L214" s="47" t="s">
        <v>66</v>
      </c>
      <c r="M214" s="59">
        <v>29.295961999999999</v>
      </c>
      <c r="N214" s="59">
        <v>28.973695854980193</v>
      </c>
      <c r="O214" s="59">
        <v>27.227838866776466</v>
      </c>
      <c r="P214" s="59">
        <v>25.481981878572736</v>
      </c>
      <c r="Q214" s="59">
        <v>23.736124890369009</v>
      </c>
      <c r="R214" s="59">
        <v>21.990267902165286</v>
      </c>
      <c r="S214" s="59">
        <v>20.244410913961559</v>
      </c>
      <c r="T214" s="59">
        <v>18.498553925757832</v>
      </c>
      <c r="U214" s="59">
        <v>16.752696937554106</v>
      </c>
      <c r="V214" s="59">
        <v>15.006839949350381</v>
      </c>
      <c r="W214" s="59">
        <v>13.260982961146656</v>
      </c>
      <c r="X214" s="59">
        <v>13.152605425931542</v>
      </c>
      <c r="Y214" s="59">
        <v>13.044227890716426</v>
      </c>
      <c r="Z214" s="59">
        <v>12.93585035550131</v>
      </c>
      <c r="AA214" s="59">
        <v>12.827472820286197</v>
      </c>
      <c r="AB214" s="59">
        <v>12.719095285071081</v>
      </c>
      <c r="AC214" s="59">
        <v>12.610717749855965</v>
      </c>
      <c r="AD214" s="59">
        <v>12.502340214640851</v>
      </c>
      <c r="AE214" s="59">
        <v>12.393962679425735</v>
      </c>
      <c r="AF214" s="59">
        <v>12.285585144210621</v>
      </c>
      <c r="AG214" s="59">
        <v>12.177207608995506</v>
      </c>
      <c r="AH214" s="59">
        <v>12.06883007378039</v>
      </c>
      <c r="AI214" s="59">
        <v>11.960452538565276</v>
      </c>
      <c r="AJ214" s="59">
        <v>11.85207500335016</v>
      </c>
      <c r="AK214" s="59">
        <v>11.743697468135045</v>
      </c>
      <c r="AL214" s="59">
        <v>11.635319932919931</v>
      </c>
      <c r="AM214" s="59">
        <v>11.526942397704815</v>
      </c>
      <c r="AN214" s="59">
        <v>11.418564862489701</v>
      </c>
      <c r="AO214" s="59">
        <v>11.310187327274585</v>
      </c>
      <c r="AP214" s="59">
        <v>11.201809792059469</v>
      </c>
      <c r="AQ214" s="59">
        <v>11.093432256844359</v>
      </c>
    </row>
    <row r="215" spans="7:69" ht="14.25" hidden="1" customHeight="1" thickBot="1" x14ac:dyDescent="0.2">
      <c r="G215" s="7"/>
      <c r="H215" s="207"/>
      <c r="J215" s="156"/>
      <c r="K215" s="14" t="s">
        <v>94</v>
      </c>
      <c r="L215" s="14" t="s">
        <v>62</v>
      </c>
      <c r="M215" s="58">
        <v>29.295961999999999</v>
      </c>
      <c r="N215" s="58">
        <v>28.973695854980193</v>
      </c>
      <c r="O215" s="58">
        <v>28.584063839180377</v>
      </c>
      <c r="P215" s="58">
        <v>28.194431823380562</v>
      </c>
      <c r="Q215" s="58">
        <v>27.804799807580746</v>
      </c>
      <c r="R215" s="58">
        <v>27.415167791780931</v>
      </c>
      <c r="S215" s="58">
        <v>27.025535775981115</v>
      </c>
      <c r="T215" s="58">
        <v>26.6359037601813</v>
      </c>
      <c r="U215" s="58">
        <v>26.246271744381485</v>
      </c>
      <c r="V215" s="58">
        <v>25.856639728581669</v>
      </c>
      <c r="W215" s="58">
        <v>25.467007712781857</v>
      </c>
      <c r="X215" s="58">
        <v>24.856706475200095</v>
      </c>
      <c r="Y215" s="58">
        <v>24.246405237618337</v>
      </c>
      <c r="Z215" s="58">
        <v>23.636104000036575</v>
      </c>
      <c r="AA215" s="58">
        <v>23.025802762454813</v>
      </c>
      <c r="AB215" s="58">
        <v>22.415501524873054</v>
      </c>
      <c r="AC215" s="58">
        <v>21.805200287291292</v>
      </c>
      <c r="AD215" s="58">
        <v>21.19489904970953</v>
      </c>
      <c r="AE215" s="58">
        <v>20.584597812127772</v>
      </c>
      <c r="AF215" s="58">
        <v>19.97429657454601</v>
      </c>
      <c r="AG215" s="58">
        <v>19.363995336964248</v>
      </c>
      <c r="AH215" s="58">
        <v>18.753694099382486</v>
      </c>
      <c r="AI215" s="58">
        <v>18.143392861800727</v>
      </c>
      <c r="AJ215" s="58">
        <v>17.533091624218965</v>
      </c>
      <c r="AK215" s="58">
        <v>16.922790386637203</v>
      </c>
      <c r="AL215" s="58">
        <v>16.312489149055445</v>
      </c>
      <c r="AM215" s="58">
        <v>15.702187911473681</v>
      </c>
      <c r="AN215" s="58">
        <v>15.091886673891921</v>
      </c>
      <c r="AO215" s="58">
        <v>14.48158543631016</v>
      </c>
      <c r="AP215" s="58">
        <v>13.871284198728398</v>
      </c>
      <c r="AQ215" s="58">
        <v>13.260982961146656</v>
      </c>
    </row>
    <row r="216" spans="7:69" ht="14.25" hidden="1" customHeight="1" thickTop="1" x14ac:dyDescent="0.2">
      <c r="G216" s="7"/>
      <c r="H216" s="207"/>
      <c r="J216" s="156"/>
      <c r="K216" s="13" t="s">
        <v>93</v>
      </c>
      <c r="L216" s="13" t="s">
        <v>67</v>
      </c>
      <c r="M216" s="60">
        <f t="shared" ref="M216:AQ216" si="105">M213</f>
        <v>29.295961999999999</v>
      </c>
      <c r="N216" s="60">
        <f t="shared" si="105"/>
        <v>28.973695854980193</v>
      </c>
      <c r="O216" s="60">
        <f t="shared" si="105"/>
        <v>26.986999899631765</v>
      </c>
      <c r="P216" s="60">
        <f t="shared" si="105"/>
        <v>25.000303944283338</v>
      </c>
      <c r="Q216" s="60">
        <f t="shared" si="105"/>
        <v>23.013607988934911</v>
      </c>
      <c r="R216" s="60">
        <f t="shared" si="105"/>
        <v>21.026912033586488</v>
      </c>
      <c r="S216" s="60">
        <f t="shared" si="105"/>
        <v>19.040216078238061</v>
      </c>
      <c r="T216" s="60">
        <f t="shared" si="105"/>
        <v>17.053520122889637</v>
      </c>
      <c r="U216" s="60">
        <f t="shared" si="105"/>
        <v>15.06682416754121</v>
      </c>
      <c r="V216" s="60">
        <f t="shared" si="105"/>
        <v>13.080128212192784</v>
      </c>
      <c r="W216" s="60">
        <f t="shared" si="105"/>
        <v>11.093432256844359</v>
      </c>
      <c r="X216" s="60">
        <f t="shared" si="105"/>
        <v>10.97767250181475</v>
      </c>
      <c r="Y216" s="60">
        <f t="shared" si="105"/>
        <v>10.861912746785141</v>
      </c>
      <c r="Z216" s="60">
        <f t="shared" si="105"/>
        <v>10.74615299175553</v>
      </c>
      <c r="AA216" s="60">
        <f t="shared" si="105"/>
        <v>10.63039323672592</v>
      </c>
      <c r="AB216" s="60">
        <f t="shared" si="105"/>
        <v>10.514633481696311</v>
      </c>
      <c r="AC216" s="60">
        <f t="shared" si="105"/>
        <v>10.398873726666702</v>
      </c>
      <c r="AD216" s="60">
        <f t="shared" si="105"/>
        <v>10.283113971637091</v>
      </c>
      <c r="AE216" s="60">
        <f t="shared" si="105"/>
        <v>10.167354216607482</v>
      </c>
      <c r="AF216" s="60">
        <f t="shared" si="105"/>
        <v>10.051594461577873</v>
      </c>
      <c r="AG216" s="60">
        <f t="shared" si="105"/>
        <v>9.9358347065482633</v>
      </c>
      <c r="AH216" s="60">
        <f t="shared" si="105"/>
        <v>9.8200749515186541</v>
      </c>
      <c r="AI216" s="60">
        <f t="shared" si="105"/>
        <v>9.7043151964890431</v>
      </c>
      <c r="AJ216" s="60">
        <f t="shared" si="105"/>
        <v>9.5885554414594338</v>
      </c>
      <c r="AK216" s="60">
        <f t="shared" si="105"/>
        <v>9.4727956864298246</v>
      </c>
      <c r="AL216" s="60">
        <f t="shared" si="105"/>
        <v>9.3570359314002154</v>
      </c>
      <c r="AM216" s="60">
        <f t="shared" si="105"/>
        <v>9.2412761763706044</v>
      </c>
      <c r="AN216" s="60">
        <f t="shared" si="105"/>
        <v>9.1255164213409952</v>
      </c>
      <c r="AO216" s="60">
        <f t="shared" si="105"/>
        <v>9.0097566663113859</v>
      </c>
      <c r="AP216" s="60">
        <f t="shared" si="105"/>
        <v>8.8939969112817767</v>
      </c>
      <c r="AQ216" s="60">
        <f t="shared" si="105"/>
        <v>8.7782371562521764</v>
      </c>
      <c r="AR216"/>
      <c r="AS216"/>
    </row>
    <row r="217" spans="7:69" ht="14.25" hidden="1" customHeight="1" x14ac:dyDescent="0.15">
      <c r="G217" s="7"/>
      <c r="H217" s="207"/>
      <c r="J217" s="156"/>
      <c r="K217" s="5" t="s">
        <v>93</v>
      </c>
      <c r="L217" s="47" t="s">
        <v>66</v>
      </c>
      <c r="M217" s="59">
        <f t="shared" ref="M217:AQ217" si="106">M214</f>
        <v>29.295961999999999</v>
      </c>
      <c r="N217" s="59">
        <f t="shared" si="106"/>
        <v>28.973695854980193</v>
      </c>
      <c r="O217" s="59">
        <f t="shared" si="106"/>
        <v>27.227838866776466</v>
      </c>
      <c r="P217" s="59">
        <f t="shared" si="106"/>
        <v>25.481981878572736</v>
      </c>
      <c r="Q217" s="59">
        <f t="shared" si="106"/>
        <v>23.736124890369009</v>
      </c>
      <c r="R217" s="59">
        <f t="shared" si="106"/>
        <v>21.990267902165286</v>
      </c>
      <c r="S217" s="59">
        <f t="shared" si="106"/>
        <v>20.244410913961559</v>
      </c>
      <c r="T217" s="59">
        <f t="shared" si="106"/>
        <v>18.498553925757832</v>
      </c>
      <c r="U217" s="59">
        <f t="shared" si="106"/>
        <v>16.752696937554106</v>
      </c>
      <c r="V217" s="59">
        <f t="shared" si="106"/>
        <v>15.006839949350381</v>
      </c>
      <c r="W217" s="59">
        <f t="shared" si="106"/>
        <v>13.260982961146656</v>
      </c>
      <c r="X217" s="59">
        <f t="shared" si="106"/>
        <v>13.152605425931542</v>
      </c>
      <c r="Y217" s="59">
        <f t="shared" si="106"/>
        <v>13.044227890716426</v>
      </c>
      <c r="Z217" s="59">
        <f t="shared" si="106"/>
        <v>12.93585035550131</v>
      </c>
      <c r="AA217" s="59">
        <f t="shared" si="106"/>
        <v>12.827472820286197</v>
      </c>
      <c r="AB217" s="59">
        <f t="shared" si="106"/>
        <v>12.719095285071081</v>
      </c>
      <c r="AC217" s="59">
        <f t="shared" si="106"/>
        <v>12.610717749855965</v>
      </c>
      <c r="AD217" s="59">
        <f t="shared" si="106"/>
        <v>12.502340214640851</v>
      </c>
      <c r="AE217" s="59">
        <f t="shared" si="106"/>
        <v>12.393962679425735</v>
      </c>
      <c r="AF217" s="59">
        <f t="shared" si="106"/>
        <v>12.285585144210621</v>
      </c>
      <c r="AG217" s="59">
        <f t="shared" si="106"/>
        <v>12.177207608995506</v>
      </c>
      <c r="AH217" s="59">
        <f t="shared" si="106"/>
        <v>12.06883007378039</v>
      </c>
      <c r="AI217" s="59">
        <f t="shared" si="106"/>
        <v>11.960452538565276</v>
      </c>
      <c r="AJ217" s="59">
        <f t="shared" si="106"/>
        <v>11.85207500335016</v>
      </c>
      <c r="AK217" s="59">
        <f t="shared" si="106"/>
        <v>11.743697468135045</v>
      </c>
      <c r="AL217" s="59">
        <f t="shared" si="106"/>
        <v>11.635319932919931</v>
      </c>
      <c r="AM217" s="59">
        <f t="shared" si="106"/>
        <v>11.526942397704815</v>
      </c>
      <c r="AN217" s="59">
        <f t="shared" si="106"/>
        <v>11.418564862489701</v>
      </c>
      <c r="AO217" s="59">
        <f t="shared" si="106"/>
        <v>11.310187327274585</v>
      </c>
      <c r="AP217" s="59">
        <f t="shared" si="106"/>
        <v>11.201809792059469</v>
      </c>
      <c r="AQ217" s="59">
        <f t="shared" si="106"/>
        <v>11.093432256844359</v>
      </c>
    </row>
    <row r="218" spans="7:69" ht="14.25" hidden="1" customHeight="1" thickBot="1" x14ac:dyDescent="0.25">
      <c r="G218" s="7"/>
      <c r="H218" s="207"/>
      <c r="J218" s="156"/>
      <c r="K218" s="14" t="s">
        <v>93</v>
      </c>
      <c r="L218" s="14" t="s">
        <v>62</v>
      </c>
      <c r="M218" s="58">
        <f t="shared" ref="M218:AQ218" si="107">M215</f>
        <v>29.295961999999999</v>
      </c>
      <c r="N218" s="58">
        <f t="shared" si="107"/>
        <v>28.973695854980193</v>
      </c>
      <c r="O218" s="58">
        <f t="shared" si="107"/>
        <v>28.584063839180377</v>
      </c>
      <c r="P218" s="58">
        <f t="shared" si="107"/>
        <v>28.194431823380562</v>
      </c>
      <c r="Q218" s="58">
        <f t="shared" si="107"/>
        <v>27.804799807580746</v>
      </c>
      <c r="R218" s="58">
        <f t="shared" si="107"/>
        <v>27.415167791780931</v>
      </c>
      <c r="S218" s="58">
        <f t="shared" si="107"/>
        <v>27.025535775981115</v>
      </c>
      <c r="T218" s="58">
        <f t="shared" si="107"/>
        <v>26.6359037601813</v>
      </c>
      <c r="U218" s="58">
        <f t="shared" si="107"/>
        <v>26.246271744381485</v>
      </c>
      <c r="V218" s="58">
        <f t="shared" si="107"/>
        <v>25.856639728581669</v>
      </c>
      <c r="W218" s="58">
        <f t="shared" si="107"/>
        <v>25.467007712781857</v>
      </c>
      <c r="X218" s="58">
        <f t="shared" si="107"/>
        <v>24.856706475200095</v>
      </c>
      <c r="Y218" s="58">
        <f t="shared" si="107"/>
        <v>24.246405237618337</v>
      </c>
      <c r="Z218" s="58">
        <f t="shared" si="107"/>
        <v>23.636104000036575</v>
      </c>
      <c r="AA218" s="58">
        <f t="shared" si="107"/>
        <v>23.025802762454813</v>
      </c>
      <c r="AB218" s="58">
        <f t="shared" si="107"/>
        <v>22.415501524873054</v>
      </c>
      <c r="AC218" s="58">
        <f t="shared" si="107"/>
        <v>21.805200287291292</v>
      </c>
      <c r="AD218" s="58">
        <f t="shared" si="107"/>
        <v>21.19489904970953</v>
      </c>
      <c r="AE218" s="58">
        <f t="shared" si="107"/>
        <v>20.584597812127772</v>
      </c>
      <c r="AF218" s="58">
        <f t="shared" si="107"/>
        <v>19.97429657454601</v>
      </c>
      <c r="AG218" s="58">
        <f t="shared" si="107"/>
        <v>19.363995336964248</v>
      </c>
      <c r="AH218" s="58">
        <f t="shared" si="107"/>
        <v>18.753694099382486</v>
      </c>
      <c r="AI218" s="58">
        <f t="shared" si="107"/>
        <v>18.143392861800727</v>
      </c>
      <c r="AJ218" s="58">
        <f t="shared" si="107"/>
        <v>17.533091624218965</v>
      </c>
      <c r="AK218" s="58">
        <f t="shared" si="107"/>
        <v>16.922790386637203</v>
      </c>
      <c r="AL218" s="58">
        <f t="shared" si="107"/>
        <v>16.312489149055445</v>
      </c>
      <c r="AM218" s="58">
        <f t="shared" si="107"/>
        <v>15.702187911473681</v>
      </c>
      <c r="AN218" s="58">
        <f t="shared" si="107"/>
        <v>15.091886673891921</v>
      </c>
      <c r="AO218" s="58">
        <f t="shared" si="107"/>
        <v>14.48158543631016</v>
      </c>
      <c r="AP218" s="58">
        <f t="shared" si="107"/>
        <v>13.871284198728398</v>
      </c>
      <c r="AQ218" s="58">
        <f t="shared" si="107"/>
        <v>13.260982961146656</v>
      </c>
      <c r="BG218"/>
      <c r="BH218"/>
      <c r="BI218"/>
    </row>
    <row r="219" spans="7:69" ht="14.25" hidden="1" customHeight="1" thickTop="1" x14ac:dyDescent="0.2">
      <c r="G219" s="7"/>
      <c r="H219" s="207"/>
      <c r="J219" s="156"/>
      <c r="K219" s="13" t="s">
        <v>92</v>
      </c>
      <c r="L219" s="13" t="s">
        <v>67</v>
      </c>
      <c r="M219" s="60">
        <f t="shared" ref="M219:AQ219" si="108">M216</f>
        <v>29.295961999999999</v>
      </c>
      <c r="N219" s="60">
        <f t="shared" si="108"/>
        <v>28.973695854980193</v>
      </c>
      <c r="O219" s="60">
        <f t="shared" si="108"/>
        <v>26.986999899631765</v>
      </c>
      <c r="P219" s="60">
        <f t="shared" si="108"/>
        <v>25.000303944283338</v>
      </c>
      <c r="Q219" s="60">
        <f t="shared" si="108"/>
        <v>23.013607988934911</v>
      </c>
      <c r="R219" s="60">
        <f t="shared" si="108"/>
        <v>21.026912033586488</v>
      </c>
      <c r="S219" s="60">
        <f t="shared" si="108"/>
        <v>19.040216078238061</v>
      </c>
      <c r="T219" s="60">
        <f t="shared" si="108"/>
        <v>17.053520122889637</v>
      </c>
      <c r="U219" s="60">
        <f t="shared" si="108"/>
        <v>15.06682416754121</v>
      </c>
      <c r="V219" s="60">
        <f t="shared" si="108"/>
        <v>13.080128212192784</v>
      </c>
      <c r="W219" s="60">
        <f t="shared" si="108"/>
        <v>11.093432256844359</v>
      </c>
      <c r="X219" s="60">
        <f t="shared" si="108"/>
        <v>10.97767250181475</v>
      </c>
      <c r="Y219" s="60">
        <f t="shared" si="108"/>
        <v>10.861912746785141</v>
      </c>
      <c r="Z219" s="60">
        <f t="shared" si="108"/>
        <v>10.74615299175553</v>
      </c>
      <c r="AA219" s="60">
        <f t="shared" si="108"/>
        <v>10.63039323672592</v>
      </c>
      <c r="AB219" s="60">
        <f t="shared" si="108"/>
        <v>10.514633481696311</v>
      </c>
      <c r="AC219" s="60">
        <f t="shared" si="108"/>
        <v>10.398873726666702</v>
      </c>
      <c r="AD219" s="60">
        <f t="shared" si="108"/>
        <v>10.283113971637091</v>
      </c>
      <c r="AE219" s="60">
        <f t="shared" si="108"/>
        <v>10.167354216607482</v>
      </c>
      <c r="AF219" s="60">
        <f t="shared" si="108"/>
        <v>10.051594461577873</v>
      </c>
      <c r="AG219" s="60">
        <f t="shared" si="108"/>
        <v>9.9358347065482633</v>
      </c>
      <c r="AH219" s="60">
        <f t="shared" si="108"/>
        <v>9.8200749515186541</v>
      </c>
      <c r="AI219" s="60">
        <f t="shared" si="108"/>
        <v>9.7043151964890431</v>
      </c>
      <c r="AJ219" s="60">
        <f t="shared" si="108"/>
        <v>9.5885554414594338</v>
      </c>
      <c r="AK219" s="60">
        <f t="shared" si="108"/>
        <v>9.4727956864298246</v>
      </c>
      <c r="AL219" s="60">
        <f t="shared" si="108"/>
        <v>9.3570359314002154</v>
      </c>
      <c r="AM219" s="60">
        <f t="shared" si="108"/>
        <v>9.2412761763706044</v>
      </c>
      <c r="AN219" s="60">
        <f t="shared" si="108"/>
        <v>9.1255164213409952</v>
      </c>
      <c r="AO219" s="60">
        <f t="shared" si="108"/>
        <v>9.0097566663113859</v>
      </c>
      <c r="AP219" s="60">
        <f t="shared" si="108"/>
        <v>8.8939969112817767</v>
      </c>
      <c r="AQ219" s="60">
        <f t="shared" si="108"/>
        <v>8.7782371562521764</v>
      </c>
      <c r="AV219"/>
      <c r="AW219"/>
      <c r="AX219"/>
      <c r="AY219"/>
      <c r="BB219"/>
      <c r="BC219"/>
      <c r="BD219"/>
      <c r="BE219"/>
      <c r="BF219"/>
      <c r="BJ219"/>
      <c r="BK219"/>
      <c r="BL219"/>
      <c r="BM219"/>
      <c r="BN219"/>
      <c r="BO219"/>
      <c r="BP219"/>
      <c r="BQ219"/>
    </row>
    <row r="220" spans="7:69" ht="14.25" hidden="1" customHeight="1" x14ac:dyDescent="0.2">
      <c r="G220" s="7"/>
      <c r="H220" s="207"/>
      <c r="J220" s="156"/>
      <c r="K220" s="5" t="s">
        <v>92</v>
      </c>
      <c r="L220" s="47" t="s">
        <v>66</v>
      </c>
      <c r="M220" s="59">
        <f t="shared" ref="M220:AQ220" si="109">M217</f>
        <v>29.295961999999999</v>
      </c>
      <c r="N220" s="59">
        <f t="shared" si="109"/>
        <v>28.973695854980193</v>
      </c>
      <c r="O220" s="59">
        <f t="shared" si="109"/>
        <v>27.227838866776466</v>
      </c>
      <c r="P220" s="59">
        <f t="shared" si="109"/>
        <v>25.481981878572736</v>
      </c>
      <c r="Q220" s="59">
        <f t="shared" si="109"/>
        <v>23.736124890369009</v>
      </c>
      <c r="R220" s="59">
        <f t="shared" si="109"/>
        <v>21.990267902165286</v>
      </c>
      <c r="S220" s="59">
        <f t="shared" si="109"/>
        <v>20.244410913961559</v>
      </c>
      <c r="T220" s="59">
        <f t="shared" si="109"/>
        <v>18.498553925757832</v>
      </c>
      <c r="U220" s="59">
        <f t="shared" si="109"/>
        <v>16.752696937554106</v>
      </c>
      <c r="V220" s="59">
        <f t="shared" si="109"/>
        <v>15.006839949350381</v>
      </c>
      <c r="W220" s="59">
        <f t="shared" si="109"/>
        <v>13.260982961146656</v>
      </c>
      <c r="X220" s="59">
        <f t="shared" si="109"/>
        <v>13.152605425931542</v>
      </c>
      <c r="Y220" s="59">
        <f t="shared" si="109"/>
        <v>13.044227890716426</v>
      </c>
      <c r="Z220" s="59">
        <f t="shared" si="109"/>
        <v>12.93585035550131</v>
      </c>
      <c r="AA220" s="59">
        <f t="shared" si="109"/>
        <v>12.827472820286197</v>
      </c>
      <c r="AB220" s="59">
        <f t="shared" si="109"/>
        <v>12.719095285071081</v>
      </c>
      <c r="AC220" s="59">
        <f t="shared" si="109"/>
        <v>12.610717749855965</v>
      </c>
      <c r="AD220" s="59">
        <f t="shared" si="109"/>
        <v>12.502340214640851</v>
      </c>
      <c r="AE220" s="59">
        <f t="shared" si="109"/>
        <v>12.393962679425735</v>
      </c>
      <c r="AF220" s="59">
        <f t="shared" si="109"/>
        <v>12.285585144210621</v>
      </c>
      <c r="AG220" s="59">
        <f t="shared" si="109"/>
        <v>12.177207608995506</v>
      </c>
      <c r="AH220" s="59">
        <f t="shared" si="109"/>
        <v>12.06883007378039</v>
      </c>
      <c r="AI220" s="59">
        <f t="shared" si="109"/>
        <v>11.960452538565276</v>
      </c>
      <c r="AJ220" s="59">
        <f t="shared" si="109"/>
        <v>11.85207500335016</v>
      </c>
      <c r="AK220" s="59">
        <f t="shared" si="109"/>
        <v>11.743697468135045</v>
      </c>
      <c r="AL220" s="59">
        <f t="shared" si="109"/>
        <v>11.635319932919931</v>
      </c>
      <c r="AM220" s="59">
        <f t="shared" si="109"/>
        <v>11.526942397704815</v>
      </c>
      <c r="AN220" s="59">
        <f t="shared" si="109"/>
        <v>11.418564862489701</v>
      </c>
      <c r="AO220" s="59">
        <f t="shared" si="109"/>
        <v>11.310187327274585</v>
      </c>
      <c r="AP220" s="59">
        <f t="shared" si="109"/>
        <v>11.201809792059469</v>
      </c>
      <c r="AQ220" s="59">
        <f t="shared" si="109"/>
        <v>11.093432256844359</v>
      </c>
      <c r="AZ220"/>
      <c r="BA220"/>
    </row>
    <row r="221" spans="7:69" ht="14.25" hidden="1" customHeight="1" thickBot="1" x14ac:dyDescent="0.2">
      <c r="G221" s="7"/>
      <c r="H221" s="207"/>
      <c r="J221" s="156"/>
      <c r="K221" s="14" t="s">
        <v>92</v>
      </c>
      <c r="L221" s="14" t="s">
        <v>62</v>
      </c>
      <c r="M221" s="58">
        <f t="shared" ref="M221:AQ221" si="110">M218</f>
        <v>29.295961999999999</v>
      </c>
      <c r="N221" s="58">
        <f t="shared" si="110"/>
        <v>28.973695854980193</v>
      </c>
      <c r="O221" s="58">
        <f t="shared" si="110"/>
        <v>28.584063839180377</v>
      </c>
      <c r="P221" s="58">
        <f t="shared" si="110"/>
        <v>28.194431823380562</v>
      </c>
      <c r="Q221" s="58">
        <f t="shared" si="110"/>
        <v>27.804799807580746</v>
      </c>
      <c r="R221" s="58">
        <f t="shared" si="110"/>
        <v>27.415167791780931</v>
      </c>
      <c r="S221" s="58">
        <f t="shared" si="110"/>
        <v>27.025535775981115</v>
      </c>
      <c r="T221" s="58">
        <f t="shared" si="110"/>
        <v>26.6359037601813</v>
      </c>
      <c r="U221" s="58">
        <f t="shared" si="110"/>
        <v>26.246271744381485</v>
      </c>
      <c r="V221" s="58">
        <f t="shared" si="110"/>
        <v>25.856639728581669</v>
      </c>
      <c r="W221" s="58">
        <f t="shared" si="110"/>
        <v>25.467007712781857</v>
      </c>
      <c r="X221" s="58">
        <f t="shared" si="110"/>
        <v>24.856706475200095</v>
      </c>
      <c r="Y221" s="58">
        <f t="shared" si="110"/>
        <v>24.246405237618337</v>
      </c>
      <c r="Z221" s="58">
        <f t="shared" si="110"/>
        <v>23.636104000036575</v>
      </c>
      <c r="AA221" s="58">
        <f t="shared" si="110"/>
        <v>23.025802762454813</v>
      </c>
      <c r="AB221" s="58">
        <f t="shared" si="110"/>
        <v>22.415501524873054</v>
      </c>
      <c r="AC221" s="58">
        <f t="shared" si="110"/>
        <v>21.805200287291292</v>
      </c>
      <c r="AD221" s="58">
        <f t="shared" si="110"/>
        <v>21.19489904970953</v>
      </c>
      <c r="AE221" s="58">
        <f t="shared" si="110"/>
        <v>20.584597812127772</v>
      </c>
      <c r="AF221" s="58">
        <f t="shared" si="110"/>
        <v>19.97429657454601</v>
      </c>
      <c r="AG221" s="58">
        <f t="shared" si="110"/>
        <v>19.363995336964248</v>
      </c>
      <c r="AH221" s="58">
        <f t="shared" si="110"/>
        <v>18.753694099382486</v>
      </c>
      <c r="AI221" s="58">
        <f t="shared" si="110"/>
        <v>18.143392861800727</v>
      </c>
      <c r="AJ221" s="58">
        <f t="shared" si="110"/>
        <v>17.533091624218965</v>
      </c>
      <c r="AK221" s="58">
        <f t="shared" si="110"/>
        <v>16.922790386637203</v>
      </c>
      <c r="AL221" s="58">
        <f t="shared" si="110"/>
        <v>16.312489149055445</v>
      </c>
      <c r="AM221" s="58">
        <f t="shared" si="110"/>
        <v>15.702187911473681</v>
      </c>
      <c r="AN221" s="58">
        <f t="shared" si="110"/>
        <v>15.091886673891921</v>
      </c>
      <c r="AO221" s="58">
        <f t="shared" si="110"/>
        <v>14.48158543631016</v>
      </c>
      <c r="AP221" s="58">
        <f t="shared" si="110"/>
        <v>13.871284198728398</v>
      </c>
      <c r="AQ221" s="58">
        <f t="shared" si="110"/>
        <v>13.260982961146656</v>
      </c>
    </row>
    <row r="222" spans="7:69" ht="14.25" hidden="1" customHeight="1" thickTop="1" x14ac:dyDescent="0.2">
      <c r="G222" s="7"/>
      <c r="H222" s="207"/>
      <c r="J222" s="156"/>
      <c r="K222" s="13" t="s">
        <v>91</v>
      </c>
      <c r="L222" s="13" t="s">
        <v>67</v>
      </c>
      <c r="M222" s="60">
        <f t="shared" ref="M222:AQ222" si="111">M219</f>
        <v>29.295961999999999</v>
      </c>
      <c r="N222" s="60">
        <f t="shared" si="111"/>
        <v>28.973695854980193</v>
      </c>
      <c r="O222" s="60">
        <f t="shared" si="111"/>
        <v>26.986999899631765</v>
      </c>
      <c r="P222" s="60">
        <f t="shared" si="111"/>
        <v>25.000303944283338</v>
      </c>
      <c r="Q222" s="60">
        <f t="shared" si="111"/>
        <v>23.013607988934911</v>
      </c>
      <c r="R222" s="60">
        <f t="shared" si="111"/>
        <v>21.026912033586488</v>
      </c>
      <c r="S222" s="60">
        <f t="shared" si="111"/>
        <v>19.040216078238061</v>
      </c>
      <c r="T222" s="60">
        <f t="shared" si="111"/>
        <v>17.053520122889637</v>
      </c>
      <c r="U222" s="60">
        <f t="shared" si="111"/>
        <v>15.06682416754121</v>
      </c>
      <c r="V222" s="60">
        <f t="shared" si="111"/>
        <v>13.080128212192784</v>
      </c>
      <c r="W222" s="60">
        <f t="shared" si="111"/>
        <v>11.093432256844359</v>
      </c>
      <c r="X222" s="60">
        <f t="shared" si="111"/>
        <v>10.97767250181475</v>
      </c>
      <c r="Y222" s="60">
        <f t="shared" si="111"/>
        <v>10.861912746785141</v>
      </c>
      <c r="Z222" s="60">
        <f t="shared" si="111"/>
        <v>10.74615299175553</v>
      </c>
      <c r="AA222" s="60">
        <f t="shared" si="111"/>
        <v>10.63039323672592</v>
      </c>
      <c r="AB222" s="60">
        <f t="shared" si="111"/>
        <v>10.514633481696311</v>
      </c>
      <c r="AC222" s="60">
        <f t="shared" si="111"/>
        <v>10.398873726666702</v>
      </c>
      <c r="AD222" s="60">
        <f t="shared" si="111"/>
        <v>10.283113971637091</v>
      </c>
      <c r="AE222" s="60">
        <f t="shared" si="111"/>
        <v>10.167354216607482</v>
      </c>
      <c r="AF222" s="60">
        <f t="shared" si="111"/>
        <v>10.051594461577873</v>
      </c>
      <c r="AG222" s="60">
        <f t="shared" si="111"/>
        <v>9.9358347065482633</v>
      </c>
      <c r="AH222" s="60">
        <f t="shared" si="111"/>
        <v>9.8200749515186541</v>
      </c>
      <c r="AI222" s="60">
        <f t="shared" si="111"/>
        <v>9.7043151964890431</v>
      </c>
      <c r="AJ222" s="60">
        <f t="shared" si="111"/>
        <v>9.5885554414594338</v>
      </c>
      <c r="AK222" s="60">
        <f t="shared" si="111"/>
        <v>9.4727956864298246</v>
      </c>
      <c r="AL222" s="60">
        <f t="shared" si="111"/>
        <v>9.3570359314002154</v>
      </c>
      <c r="AM222" s="60">
        <f t="shared" si="111"/>
        <v>9.2412761763706044</v>
      </c>
      <c r="AN222" s="60">
        <f t="shared" si="111"/>
        <v>9.1255164213409952</v>
      </c>
      <c r="AO222" s="60">
        <f t="shared" si="111"/>
        <v>9.0097566663113859</v>
      </c>
      <c r="AP222" s="60">
        <f t="shared" si="111"/>
        <v>8.8939969112817767</v>
      </c>
      <c r="AQ222" s="60">
        <f t="shared" si="111"/>
        <v>8.7782371562521764</v>
      </c>
      <c r="AV222"/>
      <c r="AW222"/>
      <c r="AX222"/>
      <c r="AY222"/>
      <c r="BB222"/>
      <c r="BC222"/>
      <c r="BD222"/>
      <c r="BE222"/>
      <c r="BF222"/>
      <c r="BJ222"/>
      <c r="BK222"/>
      <c r="BL222"/>
      <c r="BM222"/>
      <c r="BN222"/>
      <c r="BO222"/>
      <c r="BP222"/>
      <c r="BQ222"/>
    </row>
    <row r="223" spans="7:69" ht="14.25" hidden="1" customHeight="1" x14ac:dyDescent="0.2">
      <c r="G223" s="7"/>
      <c r="H223" s="207"/>
      <c r="J223" s="156"/>
      <c r="K223" s="5" t="s">
        <v>91</v>
      </c>
      <c r="L223" s="47" t="s">
        <v>66</v>
      </c>
      <c r="M223" s="59">
        <f t="shared" ref="M223:AQ223" si="112">M220</f>
        <v>29.295961999999999</v>
      </c>
      <c r="N223" s="59">
        <f t="shared" si="112"/>
        <v>28.973695854980193</v>
      </c>
      <c r="O223" s="59">
        <f t="shared" si="112"/>
        <v>27.227838866776466</v>
      </c>
      <c r="P223" s="59">
        <f t="shared" si="112"/>
        <v>25.481981878572736</v>
      </c>
      <c r="Q223" s="59">
        <f t="shared" si="112"/>
        <v>23.736124890369009</v>
      </c>
      <c r="R223" s="59">
        <f t="shared" si="112"/>
        <v>21.990267902165286</v>
      </c>
      <c r="S223" s="59">
        <f t="shared" si="112"/>
        <v>20.244410913961559</v>
      </c>
      <c r="T223" s="59">
        <f t="shared" si="112"/>
        <v>18.498553925757832</v>
      </c>
      <c r="U223" s="59">
        <f t="shared" si="112"/>
        <v>16.752696937554106</v>
      </c>
      <c r="V223" s="59">
        <f t="shared" si="112"/>
        <v>15.006839949350381</v>
      </c>
      <c r="W223" s="59">
        <f t="shared" si="112"/>
        <v>13.260982961146656</v>
      </c>
      <c r="X223" s="59">
        <f t="shared" si="112"/>
        <v>13.152605425931542</v>
      </c>
      <c r="Y223" s="59">
        <f t="shared" si="112"/>
        <v>13.044227890716426</v>
      </c>
      <c r="Z223" s="59">
        <f t="shared" si="112"/>
        <v>12.93585035550131</v>
      </c>
      <c r="AA223" s="59">
        <f t="shared" si="112"/>
        <v>12.827472820286197</v>
      </c>
      <c r="AB223" s="59">
        <f t="shared" si="112"/>
        <v>12.719095285071081</v>
      </c>
      <c r="AC223" s="59">
        <f t="shared" si="112"/>
        <v>12.610717749855965</v>
      </c>
      <c r="AD223" s="59">
        <f t="shared" si="112"/>
        <v>12.502340214640851</v>
      </c>
      <c r="AE223" s="59">
        <f t="shared" si="112"/>
        <v>12.393962679425735</v>
      </c>
      <c r="AF223" s="59">
        <f t="shared" si="112"/>
        <v>12.285585144210621</v>
      </c>
      <c r="AG223" s="59">
        <f t="shared" si="112"/>
        <v>12.177207608995506</v>
      </c>
      <c r="AH223" s="59">
        <f t="shared" si="112"/>
        <v>12.06883007378039</v>
      </c>
      <c r="AI223" s="59">
        <f t="shared" si="112"/>
        <v>11.960452538565276</v>
      </c>
      <c r="AJ223" s="59">
        <f t="shared" si="112"/>
        <v>11.85207500335016</v>
      </c>
      <c r="AK223" s="59">
        <f t="shared" si="112"/>
        <v>11.743697468135045</v>
      </c>
      <c r="AL223" s="59">
        <f t="shared" si="112"/>
        <v>11.635319932919931</v>
      </c>
      <c r="AM223" s="59">
        <f t="shared" si="112"/>
        <v>11.526942397704815</v>
      </c>
      <c r="AN223" s="59">
        <f t="shared" si="112"/>
        <v>11.418564862489701</v>
      </c>
      <c r="AO223" s="59">
        <f t="shared" si="112"/>
        <v>11.310187327274585</v>
      </c>
      <c r="AP223" s="59">
        <f t="shared" si="112"/>
        <v>11.201809792059469</v>
      </c>
      <c r="AQ223" s="59">
        <f t="shared" si="112"/>
        <v>11.093432256844359</v>
      </c>
      <c r="AZ223"/>
      <c r="BA223"/>
    </row>
    <row r="224" spans="7:69" ht="14.25" hidden="1" customHeight="1" thickBot="1" x14ac:dyDescent="0.2">
      <c r="G224" s="7"/>
      <c r="H224" s="207"/>
      <c r="J224" s="156"/>
      <c r="K224" s="14" t="s">
        <v>91</v>
      </c>
      <c r="L224" s="14" t="s">
        <v>62</v>
      </c>
      <c r="M224" s="58">
        <f t="shared" ref="M224:AQ224" si="113">M221</f>
        <v>29.295961999999999</v>
      </c>
      <c r="N224" s="58">
        <f t="shared" si="113"/>
        <v>28.973695854980193</v>
      </c>
      <c r="O224" s="58">
        <f t="shared" si="113"/>
        <v>28.584063839180377</v>
      </c>
      <c r="P224" s="58">
        <f t="shared" si="113"/>
        <v>28.194431823380562</v>
      </c>
      <c r="Q224" s="58">
        <f t="shared" si="113"/>
        <v>27.804799807580746</v>
      </c>
      <c r="R224" s="58">
        <f t="shared" si="113"/>
        <v>27.415167791780931</v>
      </c>
      <c r="S224" s="58">
        <f t="shared" si="113"/>
        <v>27.025535775981115</v>
      </c>
      <c r="T224" s="58">
        <f t="shared" si="113"/>
        <v>26.6359037601813</v>
      </c>
      <c r="U224" s="58">
        <f t="shared" si="113"/>
        <v>26.246271744381485</v>
      </c>
      <c r="V224" s="58">
        <f t="shared" si="113"/>
        <v>25.856639728581669</v>
      </c>
      <c r="W224" s="58">
        <f t="shared" si="113"/>
        <v>25.467007712781857</v>
      </c>
      <c r="X224" s="58">
        <f t="shared" si="113"/>
        <v>24.856706475200095</v>
      </c>
      <c r="Y224" s="58">
        <f t="shared" si="113"/>
        <v>24.246405237618337</v>
      </c>
      <c r="Z224" s="58">
        <f t="shared" si="113"/>
        <v>23.636104000036575</v>
      </c>
      <c r="AA224" s="58">
        <f t="shared" si="113"/>
        <v>23.025802762454813</v>
      </c>
      <c r="AB224" s="58">
        <f t="shared" si="113"/>
        <v>22.415501524873054</v>
      </c>
      <c r="AC224" s="58">
        <f t="shared" si="113"/>
        <v>21.805200287291292</v>
      </c>
      <c r="AD224" s="58">
        <f t="shared" si="113"/>
        <v>21.19489904970953</v>
      </c>
      <c r="AE224" s="58">
        <f t="shared" si="113"/>
        <v>20.584597812127772</v>
      </c>
      <c r="AF224" s="58">
        <f t="shared" si="113"/>
        <v>19.97429657454601</v>
      </c>
      <c r="AG224" s="58">
        <f t="shared" si="113"/>
        <v>19.363995336964248</v>
      </c>
      <c r="AH224" s="58">
        <f t="shared" si="113"/>
        <v>18.753694099382486</v>
      </c>
      <c r="AI224" s="58">
        <f t="shared" si="113"/>
        <v>18.143392861800727</v>
      </c>
      <c r="AJ224" s="58">
        <f t="shared" si="113"/>
        <v>17.533091624218965</v>
      </c>
      <c r="AK224" s="58">
        <f t="shared" si="113"/>
        <v>16.922790386637203</v>
      </c>
      <c r="AL224" s="58">
        <f t="shared" si="113"/>
        <v>16.312489149055445</v>
      </c>
      <c r="AM224" s="58">
        <f t="shared" si="113"/>
        <v>15.702187911473681</v>
      </c>
      <c r="AN224" s="58">
        <f t="shared" si="113"/>
        <v>15.091886673891921</v>
      </c>
      <c r="AO224" s="58">
        <f t="shared" si="113"/>
        <v>14.48158543631016</v>
      </c>
      <c r="AP224" s="58">
        <f t="shared" si="113"/>
        <v>13.871284198728398</v>
      </c>
      <c r="AQ224" s="58">
        <f t="shared" si="113"/>
        <v>13.260982961146656</v>
      </c>
    </row>
    <row r="225" spans="7:69" ht="14.25" hidden="1" customHeight="1" thickTop="1" x14ac:dyDescent="0.2">
      <c r="G225" s="7"/>
      <c r="H225" s="207"/>
      <c r="J225" s="156"/>
      <c r="K225" s="13" t="s">
        <v>90</v>
      </c>
      <c r="L225" s="13" t="s">
        <v>67</v>
      </c>
      <c r="M225" s="60">
        <f t="shared" ref="M225:AQ225" si="114">M222</f>
        <v>29.295961999999999</v>
      </c>
      <c r="N225" s="60">
        <f t="shared" si="114"/>
        <v>28.973695854980193</v>
      </c>
      <c r="O225" s="60">
        <f t="shared" si="114"/>
        <v>26.986999899631765</v>
      </c>
      <c r="P225" s="60">
        <f t="shared" si="114"/>
        <v>25.000303944283338</v>
      </c>
      <c r="Q225" s="60">
        <f t="shared" si="114"/>
        <v>23.013607988934911</v>
      </c>
      <c r="R225" s="60">
        <f t="shared" si="114"/>
        <v>21.026912033586488</v>
      </c>
      <c r="S225" s="60">
        <f t="shared" si="114"/>
        <v>19.040216078238061</v>
      </c>
      <c r="T225" s="60">
        <f t="shared" si="114"/>
        <v>17.053520122889637</v>
      </c>
      <c r="U225" s="60">
        <f t="shared" si="114"/>
        <v>15.06682416754121</v>
      </c>
      <c r="V225" s="60">
        <f t="shared" si="114"/>
        <v>13.080128212192784</v>
      </c>
      <c r="W225" s="60">
        <f t="shared" si="114"/>
        <v>11.093432256844359</v>
      </c>
      <c r="X225" s="60">
        <f t="shared" si="114"/>
        <v>10.97767250181475</v>
      </c>
      <c r="Y225" s="60">
        <f t="shared" si="114"/>
        <v>10.861912746785141</v>
      </c>
      <c r="Z225" s="60">
        <f t="shared" si="114"/>
        <v>10.74615299175553</v>
      </c>
      <c r="AA225" s="60">
        <f t="shared" si="114"/>
        <v>10.63039323672592</v>
      </c>
      <c r="AB225" s="60">
        <f t="shared" si="114"/>
        <v>10.514633481696311</v>
      </c>
      <c r="AC225" s="60">
        <f t="shared" si="114"/>
        <v>10.398873726666702</v>
      </c>
      <c r="AD225" s="60">
        <f t="shared" si="114"/>
        <v>10.283113971637091</v>
      </c>
      <c r="AE225" s="60">
        <f t="shared" si="114"/>
        <v>10.167354216607482</v>
      </c>
      <c r="AF225" s="60">
        <f t="shared" si="114"/>
        <v>10.051594461577873</v>
      </c>
      <c r="AG225" s="60">
        <f t="shared" si="114"/>
        <v>9.9358347065482633</v>
      </c>
      <c r="AH225" s="60">
        <f t="shared" si="114"/>
        <v>9.8200749515186541</v>
      </c>
      <c r="AI225" s="60">
        <f t="shared" si="114"/>
        <v>9.7043151964890431</v>
      </c>
      <c r="AJ225" s="60">
        <f t="shared" si="114"/>
        <v>9.5885554414594338</v>
      </c>
      <c r="AK225" s="60">
        <f t="shared" si="114"/>
        <v>9.4727956864298246</v>
      </c>
      <c r="AL225" s="60">
        <f t="shared" si="114"/>
        <v>9.3570359314002154</v>
      </c>
      <c r="AM225" s="60">
        <f t="shared" si="114"/>
        <v>9.2412761763706044</v>
      </c>
      <c r="AN225" s="60">
        <f t="shared" si="114"/>
        <v>9.1255164213409952</v>
      </c>
      <c r="AO225" s="60">
        <f t="shared" si="114"/>
        <v>9.0097566663113859</v>
      </c>
      <c r="AP225" s="60">
        <f t="shared" si="114"/>
        <v>8.8939969112817767</v>
      </c>
      <c r="AQ225" s="60">
        <f t="shared" si="114"/>
        <v>8.7782371562521764</v>
      </c>
      <c r="AV225"/>
      <c r="AW225"/>
      <c r="AX225"/>
      <c r="AY225"/>
      <c r="BB225"/>
      <c r="BC225"/>
      <c r="BD225"/>
      <c r="BE225"/>
      <c r="BF225"/>
      <c r="BJ225"/>
      <c r="BK225"/>
      <c r="BL225"/>
      <c r="BM225"/>
      <c r="BN225"/>
      <c r="BO225"/>
      <c r="BP225"/>
      <c r="BQ225"/>
    </row>
    <row r="226" spans="7:69" ht="14.25" hidden="1" customHeight="1" x14ac:dyDescent="0.2">
      <c r="G226" s="7"/>
      <c r="H226" s="207"/>
      <c r="J226" s="156"/>
      <c r="K226" s="5" t="s">
        <v>90</v>
      </c>
      <c r="L226" s="47" t="s">
        <v>66</v>
      </c>
      <c r="M226" s="59">
        <f t="shared" ref="M226:AQ226" si="115">M223</f>
        <v>29.295961999999999</v>
      </c>
      <c r="N226" s="59">
        <f t="shared" si="115"/>
        <v>28.973695854980193</v>
      </c>
      <c r="O226" s="59">
        <f t="shared" si="115"/>
        <v>27.227838866776466</v>
      </c>
      <c r="P226" s="59">
        <f t="shared" si="115"/>
        <v>25.481981878572736</v>
      </c>
      <c r="Q226" s="59">
        <f t="shared" si="115"/>
        <v>23.736124890369009</v>
      </c>
      <c r="R226" s="59">
        <f t="shared" si="115"/>
        <v>21.990267902165286</v>
      </c>
      <c r="S226" s="59">
        <f t="shared" si="115"/>
        <v>20.244410913961559</v>
      </c>
      <c r="T226" s="59">
        <f t="shared" si="115"/>
        <v>18.498553925757832</v>
      </c>
      <c r="U226" s="59">
        <f t="shared" si="115"/>
        <v>16.752696937554106</v>
      </c>
      <c r="V226" s="59">
        <f t="shared" si="115"/>
        <v>15.006839949350381</v>
      </c>
      <c r="W226" s="59">
        <f t="shared" si="115"/>
        <v>13.260982961146656</v>
      </c>
      <c r="X226" s="59">
        <f t="shared" si="115"/>
        <v>13.152605425931542</v>
      </c>
      <c r="Y226" s="59">
        <f t="shared" si="115"/>
        <v>13.044227890716426</v>
      </c>
      <c r="Z226" s="59">
        <f t="shared" si="115"/>
        <v>12.93585035550131</v>
      </c>
      <c r="AA226" s="59">
        <f t="shared" si="115"/>
        <v>12.827472820286197</v>
      </c>
      <c r="AB226" s="59">
        <f t="shared" si="115"/>
        <v>12.719095285071081</v>
      </c>
      <c r="AC226" s="59">
        <f t="shared" si="115"/>
        <v>12.610717749855965</v>
      </c>
      <c r="AD226" s="59">
        <f t="shared" si="115"/>
        <v>12.502340214640851</v>
      </c>
      <c r="AE226" s="59">
        <f t="shared" si="115"/>
        <v>12.393962679425735</v>
      </c>
      <c r="AF226" s="59">
        <f t="shared" si="115"/>
        <v>12.285585144210621</v>
      </c>
      <c r="AG226" s="59">
        <f t="shared" si="115"/>
        <v>12.177207608995506</v>
      </c>
      <c r="AH226" s="59">
        <f t="shared" si="115"/>
        <v>12.06883007378039</v>
      </c>
      <c r="AI226" s="59">
        <f t="shared" si="115"/>
        <v>11.960452538565276</v>
      </c>
      <c r="AJ226" s="59">
        <f t="shared" si="115"/>
        <v>11.85207500335016</v>
      </c>
      <c r="AK226" s="59">
        <f t="shared" si="115"/>
        <v>11.743697468135045</v>
      </c>
      <c r="AL226" s="59">
        <f t="shared" si="115"/>
        <v>11.635319932919931</v>
      </c>
      <c r="AM226" s="59">
        <f t="shared" si="115"/>
        <v>11.526942397704815</v>
      </c>
      <c r="AN226" s="59">
        <f t="shared" si="115"/>
        <v>11.418564862489701</v>
      </c>
      <c r="AO226" s="59">
        <f t="shared" si="115"/>
        <v>11.310187327274585</v>
      </c>
      <c r="AP226" s="59">
        <f t="shared" si="115"/>
        <v>11.201809792059469</v>
      </c>
      <c r="AQ226" s="59">
        <f t="shared" si="115"/>
        <v>11.093432256844359</v>
      </c>
      <c r="AZ226"/>
      <c r="BA226"/>
    </row>
    <row r="227" spans="7:69" ht="14.25" hidden="1" customHeight="1" thickBot="1" x14ac:dyDescent="0.2">
      <c r="G227" s="7"/>
      <c r="H227" s="207"/>
      <c r="J227" s="156"/>
      <c r="K227" s="14" t="s">
        <v>90</v>
      </c>
      <c r="L227" s="14" t="s">
        <v>62</v>
      </c>
      <c r="M227" s="58">
        <f t="shared" ref="M227:AQ227" si="116">M224</f>
        <v>29.295961999999999</v>
      </c>
      <c r="N227" s="58">
        <f t="shared" si="116"/>
        <v>28.973695854980193</v>
      </c>
      <c r="O227" s="58">
        <f t="shared" si="116"/>
        <v>28.584063839180377</v>
      </c>
      <c r="P227" s="58">
        <f t="shared" si="116"/>
        <v>28.194431823380562</v>
      </c>
      <c r="Q227" s="58">
        <f t="shared" si="116"/>
        <v>27.804799807580746</v>
      </c>
      <c r="R227" s="58">
        <f t="shared" si="116"/>
        <v>27.415167791780931</v>
      </c>
      <c r="S227" s="58">
        <f t="shared" si="116"/>
        <v>27.025535775981115</v>
      </c>
      <c r="T227" s="58">
        <f t="shared" si="116"/>
        <v>26.6359037601813</v>
      </c>
      <c r="U227" s="58">
        <f t="shared" si="116"/>
        <v>26.246271744381485</v>
      </c>
      <c r="V227" s="58">
        <f t="shared" si="116"/>
        <v>25.856639728581669</v>
      </c>
      <c r="W227" s="58">
        <f t="shared" si="116"/>
        <v>25.467007712781857</v>
      </c>
      <c r="X227" s="58">
        <f t="shared" si="116"/>
        <v>24.856706475200095</v>
      </c>
      <c r="Y227" s="58">
        <f t="shared" si="116"/>
        <v>24.246405237618337</v>
      </c>
      <c r="Z227" s="58">
        <f t="shared" si="116"/>
        <v>23.636104000036575</v>
      </c>
      <c r="AA227" s="58">
        <f t="shared" si="116"/>
        <v>23.025802762454813</v>
      </c>
      <c r="AB227" s="58">
        <f t="shared" si="116"/>
        <v>22.415501524873054</v>
      </c>
      <c r="AC227" s="58">
        <f t="shared" si="116"/>
        <v>21.805200287291292</v>
      </c>
      <c r="AD227" s="58">
        <f t="shared" si="116"/>
        <v>21.19489904970953</v>
      </c>
      <c r="AE227" s="58">
        <f t="shared" si="116"/>
        <v>20.584597812127772</v>
      </c>
      <c r="AF227" s="58">
        <f t="shared" si="116"/>
        <v>19.97429657454601</v>
      </c>
      <c r="AG227" s="58">
        <f t="shared" si="116"/>
        <v>19.363995336964248</v>
      </c>
      <c r="AH227" s="58">
        <f t="shared" si="116"/>
        <v>18.753694099382486</v>
      </c>
      <c r="AI227" s="58">
        <f t="shared" si="116"/>
        <v>18.143392861800727</v>
      </c>
      <c r="AJ227" s="58">
        <f t="shared" si="116"/>
        <v>17.533091624218965</v>
      </c>
      <c r="AK227" s="58">
        <f t="shared" si="116"/>
        <v>16.922790386637203</v>
      </c>
      <c r="AL227" s="58">
        <f t="shared" si="116"/>
        <v>16.312489149055445</v>
      </c>
      <c r="AM227" s="58">
        <f t="shared" si="116"/>
        <v>15.702187911473681</v>
      </c>
      <c r="AN227" s="58">
        <f t="shared" si="116"/>
        <v>15.091886673891921</v>
      </c>
      <c r="AO227" s="58">
        <f t="shared" si="116"/>
        <v>14.48158543631016</v>
      </c>
      <c r="AP227" s="58">
        <f t="shared" si="116"/>
        <v>13.871284198728398</v>
      </c>
      <c r="AQ227" s="58">
        <f t="shared" si="116"/>
        <v>13.260982961146656</v>
      </c>
    </row>
    <row r="228" spans="7:69" ht="14.25" hidden="1" customHeight="1" thickTop="1" x14ac:dyDescent="0.15">
      <c r="G228" s="7"/>
      <c r="H228" s="207"/>
      <c r="J228" s="156"/>
      <c r="K228" s="13" t="s">
        <v>89</v>
      </c>
      <c r="L228" s="13" t="s">
        <v>67</v>
      </c>
      <c r="M228" s="60">
        <f t="shared" ref="M228:AQ228" si="117">M225</f>
        <v>29.295961999999999</v>
      </c>
      <c r="N228" s="60">
        <f t="shared" si="117"/>
        <v>28.973695854980193</v>
      </c>
      <c r="O228" s="60">
        <f t="shared" si="117"/>
        <v>26.986999899631765</v>
      </c>
      <c r="P228" s="60">
        <f t="shared" si="117"/>
        <v>25.000303944283338</v>
      </c>
      <c r="Q228" s="60">
        <f t="shared" si="117"/>
        <v>23.013607988934911</v>
      </c>
      <c r="R228" s="60">
        <f t="shared" si="117"/>
        <v>21.026912033586488</v>
      </c>
      <c r="S228" s="60">
        <f t="shared" si="117"/>
        <v>19.040216078238061</v>
      </c>
      <c r="T228" s="60">
        <f t="shared" si="117"/>
        <v>17.053520122889637</v>
      </c>
      <c r="U228" s="60">
        <f t="shared" si="117"/>
        <v>15.06682416754121</v>
      </c>
      <c r="V228" s="60">
        <f t="shared" si="117"/>
        <v>13.080128212192784</v>
      </c>
      <c r="W228" s="60">
        <f t="shared" si="117"/>
        <v>11.093432256844359</v>
      </c>
      <c r="X228" s="60">
        <f t="shared" si="117"/>
        <v>10.97767250181475</v>
      </c>
      <c r="Y228" s="60">
        <f t="shared" si="117"/>
        <v>10.861912746785141</v>
      </c>
      <c r="Z228" s="60">
        <f t="shared" si="117"/>
        <v>10.74615299175553</v>
      </c>
      <c r="AA228" s="60">
        <f t="shared" si="117"/>
        <v>10.63039323672592</v>
      </c>
      <c r="AB228" s="60">
        <f t="shared" si="117"/>
        <v>10.514633481696311</v>
      </c>
      <c r="AC228" s="60">
        <f t="shared" si="117"/>
        <v>10.398873726666702</v>
      </c>
      <c r="AD228" s="60">
        <f t="shared" si="117"/>
        <v>10.283113971637091</v>
      </c>
      <c r="AE228" s="60">
        <f t="shared" si="117"/>
        <v>10.167354216607482</v>
      </c>
      <c r="AF228" s="60">
        <f t="shared" si="117"/>
        <v>10.051594461577873</v>
      </c>
      <c r="AG228" s="60">
        <f t="shared" si="117"/>
        <v>9.9358347065482633</v>
      </c>
      <c r="AH228" s="60">
        <f t="shared" si="117"/>
        <v>9.8200749515186541</v>
      </c>
      <c r="AI228" s="60">
        <f t="shared" si="117"/>
        <v>9.7043151964890431</v>
      </c>
      <c r="AJ228" s="60">
        <f t="shared" si="117"/>
        <v>9.5885554414594338</v>
      </c>
      <c r="AK228" s="60">
        <f t="shared" si="117"/>
        <v>9.4727956864298246</v>
      </c>
      <c r="AL228" s="60">
        <f t="shared" si="117"/>
        <v>9.3570359314002154</v>
      </c>
      <c r="AM228" s="60">
        <f t="shared" si="117"/>
        <v>9.2412761763706044</v>
      </c>
      <c r="AN228" s="60">
        <f t="shared" si="117"/>
        <v>9.1255164213409952</v>
      </c>
      <c r="AO228" s="60">
        <f t="shared" si="117"/>
        <v>9.0097566663113859</v>
      </c>
      <c r="AP228" s="60">
        <f t="shared" si="117"/>
        <v>8.8939969112817767</v>
      </c>
      <c r="AQ228" s="60">
        <f t="shared" si="117"/>
        <v>8.7782371562521764</v>
      </c>
    </row>
    <row r="229" spans="7:69" ht="14.25" hidden="1" customHeight="1" x14ac:dyDescent="0.15">
      <c r="G229" s="7"/>
      <c r="H229" s="207"/>
      <c r="J229" s="156"/>
      <c r="K229" s="5" t="s">
        <v>89</v>
      </c>
      <c r="L229" s="47" t="s">
        <v>66</v>
      </c>
      <c r="M229" s="59">
        <f t="shared" ref="M229:AQ229" si="118">M226</f>
        <v>29.295961999999999</v>
      </c>
      <c r="N229" s="59">
        <f t="shared" si="118"/>
        <v>28.973695854980193</v>
      </c>
      <c r="O229" s="59">
        <f t="shared" si="118"/>
        <v>27.227838866776466</v>
      </c>
      <c r="P229" s="59">
        <f t="shared" si="118"/>
        <v>25.481981878572736</v>
      </c>
      <c r="Q229" s="59">
        <f t="shared" si="118"/>
        <v>23.736124890369009</v>
      </c>
      <c r="R229" s="59">
        <f t="shared" si="118"/>
        <v>21.990267902165286</v>
      </c>
      <c r="S229" s="59">
        <f t="shared" si="118"/>
        <v>20.244410913961559</v>
      </c>
      <c r="T229" s="59">
        <f t="shared" si="118"/>
        <v>18.498553925757832</v>
      </c>
      <c r="U229" s="59">
        <f t="shared" si="118"/>
        <v>16.752696937554106</v>
      </c>
      <c r="V229" s="59">
        <f t="shared" si="118"/>
        <v>15.006839949350381</v>
      </c>
      <c r="W229" s="59">
        <f t="shared" si="118"/>
        <v>13.260982961146656</v>
      </c>
      <c r="X229" s="59">
        <f t="shared" si="118"/>
        <v>13.152605425931542</v>
      </c>
      <c r="Y229" s="59">
        <f t="shared" si="118"/>
        <v>13.044227890716426</v>
      </c>
      <c r="Z229" s="59">
        <f t="shared" si="118"/>
        <v>12.93585035550131</v>
      </c>
      <c r="AA229" s="59">
        <f t="shared" si="118"/>
        <v>12.827472820286197</v>
      </c>
      <c r="AB229" s="59">
        <f t="shared" si="118"/>
        <v>12.719095285071081</v>
      </c>
      <c r="AC229" s="59">
        <f t="shared" si="118"/>
        <v>12.610717749855965</v>
      </c>
      <c r="AD229" s="59">
        <f t="shared" si="118"/>
        <v>12.502340214640851</v>
      </c>
      <c r="AE229" s="59">
        <f t="shared" si="118"/>
        <v>12.393962679425735</v>
      </c>
      <c r="AF229" s="59">
        <f t="shared" si="118"/>
        <v>12.285585144210621</v>
      </c>
      <c r="AG229" s="59">
        <f t="shared" si="118"/>
        <v>12.177207608995506</v>
      </c>
      <c r="AH229" s="59">
        <f t="shared" si="118"/>
        <v>12.06883007378039</v>
      </c>
      <c r="AI229" s="59">
        <f t="shared" si="118"/>
        <v>11.960452538565276</v>
      </c>
      <c r="AJ229" s="59">
        <f t="shared" si="118"/>
        <v>11.85207500335016</v>
      </c>
      <c r="AK229" s="59">
        <f t="shared" si="118"/>
        <v>11.743697468135045</v>
      </c>
      <c r="AL229" s="59">
        <f t="shared" si="118"/>
        <v>11.635319932919931</v>
      </c>
      <c r="AM229" s="59">
        <f t="shared" si="118"/>
        <v>11.526942397704815</v>
      </c>
      <c r="AN229" s="59">
        <f t="shared" si="118"/>
        <v>11.418564862489701</v>
      </c>
      <c r="AO229" s="59">
        <f t="shared" si="118"/>
        <v>11.310187327274585</v>
      </c>
      <c r="AP229" s="59">
        <f t="shared" si="118"/>
        <v>11.201809792059469</v>
      </c>
      <c r="AQ229" s="59">
        <f t="shared" si="118"/>
        <v>11.093432256844359</v>
      </c>
    </row>
    <row r="230" spans="7:69" ht="14.25" hidden="1" customHeight="1" thickBot="1" x14ac:dyDescent="0.2">
      <c r="G230" s="7"/>
      <c r="H230" s="207"/>
      <c r="J230" s="156"/>
      <c r="K230" s="14" t="s">
        <v>89</v>
      </c>
      <c r="L230" s="14" t="s">
        <v>62</v>
      </c>
      <c r="M230" s="58">
        <f t="shared" ref="M230:AQ230" si="119">M227</f>
        <v>29.295961999999999</v>
      </c>
      <c r="N230" s="58">
        <f t="shared" si="119"/>
        <v>28.973695854980193</v>
      </c>
      <c r="O230" s="58">
        <f t="shared" si="119"/>
        <v>28.584063839180377</v>
      </c>
      <c r="P230" s="58">
        <f t="shared" si="119"/>
        <v>28.194431823380562</v>
      </c>
      <c r="Q230" s="58">
        <f t="shared" si="119"/>
        <v>27.804799807580746</v>
      </c>
      <c r="R230" s="58">
        <f t="shared" si="119"/>
        <v>27.415167791780931</v>
      </c>
      <c r="S230" s="58">
        <f t="shared" si="119"/>
        <v>27.025535775981115</v>
      </c>
      <c r="T230" s="58">
        <f t="shared" si="119"/>
        <v>26.6359037601813</v>
      </c>
      <c r="U230" s="58">
        <f t="shared" si="119"/>
        <v>26.246271744381485</v>
      </c>
      <c r="V230" s="58">
        <f t="shared" si="119"/>
        <v>25.856639728581669</v>
      </c>
      <c r="W230" s="58">
        <f t="shared" si="119"/>
        <v>25.467007712781857</v>
      </c>
      <c r="X230" s="58">
        <f t="shared" si="119"/>
        <v>24.856706475200095</v>
      </c>
      <c r="Y230" s="58">
        <f t="shared" si="119"/>
        <v>24.246405237618337</v>
      </c>
      <c r="Z230" s="58">
        <f t="shared" si="119"/>
        <v>23.636104000036575</v>
      </c>
      <c r="AA230" s="58">
        <f t="shared" si="119"/>
        <v>23.025802762454813</v>
      </c>
      <c r="AB230" s="58">
        <f t="shared" si="119"/>
        <v>22.415501524873054</v>
      </c>
      <c r="AC230" s="58">
        <f t="shared" si="119"/>
        <v>21.805200287291292</v>
      </c>
      <c r="AD230" s="58">
        <f t="shared" si="119"/>
        <v>21.19489904970953</v>
      </c>
      <c r="AE230" s="58">
        <f t="shared" si="119"/>
        <v>20.584597812127772</v>
      </c>
      <c r="AF230" s="58">
        <f t="shared" si="119"/>
        <v>19.97429657454601</v>
      </c>
      <c r="AG230" s="58">
        <f t="shared" si="119"/>
        <v>19.363995336964248</v>
      </c>
      <c r="AH230" s="58">
        <f t="shared" si="119"/>
        <v>18.753694099382486</v>
      </c>
      <c r="AI230" s="58">
        <f t="shared" si="119"/>
        <v>18.143392861800727</v>
      </c>
      <c r="AJ230" s="58">
        <f t="shared" si="119"/>
        <v>17.533091624218965</v>
      </c>
      <c r="AK230" s="58">
        <f t="shared" si="119"/>
        <v>16.922790386637203</v>
      </c>
      <c r="AL230" s="58">
        <f t="shared" si="119"/>
        <v>16.312489149055445</v>
      </c>
      <c r="AM230" s="58">
        <f t="shared" si="119"/>
        <v>15.702187911473681</v>
      </c>
      <c r="AN230" s="58">
        <f t="shared" si="119"/>
        <v>15.091886673891921</v>
      </c>
      <c r="AO230" s="58">
        <f t="shared" si="119"/>
        <v>14.48158543631016</v>
      </c>
      <c r="AP230" s="58">
        <f t="shared" si="119"/>
        <v>13.871284198728398</v>
      </c>
      <c r="AQ230" s="58">
        <f t="shared" si="119"/>
        <v>13.260982961146656</v>
      </c>
    </row>
    <row r="231" spans="7:69" ht="14.25" hidden="1" customHeight="1" thickTop="1" x14ac:dyDescent="0.2">
      <c r="G231" s="7"/>
      <c r="H231" s="207"/>
      <c r="J231" s="156"/>
      <c r="K231" s="13" t="s">
        <v>88</v>
      </c>
      <c r="L231" s="13" t="s">
        <v>67</v>
      </c>
      <c r="M231" s="60">
        <f t="shared" ref="M231:AQ231" si="120">M228</f>
        <v>29.295961999999999</v>
      </c>
      <c r="N231" s="60">
        <f t="shared" si="120"/>
        <v>28.973695854980193</v>
      </c>
      <c r="O231" s="60">
        <f t="shared" si="120"/>
        <v>26.986999899631765</v>
      </c>
      <c r="P231" s="60">
        <f t="shared" si="120"/>
        <v>25.000303944283338</v>
      </c>
      <c r="Q231" s="60">
        <f t="shared" si="120"/>
        <v>23.013607988934911</v>
      </c>
      <c r="R231" s="60">
        <f t="shared" si="120"/>
        <v>21.026912033586488</v>
      </c>
      <c r="S231" s="60">
        <f t="shared" si="120"/>
        <v>19.040216078238061</v>
      </c>
      <c r="T231" s="60">
        <f t="shared" si="120"/>
        <v>17.053520122889637</v>
      </c>
      <c r="U231" s="60">
        <f t="shared" si="120"/>
        <v>15.06682416754121</v>
      </c>
      <c r="V231" s="60">
        <f t="shared" si="120"/>
        <v>13.080128212192784</v>
      </c>
      <c r="W231" s="60">
        <f t="shared" si="120"/>
        <v>11.093432256844359</v>
      </c>
      <c r="X231" s="60">
        <f t="shared" si="120"/>
        <v>10.97767250181475</v>
      </c>
      <c r="Y231" s="60">
        <f t="shared" si="120"/>
        <v>10.861912746785141</v>
      </c>
      <c r="Z231" s="60">
        <f t="shared" si="120"/>
        <v>10.74615299175553</v>
      </c>
      <c r="AA231" s="60">
        <f t="shared" si="120"/>
        <v>10.63039323672592</v>
      </c>
      <c r="AB231" s="60">
        <f t="shared" si="120"/>
        <v>10.514633481696311</v>
      </c>
      <c r="AC231" s="60">
        <f t="shared" si="120"/>
        <v>10.398873726666702</v>
      </c>
      <c r="AD231" s="60">
        <f t="shared" si="120"/>
        <v>10.283113971637091</v>
      </c>
      <c r="AE231" s="60">
        <f t="shared" si="120"/>
        <v>10.167354216607482</v>
      </c>
      <c r="AF231" s="60">
        <f t="shared" si="120"/>
        <v>10.051594461577873</v>
      </c>
      <c r="AG231" s="60">
        <f t="shared" si="120"/>
        <v>9.9358347065482633</v>
      </c>
      <c r="AH231" s="60">
        <f t="shared" si="120"/>
        <v>9.8200749515186541</v>
      </c>
      <c r="AI231" s="60">
        <f t="shared" si="120"/>
        <v>9.7043151964890431</v>
      </c>
      <c r="AJ231" s="60">
        <f t="shared" si="120"/>
        <v>9.5885554414594338</v>
      </c>
      <c r="AK231" s="60">
        <f t="shared" si="120"/>
        <v>9.4727956864298246</v>
      </c>
      <c r="AL231" s="60">
        <f t="shared" si="120"/>
        <v>9.3570359314002154</v>
      </c>
      <c r="AM231" s="60">
        <f t="shared" si="120"/>
        <v>9.2412761763706044</v>
      </c>
      <c r="AN231" s="60">
        <f t="shared" si="120"/>
        <v>9.1255164213409952</v>
      </c>
      <c r="AO231" s="60">
        <f t="shared" si="120"/>
        <v>9.0097566663113859</v>
      </c>
      <c r="AP231" s="60">
        <f t="shared" si="120"/>
        <v>8.8939969112817767</v>
      </c>
      <c r="AQ231" s="60">
        <f t="shared" si="120"/>
        <v>8.7782371562521764</v>
      </c>
      <c r="AR231"/>
      <c r="AS231"/>
    </row>
    <row r="232" spans="7:69" ht="14.25" hidden="1" customHeight="1" x14ac:dyDescent="0.15">
      <c r="G232" s="7"/>
      <c r="H232" s="207"/>
      <c r="J232" s="156"/>
      <c r="K232" s="5" t="s">
        <v>88</v>
      </c>
      <c r="L232" s="47" t="s">
        <v>66</v>
      </c>
      <c r="M232" s="59">
        <f t="shared" ref="M232:AQ232" si="121">M229</f>
        <v>29.295961999999999</v>
      </c>
      <c r="N232" s="59">
        <f t="shared" si="121"/>
        <v>28.973695854980193</v>
      </c>
      <c r="O232" s="59">
        <f t="shared" si="121"/>
        <v>27.227838866776466</v>
      </c>
      <c r="P232" s="59">
        <f t="shared" si="121"/>
        <v>25.481981878572736</v>
      </c>
      <c r="Q232" s="59">
        <f t="shared" si="121"/>
        <v>23.736124890369009</v>
      </c>
      <c r="R232" s="59">
        <f t="shared" si="121"/>
        <v>21.990267902165286</v>
      </c>
      <c r="S232" s="59">
        <f t="shared" si="121"/>
        <v>20.244410913961559</v>
      </c>
      <c r="T232" s="59">
        <f t="shared" si="121"/>
        <v>18.498553925757832</v>
      </c>
      <c r="U232" s="59">
        <f t="shared" si="121"/>
        <v>16.752696937554106</v>
      </c>
      <c r="V232" s="59">
        <f t="shared" si="121"/>
        <v>15.006839949350381</v>
      </c>
      <c r="W232" s="59">
        <f t="shared" si="121"/>
        <v>13.260982961146656</v>
      </c>
      <c r="X232" s="59">
        <f t="shared" si="121"/>
        <v>13.152605425931542</v>
      </c>
      <c r="Y232" s="59">
        <f t="shared" si="121"/>
        <v>13.044227890716426</v>
      </c>
      <c r="Z232" s="59">
        <f t="shared" si="121"/>
        <v>12.93585035550131</v>
      </c>
      <c r="AA232" s="59">
        <f t="shared" si="121"/>
        <v>12.827472820286197</v>
      </c>
      <c r="AB232" s="59">
        <f t="shared" si="121"/>
        <v>12.719095285071081</v>
      </c>
      <c r="AC232" s="59">
        <f t="shared" si="121"/>
        <v>12.610717749855965</v>
      </c>
      <c r="AD232" s="59">
        <f t="shared" si="121"/>
        <v>12.502340214640851</v>
      </c>
      <c r="AE232" s="59">
        <f t="shared" si="121"/>
        <v>12.393962679425735</v>
      </c>
      <c r="AF232" s="59">
        <f t="shared" si="121"/>
        <v>12.285585144210621</v>
      </c>
      <c r="AG232" s="59">
        <f t="shared" si="121"/>
        <v>12.177207608995506</v>
      </c>
      <c r="AH232" s="59">
        <f t="shared" si="121"/>
        <v>12.06883007378039</v>
      </c>
      <c r="AI232" s="59">
        <f t="shared" si="121"/>
        <v>11.960452538565276</v>
      </c>
      <c r="AJ232" s="59">
        <f t="shared" si="121"/>
        <v>11.85207500335016</v>
      </c>
      <c r="AK232" s="59">
        <f t="shared" si="121"/>
        <v>11.743697468135045</v>
      </c>
      <c r="AL232" s="59">
        <f t="shared" si="121"/>
        <v>11.635319932919931</v>
      </c>
      <c r="AM232" s="59">
        <f t="shared" si="121"/>
        <v>11.526942397704815</v>
      </c>
      <c r="AN232" s="59">
        <f t="shared" si="121"/>
        <v>11.418564862489701</v>
      </c>
      <c r="AO232" s="59">
        <f t="shared" si="121"/>
        <v>11.310187327274585</v>
      </c>
      <c r="AP232" s="59">
        <f t="shared" si="121"/>
        <v>11.201809792059469</v>
      </c>
      <c r="AQ232" s="59">
        <f t="shared" si="121"/>
        <v>11.093432256844359</v>
      </c>
    </row>
    <row r="233" spans="7:69" ht="14.25" hidden="1" customHeight="1" thickBot="1" x14ac:dyDescent="0.25">
      <c r="G233" s="7"/>
      <c r="H233" s="207"/>
      <c r="J233" s="156"/>
      <c r="K233" s="14" t="s">
        <v>88</v>
      </c>
      <c r="L233" s="14" t="s">
        <v>62</v>
      </c>
      <c r="M233" s="58">
        <f t="shared" ref="M233:AQ233" si="122">M230</f>
        <v>29.295961999999999</v>
      </c>
      <c r="N233" s="58">
        <f t="shared" si="122"/>
        <v>28.973695854980193</v>
      </c>
      <c r="O233" s="58">
        <f t="shared" si="122"/>
        <v>28.584063839180377</v>
      </c>
      <c r="P233" s="58">
        <f t="shared" si="122"/>
        <v>28.194431823380562</v>
      </c>
      <c r="Q233" s="58">
        <f t="shared" si="122"/>
        <v>27.804799807580746</v>
      </c>
      <c r="R233" s="58">
        <f t="shared" si="122"/>
        <v>27.415167791780931</v>
      </c>
      <c r="S233" s="58">
        <f t="shared" si="122"/>
        <v>27.025535775981115</v>
      </c>
      <c r="T233" s="58">
        <f t="shared" si="122"/>
        <v>26.6359037601813</v>
      </c>
      <c r="U233" s="58">
        <f t="shared" si="122"/>
        <v>26.246271744381485</v>
      </c>
      <c r="V233" s="58">
        <f t="shared" si="122"/>
        <v>25.856639728581669</v>
      </c>
      <c r="W233" s="58">
        <f t="shared" si="122"/>
        <v>25.467007712781857</v>
      </c>
      <c r="X233" s="58">
        <f t="shared" si="122"/>
        <v>24.856706475200095</v>
      </c>
      <c r="Y233" s="58">
        <f t="shared" si="122"/>
        <v>24.246405237618337</v>
      </c>
      <c r="Z233" s="58">
        <f t="shared" si="122"/>
        <v>23.636104000036575</v>
      </c>
      <c r="AA233" s="58">
        <f t="shared" si="122"/>
        <v>23.025802762454813</v>
      </c>
      <c r="AB233" s="58">
        <f t="shared" si="122"/>
        <v>22.415501524873054</v>
      </c>
      <c r="AC233" s="58">
        <f t="shared" si="122"/>
        <v>21.805200287291292</v>
      </c>
      <c r="AD233" s="58">
        <f t="shared" si="122"/>
        <v>21.19489904970953</v>
      </c>
      <c r="AE233" s="58">
        <f t="shared" si="122"/>
        <v>20.584597812127772</v>
      </c>
      <c r="AF233" s="58">
        <f t="shared" si="122"/>
        <v>19.97429657454601</v>
      </c>
      <c r="AG233" s="58">
        <f t="shared" si="122"/>
        <v>19.363995336964248</v>
      </c>
      <c r="AH233" s="58">
        <f t="shared" si="122"/>
        <v>18.753694099382486</v>
      </c>
      <c r="AI233" s="58">
        <f t="shared" si="122"/>
        <v>18.143392861800727</v>
      </c>
      <c r="AJ233" s="58">
        <f t="shared" si="122"/>
        <v>17.533091624218965</v>
      </c>
      <c r="AK233" s="58">
        <f t="shared" si="122"/>
        <v>16.922790386637203</v>
      </c>
      <c r="AL233" s="58">
        <f t="shared" si="122"/>
        <v>16.312489149055445</v>
      </c>
      <c r="AM233" s="58">
        <f t="shared" si="122"/>
        <v>15.702187911473681</v>
      </c>
      <c r="AN233" s="58">
        <f t="shared" si="122"/>
        <v>15.091886673891921</v>
      </c>
      <c r="AO233" s="58">
        <f t="shared" si="122"/>
        <v>14.48158543631016</v>
      </c>
      <c r="AP233" s="58">
        <f t="shared" si="122"/>
        <v>13.871284198728398</v>
      </c>
      <c r="AQ233" s="58">
        <f t="shared" si="122"/>
        <v>13.260982961146656</v>
      </c>
      <c r="BG233"/>
      <c r="BH233"/>
      <c r="BI233"/>
    </row>
    <row r="234" spans="7:69" ht="14.25" hidden="1" customHeight="1" thickTop="1" x14ac:dyDescent="0.2">
      <c r="G234" s="7"/>
      <c r="H234" s="207"/>
      <c r="J234" s="156"/>
      <c r="K234" s="13" t="s">
        <v>87</v>
      </c>
      <c r="L234" s="13" t="s">
        <v>67</v>
      </c>
      <c r="M234" s="60">
        <f t="shared" ref="M234:AQ234" si="123">M231</f>
        <v>29.295961999999999</v>
      </c>
      <c r="N234" s="60">
        <f t="shared" si="123"/>
        <v>28.973695854980193</v>
      </c>
      <c r="O234" s="60">
        <f t="shared" si="123"/>
        <v>26.986999899631765</v>
      </c>
      <c r="P234" s="60">
        <f t="shared" si="123"/>
        <v>25.000303944283338</v>
      </c>
      <c r="Q234" s="60">
        <f t="shared" si="123"/>
        <v>23.013607988934911</v>
      </c>
      <c r="R234" s="60">
        <f t="shared" si="123"/>
        <v>21.026912033586488</v>
      </c>
      <c r="S234" s="60">
        <f t="shared" si="123"/>
        <v>19.040216078238061</v>
      </c>
      <c r="T234" s="60">
        <f t="shared" si="123"/>
        <v>17.053520122889637</v>
      </c>
      <c r="U234" s="60">
        <f t="shared" si="123"/>
        <v>15.06682416754121</v>
      </c>
      <c r="V234" s="60">
        <f t="shared" si="123"/>
        <v>13.080128212192784</v>
      </c>
      <c r="W234" s="60">
        <f t="shared" si="123"/>
        <v>11.093432256844359</v>
      </c>
      <c r="X234" s="60">
        <f t="shared" si="123"/>
        <v>10.97767250181475</v>
      </c>
      <c r="Y234" s="60">
        <f t="shared" si="123"/>
        <v>10.861912746785141</v>
      </c>
      <c r="Z234" s="60">
        <f t="shared" si="123"/>
        <v>10.74615299175553</v>
      </c>
      <c r="AA234" s="60">
        <f t="shared" si="123"/>
        <v>10.63039323672592</v>
      </c>
      <c r="AB234" s="60">
        <f t="shared" si="123"/>
        <v>10.514633481696311</v>
      </c>
      <c r="AC234" s="60">
        <f t="shared" si="123"/>
        <v>10.398873726666702</v>
      </c>
      <c r="AD234" s="60">
        <f t="shared" si="123"/>
        <v>10.283113971637091</v>
      </c>
      <c r="AE234" s="60">
        <f t="shared" si="123"/>
        <v>10.167354216607482</v>
      </c>
      <c r="AF234" s="60">
        <f t="shared" si="123"/>
        <v>10.051594461577873</v>
      </c>
      <c r="AG234" s="60">
        <f t="shared" si="123"/>
        <v>9.9358347065482633</v>
      </c>
      <c r="AH234" s="60">
        <f t="shared" si="123"/>
        <v>9.8200749515186541</v>
      </c>
      <c r="AI234" s="60">
        <f t="shared" si="123"/>
        <v>9.7043151964890431</v>
      </c>
      <c r="AJ234" s="60">
        <f t="shared" si="123"/>
        <v>9.5885554414594338</v>
      </c>
      <c r="AK234" s="60">
        <f t="shared" si="123"/>
        <v>9.4727956864298246</v>
      </c>
      <c r="AL234" s="60">
        <f t="shared" si="123"/>
        <v>9.3570359314002154</v>
      </c>
      <c r="AM234" s="60">
        <f t="shared" si="123"/>
        <v>9.2412761763706044</v>
      </c>
      <c r="AN234" s="60">
        <f t="shared" si="123"/>
        <v>9.1255164213409952</v>
      </c>
      <c r="AO234" s="60">
        <f t="shared" si="123"/>
        <v>9.0097566663113859</v>
      </c>
      <c r="AP234" s="60">
        <f t="shared" si="123"/>
        <v>8.8939969112817767</v>
      </c>
      <c r="AQ234" s="60">
        <f t="shared" si="123"/>
        <v>8.7782371562521764</v>
      </c>
      <c r="AV234"/>
      <c r="AW234"/>
      <c r="AX234"/>
      <c r="AY234"/>
      <c r="BB234"/>
      <c r="BC234"/>
      <c r="BD234"/>
      <c r="BE234"/>
      <c r="BF234"/>
      <c r="BJ234"/>
      <c r="BK234"/>
      <c r="BL234"/>
      <c r="BM234"/>
      <c r="BN234"/>
      <c r="BO234"/>
      <c r="BP234"/>
      <c r="BQ234"/>
    </row>
    <row r="235" spans="7:69" ht="14.25" hidden="1" customHeight="1" x14ac:dyDescent="0.2">
      <c r="G235" s="7"/>
      <c r="H235" s="207"/>
      <c r="J235" s="156"/>
      <c r="K235" s="5" t="s">
        <v>87</v>
      </c>
      <c r="L235" s="47" t="s">
        <v>66</v>
      </c>
      <c r="M235" s="59">
        <f t="shared" ref="M235:AQ235" si="124">M232</f>
        <v>29.295961999999999</v>
      </c>
      <c r="N235" s="59">
        <f t="shared" si="124"/>
        <v>28.973695854980193</v>
      </c>
      <c r="O235" s="59">
        <f t="shared" si="124"/>
        <v>27.227838866776466</v>
      </c>
      <c r="P235" s="59">
        <f t="shared" si="124"/>
        <v>25.481981878572736</v>
      </c>
      <c r="Q235" s="59">
        <f t="shared" si="124"/>
        <v>23.736124890369009</v>
      </c>
      <c r="R235" s="59">
        <f t="shared" si="124"/>
        <v>21.990267902165286</v>
      </c>
      <c r="S235" s="59">
        <f t="shared" si="124"/>
        <v>20.244410913961559</v>
      </c>
      <c r="T235" s="59">
        <f t="shared" si="124"/>
        <v>18.498553925757832</v>
      </c>
      <c r="U235" s="59">
        <f t="shared" si="124"/>
        <v>16.752696937554106</v>
      </c>
      <c r="V235" s="59">
        <f t="shared" si="124"/>
        <v>15.006839949350381</v>
      </c>
      <c r="W235" s="59">
        <f t="shared" si="124"/>
        <v>13.260982961146656</v>
      </c>
      <c r="X235" s="59">
        <f t="shared" si="124"/>
        <v>13.152605425931542</v>
      </c>
      <c r="Y235" s="59">
        <f t="shared" si="124"/>
        <v>13.044227890716426</v>
      </c>
      <c r="Z235" s="59">
        <f t="shared" si="124"/>
        <v>12.93585035550131</v>
      </c>
      <c r="AA235" s="59">
        <f t="shared" si="124"/>
        <v>12.827472820286197</v>
      </c>
      <c r="AB235" s="59">
        <f t="shared" si="124"/>
        <v>12.719095285071081</v>
      </c>
      <c r="AC235" s="59">
        <f t="shared" si="124"/>
        <v>12.610717749855965</v>
      </c>
      <c r="AD235" s="59">
        <f t="shared" si="124"/>
        <v>12.502340214640851</v>
      </c>
      <c r="AE235" s="59">
        <f t="shared" si="124"/>
        <v>12.393962679425735</v>
      </c>
      <c r="AF235" s="59">
        <f t="shared" si="124"/>
        <v>12.285585144210621</v>
      </c>
      <c r="AG235" s="59">
        <f t="shared" si="124"/>
        <v>12.177207608995506</v>
      </c>
      <c r="AH235" s="59">
        <f t="shared" si="124"/>
        <v>12.06883007378039</v>
      </c>
      <c r="AI235" s="59">
        <f t="shared" si="124"/>
        <v>11.960452538565276</v>
      </c>
      <c r="AJ235" s="59">
        <f t="shared" si="124"/>
        <v>11.85207500335016</v>
      </c>
      <c r="AK235" s="59">
        <f t="shared" si="124"/>
        <v>11.743697468135045</v>
      </c>
      <c r="AL235" s="59">
        <f t="shared" si="124"/>
        <v>11.635319932919931</v>
      </c>
      <c r="AM235" s="59">
        <f t="shared" si="124"/>
        <v>11.526942397704815</v>
      </c>
      <c r="AN235" s="59">
        <f t="shared" si="124"/>
        <v>11.418564862489701</v>
      </c>
      <c r="AO235" s="59">
        <f t="shared" si="124"/>
        <v>11.310187327274585</v>
      </c>
      <c r="AP235" s="59">
        <f t="shared" si="124"/>
        <v>11.201809792059469</v>
      </c>
      <c r="AQ235" s="59">
        <f t="shared" si="124"/>
        <v>11.093432256844359</v>
      </c>
      <c r="AZ235"/>
      <c r="BA235"/>
    </row>
    <row r="236" spans="7:69" ht="14.25" hidden="1" customHeight="1" thickBot="1" x14ac:dyDescent="0.2">
      <c r="G236" s="7"/>
      <c r="H236" s="207"/>
      <c r="J236" s="156"/>
      <c r="K236" s="14" t="s">
        <v>87</v>
      </c>
      <c r="L236" s="14" t="s">
        <v>62</v>
      </c>
      <c r="M236" s="58">
        <f t="shared" ref="M236:AQ236" si="125">M233</f>
        <v>29.295961999999999</v>
      </c>
      <c r="N236" s="58">
        <f t="shared" si="125"/>
        <v>28.973695854980193</v>
      </c>
      <c r="O236" s="58">
        <f t="shared" si="125"/>
        <v>28.584063839180377</v>
      </c>
      <c r="P236" s="58">
        <f t="shared" si="125"/>
        <v>28.194431823380562</v>
      </c>
      <c r="Q236" s="58">
        <f t="shared" si="125"/>
        <v>27.804799807580746</v>
      </c>
      <c r="R236" s="58">
        <f t="shared" si="125"/>
        <v>27.415167791780931</v>
      </c>
      <c r="S236" s="58">
        <f t="shared" si="125"/>
        <v>27.025535775981115</v>
      </c>
      <c r="T236" s="58">
        <f t="shared" si="125"/>
        <v>26.6359037601813</v>
      </c>
      <c r="U236" s="58">
        <f t="shared" si="125"/>
        <v>26.246271744381485</v>
      </c>
      <c r="V236" s="58">
        <f t="shared" si="125"/>
        <v>25.856639728581669</v>
      </c>
      <c r="W236" s="58">
        <f t="shared" si="125"/>
        <v>25.467007712781857</v>
      </c>
      <c r="X236" s="58">
        <f t="shared" si="125"/>
        <v>24.856706475200095</v>
      </c>
      <c r="Y236" s="58">
        <f t="shared" si="125"/>
        <v>24.246405237618337</v>
      </c>
      <c r="Z236" s="58">
        <f t="shared" si="125"/>
        <v>23.636104000036575</v>
      </c>
      <c r="AA236" s="58">
        <f t="shared" si="125"/>
        <v>23.025802762454813</v>
      </c>
      <c r="AB236" s="58">
        <f t="shared" si="125"/>
        <v>22.415501524873054</v>
      </c>
      <c r="AC236" s="58">
        <f t="shared" si="125"/>
        <v>21.805200287291292</v>
      </c>
      <c r="AD236" s="58">
        <f t="shared" si="125"/>
        <v>21.19489904970953</v>
      </c>
      <c r="AE236" s="58">
        <f t="shared" si="125"/>
        <v>20.584597812127772</v>
      </c>
      <c r="AF236" s="58">
        <f t="shared" si="125"/>
        <v>19.97429657454601</v>
      </c>
      <c r="AG236" s="58">
        <f t="shared" si="125"/>
        <v>19.363995336964248</v>
      </c>
      <c r="AH236" s="58">
        <f t="shared" si="125"/>
        <v>18.753694099382486</v>
      </c>
      <c r="AI236" s="58">
        <f t="shared" si="125"/>
        <v>18.143392861800727</v>
      </c>
      <c r="AJ236" s="58">
        <f t="shared" si="125"/>
        <v>17.533091624218965</v>
      </c>
      <c r="AK236" s="58">
        <f t="shared" si="125"/>
        <v>16.922790386637203</v>
      </c>
      <c r="AL236" s="58">
        <f t="shared" si="125"/>
        <v>16.312489149055445</v>
      </c>
      <c r="AM236" s="58">
        <f t="shared" si="125"/>
        <v>15.702187911473681</v>
      </c>
      <c r="AN236" s="58">
        <f t="shared" si="125"/>
        <v>15.091886673891921</v>
      </c>
      <c r="AO236" s="58">
        <f t="shared" si="125"/>
        <v>14.48158543631016</v>
      </c>
      <c r="AP236" s="58">
        <f t="shared" si="125"/>
        <v>13.871284198728398</v>
      </c>
      <c r="AQ236" s="58">
        <f t="shared" si="125"/>
        <v>13.260982961146656</v>
      </c>
    </row>
    <row r="237" spans="7:69" ht="14.25" hidden="1" customHeight="1" thickTop="1" x14ac:dyDescent="0.2">
      <c r="G237" s="7"/>
      <c r="H237" s="207"/>
      <c r="J237" s="156"/>
      <c r="K237" s="13" t="s">
        <v>86</v>
      </c>
      <c r="L237" s="13" t="s">
        <v>67</v>
      </c>
      <c r="M237" s="60">
        <f t="shared" ref="M237:AQ237" si="126">M234</f>
        <v>29.295961999999999</v>
      </c>
      <c r="N237" s="60">
        <f t="shared" si="126"/>
        <v>28.973695854980193</v>
      </c>
      <c r="O237" s="60">
        <f t="shared" si="126"/>
        <v>26.986999899631765</v>
      </c>
      <c r="P237" s="60">
        <f t="shared" si="126"/>
        <v>25.000303944283338</v>
      </c>
      <c r="Q237" s="60">
        <f t="shared" si="126"/>
        <v>23.013607988934911</v>
      </c>
      <c r="R237" s="60">
        <f t="shared" si="126"/>
        <v>21.026912033586488</v>
      </c>
      <c r="S237" s="60">
        <f t="shared" si="126"/>
        <v>19.040216078238061</v>
      </c>
      <c r="T237" s="60">
        <f t="shared" si="126"/>
        <v>17.053520122889637</v>
      </c>
      <c r="U237" s="60">
        <f t="shared" si="126"/>
        <v>15.06682416754121</v>
      </c>
      <c r="V237" s="60">
        <f t="shared" si="126"/>
        <v>13.080128212192784</v>
      </c>
      <c r="W237" s="60">
        <f t="shared" si="126"/>
        <v>11.093432256844359</v>
      </c>
      <c r="X237" s="60">
        <f t="shared" si="126"/>
        <v>10.97767250181475</v>
      </c>
      <c r="Y237" s="60">
        <f t="shared" si="126"/>
        <v>10.861912746785141</v>
      </c>
      <c r="Z237" s="60">
        <f t="shared" si="126"/>
        <v>10.74615299175553</v>
      </c>
      <c r="AA237" s="60">
        <f t="shared" si="126"/>
        <v>10.63039323672592</v>
      </c>
      <c r="AB237" s="60">
        <f t="shared" si="126"/>
        <v>10.514633481696311</v>
      </c>
      <c r="AC237" s="60">
        <f t="shared" si="126"/>
        <v>10.398873726666702</v>
      </c>
      <c r="AD237" s="60">
        <f t="shared" si="126"/>
        <v>10.283113971637091</v>
      </c>
      <c r="AE237" s="60">
        <f t="shared" si="126"/>
        <v>10.167354216607482</v>
      </c>
      <c r="AF237" s="60">
        <f t="shared" si="126"/>
        <v>10.051594461577873</v>
      </c>
      <c r="AG237" s="60">
        <f t="shared" si="126"/>
        <v>9.9358347065482633</v>
      </c>
      <c r="AH237" s="60">
        <f t="shared" si="126"/>
        <v>9.8200749515186541</v>
      </c>
      <c r="AI237" s="60">
        <f t="shared" si="126"/>
        <v>9.7043151964890431</v>
      </c>
      <c r="AJ237" s="60">
        <f t="shared" si="126"/>
        <v>9.5885554414594338</v>
      </c>
      <c r="AK237" s="60">
        <f t="shared" si="126"/>
        <v>9.4727956864298246</v>
      </c>
      <c r="AL237" s="60">
        <f t="shared" si="126"/>
        <v>9.3570359314002154</v>
      </c>
      <c r="AM237" s="60">
        <f t="shared" si="126"/>
        <v>9.2412761763706044</v>
      </c>
      <c r="AN237" s="60">
        <f t="shared" si="126"/>
        <v>9.1255164213409952</v>
      </c>
      <c r="AO237" s="60">
        <f t="shared" si="126"/>
        <v>9.0097566663113859</v>
      </c>
      <c r="AP237" s="60">
        <f t="shared" si="126"/>
        <v>8.8939969112817767</v>
      </c>
      <c r="AQ237" s="60">
        <f t="shared" si="126"/>
        <v>8.7782371562521764</v>
      </c>
      <c r="AV237"/>
      <c r="AW237"/>
      <c r="AX237"/>
      <c r="AY237"/>
      <c r="BB237"/>
      <c r="BC237"/>
      <c r="BD237"/>
      <c r="BE237"/>
      <c r="BF237"/>
      <c r="BJ237"/>
      <c r="BK237"/>
      <c r="BL237"/>
      <c r="BM237"/>
      <c r="BN237"/>
      <c r="BO237"/>
      <c r="BP237"/>
      <c r="BQ237"/>
    </row>
    <row r="238" spans="7:69" ht="14.25" hidden="1" customHeight="1" x14ac:dyDescent="0.2">
      <c r="G238" s="7"/>
      <c r="H238" s="207"/>
      <c r="J238" s="156"/>
      <c r="K238" s="5" t="s">
        <v>86</v>
      </c>
      <c r="L238" s="47" t="s">
        <v>66</v>
      </c>
      <c r="M238" s="59">
        <f t="shared" ref="M238:AQ238" si="127">M235</f>
        <v>29.295961999999999</v>
      </c>
      <c r="N238" s="59">
        <f t="shared" si="127"/>
        <v>28.973695854980193</v>
      </c>
      <c r="O238" s="59">
        <f t="shared" si="127"/>
        <v>27.227838866776466</v>
      </c>
      <c r="P238" s="59">
        <f t="shared" si="127"/>
        <v>25.481981878572736</v>
      </c>
      <c r="Q238" s="59">
        <f t="shared" si="127"/>
        <v>23.736124890369009</v>
      </c>
      <c r="R238" s="59">
        <f t="shared" si="127"/>
        <v>21.990267902165286</v>
      </c>
      <c r="S238" s="59">
        <f t="shared" si="127"/>
        <v>20.244410913961559</v>
      </c>
      <c r="T238" s="59">
        <f t="shared" si="127"/>
        <v>18.498553925757832</v>
      </c>
      <c r="U238" s="59">
        <f t="shared" si="127"/>
        <v>16.752696937554106</v>
      </c>
      <c r="V238" s="59">
        <f t="shared" si="127"/>
        <v>15.006839949350381</v>
      </c>
      <c r="W238" s="59">
        <f t="shared" si="127"/>
        <v>13.260982961146656</v>
      </c>
      <c r="X238" s="59">
        <f t="shared" si="127"/>
        <v>13.152605425931542</v>
      </c>
      <c r="Y238" s="59">
        <f t="shared" si="127"/>
        <v>13.044227890716426</v>
      </c>
      <c r="Z238" s="59">
        <f t="shared" si="127"/>
        <v>12.93585035550131</v>
      </c>
      <c r="AA238" s="59">
        <f t="shared" si="127"/>
        <v>12.827472820286197</v>
      </c>
      <c r="AB238" s="59">
        <f t="shared" si="127"/>
        <v>12.719095285071081</v>
      </c>
      <c r="AC238" s="59">
        <f t="shared" si="127"/>
        <v>12.610717749855965</v>
      </c>
      <c r="AD238" s="59">
        <f t="shared" si="127"/>
        <v>12.502340214640851</v>
      </c>
      <c r="AE238" s="59">
        <f t="shared" si="127"/>
        <v>12.393962679425735</v>
      </c>
      <c r="AF238" s="59">
        <f t="shared" si="127"/>
        <v>12.285585144210621</v>
      </c>
      <c r="AG238" s="59">
        <f t="shared" si="127"/>
        <v>12.177207608995506</v>
      </c>
      <c r="AH238" s="59">
        <f t="shared" si="127"/>
        <v>12.06883007378039</v>
      </c>
      <c r="AI238" s="59">
        <f t="shared" si="127"/>
        <v>11.960452538565276</v>
      </c>
      <c r="AJ238" s="59">
        <f t="shared" si="127"/>
        <v>11.85207500335016</v>
      </c>
      <c r="AK238" s="59">
        <f t="shared" si="127"/>
        <v>11.743697468135045</v>
      </c>
      <c r="AL238" s="59">
        <f t="shared" si="127"/>
        <v>11.635319932919931</v>
      </c>
      <c r="AM238" s="59">
        <f t="shared" si="127"/>
        <v>11.526942397704815</v>
      </c>
      <c r="AN238" s="59">
        <f t="shared" si="127"/>
        <v>11.418564862489701</v>
      </c>
      <c r="AO238" s="59">
        <f t="shared" si="127"/>
        <v>11.310187327274585</v>
      </c>
      <c r="AP238" s="59">
        <f t="shared" si="127"/>
        <v>11.201809792059469</v>
      </c>
      <c r="AQ238" s="59">
        <f t="shared" si="127"/>
        <v>11.093432256844359</v>
      </c>
      <c r="AZ238"/>
      <c r="BA238"/>
    </row>
    <row r="239" spans="7:69" ht="14.25" hidden="1" customHeight="1" thickBot="1" x14ac:dyDescent="0.2">
      <c r="G239" s="7"/>
      <c r="H239" s="207"/>
      <c r="J239" s="156"/>
      <c r="K239" s="14" t="s">
        <v>86</v>
      </c>
      <c r="L239" s="14" t="s">
        <v>62</v>
      </c>
      <c r="M239" s="58">
        <f t="shared" ref="M239:AQ239" si="128">M236</f>
        <v>29.295961999999999</v>
      </c>
      <c r="N239" s="58">
        <f t="shared" si="128"/>
        <v>28.973695854980193</v>
      </c>
      <c r="O239" s="58">
        <f t="shared" si="128"/>
        <v>28.584063839180377</v>
      </c>
      <c r="P239" s="58">
        <f t="shared" si="128"/>
        <v>28.194431823380562</v>
      </c>
      <c r="Q239" s="58">
        <f t="shared" si="128"/>
        <v>27.804799807580746</v>
      </c>
      <c r="R239" s="58">
        <f t="shared" si="128"/>
        <v>27.415167791780931</v>
      </c>
      <c r="S239" s="58">
        <f t="shared" si="128"/>
        <v>27.025535775981115</v>
      </c>
      <c r="T239" s="58">
        <f t="shared" si="128"/>
        <v>26.6359037601813</v>
      </c>
      <c r="U239" s="58">
        <f t="shared" si="128"/>
        <v>26.246271744381485</v>
      </c>
      <c r="V239" s="58">
        <f t="shared" si="128"/>
        <v>25.856639728581669</v>
      </c>
      <c r="W239" s="58">
        <f t="shared" si="128"/>
        <v>25.467007712781857</v>
      </c>
      <c r="X239" s="58">
        <f t="shared" si="128"/>
        <v>24.856706475200095</v>
      </c>
      <c r="Y239" s="58">
        <f t="shared" si="128"/>
        <v>24.246405237618337</v>
      </c>
      <c r="Z239" s="58">
        <f t="shared" si="128"/>
        <v>23.636104000036575</v>
      </c>
      <c r="AA239" s="58">
        <f t="shared" si="128"/>
        <v>23.025802762454813</v>
      </c>
      <c r="AB239" s="58">
        <f t="shared" si="128"/>
        <v>22.415501524873054</v>
      </c>
      <c r="AC239" s="58">
        <f t="shared" si="128"/>
        <v>21.805200287291292</v>
      </c>
      <c r="AD239" s="58">
        <f t="shared" si="128"/>
        <v>21.19489904970953</v>
      </c>
      <c r="AE239" s="58">
        <f t="shared" si="128"/>
        <v>20.584597812127772</v>
      </c>
      <c r="AF239" s="58">
        <f t="shared" si="128"/>
        <v>19.97429657454601</v>
      </c>
      <c r="AG239" s="58">
        <f t="shared" si="128"/>
        <v>19.363995336964248</v>
      </c>
      <c r="AH239" s="58">
        <f t="shared" si="128"/>
        <v>18.753694099382486</v>
      </c>
      <c r="AI239" s="58">
        <f t="shared" si="128"/>
        <v>18.143392861800727</v>
      </c>
      <c r="AJ239" s="58">
        <f t="shared" si="128"/>
        <v>17.533091624218965</v>
      </c>
      <c r="AK239" s="58">
        <f t="shared" si="128"/>
        <v>16.922790386637203</v>
      </c>
      <c r="AL239" s="58">
        <f t="shared" si="128"/>
        <v>16.312489149055445</v>
      </c>
      <c r="AM239" s="58">
        <f t="shared" si="128"/>
        <v>15.702187911473681</v>
      </c>
      <c r="AN239" s="58">
        <f t="shared" si="128"/>
        <v>15.091886673891921</v>
      </c>
      <c r="AO239" s="58">
        <f t="shared" si="128"/>
        <v>14.48158543631016</v>
      </c>
      <c r="AP239" s="58">
        <f t="shared" si="128"/>
        <v>13.871284198728398</v>
      </c>
      <c r="AQ239" s="58">
        <f t="shared" si="128"/>
        <v>13.260982961146656</v>
      </c>
    </row>
    <row r="240" spans="7:69" ht="14.25" hidden="1" customHeight="1" thickTop="1" x14ac:dyDescent="0.2">
      <c r="G240" s="7"/>
      <c r="H240" s="207"/>
      <c r="J240" s="156"/>
      <c r="K240" s="13" t="s">
        <v>85</v>
      </c>
      <c r="L240" s="13" t="s">
        <v>67</v>
      </c>
      <c r="M240" s="60">
        <f t="shared" ref="M240:AQ240" si="129">M237</f>
        <v>29.295961999999999</v>
      </c>
      <c r="N240" s="60">
        <f t="shared" si="129"/>
        <v>28.973695854980193</v>
      </c>
      <c r="O240" s="60">
        <f t="shared" si="129"/>
        <v>26.986999899631765</v>
      </c>
      <c r="P240" s="60">
        <f t="shared" si="129"/>
        <v>25.000303944283338</v>
      </c>
      <c r="Q240" s="60">
        <f t="shared" si="129"/>
        <v>23.013607988934911</v>
      </c>
      <c r="R240" s="60">
        <f t="shared" si="129"/>
        <v>21.026912033586488</v>
      </c>
      <c r="S240" s="60">
        <f t="shared" si="129"/>
        <v>19.040216078238061</v>
      </c>
      <c r="T240" s="60">
        <f t="shared" si="129"/>
        <v>17.053520122889637</v>
      </c>
      <c r="U240" s="60">
        <f t="shared" si="129"/>
        <v>15.06682416754121</v>
      </c>
      <c r="V240" s="60">
        <f t="shared" si="129"/>
        <v>13.080128212192784</v>
      </c>
      <c r="W240" s="60">
        <f t="shared" si="129"/>
        <v>11.093432256844359</v>
      </c>
      <c r="X240" s="60">
        <f t="shared" si="129"/>
        <v>10.97767250181475</v>
      </c>
      <c r="Y240" s="60">
        <f t="shared" si="129"/>
        <v>10.861912746785141</v>
      </c>
      <c r="Z240" s="60">
        <f t="shared" si="129"/>
        <v>10.74615299175553</v>
      </c>
      <c r="AA240" s="60">
        <f t="shared" si="129"/>
        <v>10.63039323672592</v>
      </c>
      <c r="AB240" s="60">
        <f t="shared" si="129"/>
        <v>10.514633481696311</v>
      </c>
      <c r="AC240" s="60">
        <f t="shared" si="129"/>
        <v>10.398873726666702</v>
      </c>
      <c r="AD240" s="60">
        <f t="shared" si="129"/>
        <v>10.283113971637091</v>
      </c>
      <c r="AE240" s="60">
        <f t="shared" si="129"/>
        <v>10.167354216607482</v>
      </c>
      <c r="AF240" s="60">
        <f t="shared" si="129"/>
        <v>10.051594461577873</v>
      </c>
      <c r="AG240" s="60">
        <f t="shared" si="129"/>
        <v>9.9358347065482633</v>
      </c>
      <c r="AH240" s="60">
        <f t="shared" si="129"/>
        <v>9.8200749515186541</v>
      </c>
      <c r="AI240" s="60">
        <f t="shared" si="129"/>
        <v>9.7043151964890431</v>
      </c>
      <c r="AJ240" s="60">
        <f t="shared" si="129"/>
        <v>9.5885554414594338</v>
      </c>
      <c r="AK240" s="60">
        <f t="shared" si="129"/>
        <v>9.4727956864298246</v>
      </c>
      <c r="AL240" s="60">
        <f t="shared" si="129"/>
        <v>9.3570359314002154</v>
      </c>
      <c r="AM240" s="60">
        <f t="shared" si="129"/>
        <v>9.2412761763706044</v>
      </c>
      <c r="AN240" s="60">
        <f t="shared" si="129"/>
        <v>9.1255164213409952</v>
      </c>
      <c r="AO240" s="60">
        <f t="shared" si="129"/>
        <v>9.0097566663113859</v>
      </c>
      <c r="AP240" s="60">
        <f t="shared" si="129"/>
        <v>8.8939969112817767</v>
      </c>
      <c r="AQ240" s="60">
        <f t="shared" si="129"/>
        <v>8.7782371562521764</v>
      </c>
      <c r="AV240"/>
      <c r="AW240"/>
      <c r="AX240"/>
      <c r="AY240"/>
      <c r="BB240"/>
      <c r="BC240"/>
      <c r="BD240"/>
      <c r="BE240"/>
      <c r="BF240"/>
      <c r="BJ240"/>
      <c r="BK240"/>
      <c r="BL240"/>
      <c r="BM240"/>
      <c r="BN240"/>
      <c r="BO240"/>
      <c r="BP240"/>
      <c r="BQ240"/>
    </row>
    <row r="241" spans="1:99" ht="14.25" hidden="1" customHeight="1" x14ac:dyDescent="0.2">
      <c r="G241" s="7"/>
      <c r="H241" s="207"/>
      <c r="J241" s="156"/>
      <c r="K241" s="5" t="s">
        <v>85</v>
      </c>
      <c r="L241" s="47" t="s">
        <v>66</v>
      </c>
      <c r="M241" s="59">
        <f t="shared" ref="M241:AQ241" si="130">M238</f>
        <v>29.295961999999999</v>
      </c>
      <c r="N241" s="59">
        <f t="shared" si="130"/>
        <v>28.973695854980193</v>
      </c>
      <c r="O241" s="59">
        <f t="shared" si="130"/>
        <v>27.227838866776466</v>
      </c>
      <c r="P241" s="59">
        <f t="shared" si="130"/>
        <v>25.481981878572736</v>
      </c>
      <c r="Q241" s="59">
        <f t="shared" si="130"/>
        <v>23.736124890369009</v>
      </c>
      <c r="R241" s="59">
        <f t="shared" si="130"/>
        <v>21.990267902165286</v>
      </c>
      <c r="S241" s="59">
        <f t="shared" si="130"/>
        <v>20.244410913961559</v>
      </c>
      <c r="T241" s="59">
        <f t="shared" si="130"/>
        <v>18.498553925757832</v>
      </c>
      <c r="U241" s="59">
        <f t="shared" si="130"/>
        <v>16.752696937554106</v>
      </c>
      <c r="V241" s="59">
        <f t="shared" si="130"/>
        <v>15.006839949350381</v>
      </c>
      <c r="W241" s="59">
        <f t="shared" si="130"/>
        <v>13.260982961146656</v>
      </c>
      <c r="X241" s="59">
        <f t="shared" si="130"/>
        <v>13.152605425931542</v>
      </c>
      <c r="Y241" s="59">
        <f t="shared" si="130"/>
        <v>13.044227890716426</v>
      </c>
      <c r="Z241" s="59">
        <f t="shared" si="130"/>
        <v>12.93585035550131</v>
      </c>
      <c r="AA241" s="59">
        <f t="shared" si="130"/>
        <v>12.827472820286197</v>
      </c>
      <c r="AB241" s="59">
        <f t="shared" si="130"/>
        <v>12.719095285071081</v>
      </c>
      <c r="AC241" s="59">
        <f t="shared" si="130"/>
        <v>12.610717749855965</v>
      </c>
      <c r="AD241" s="59">
        <f t="shared" si="130"/>
        <v>12.502340214640851</v>
      </c>
      <c r="AE241" s="59">
        <f t="shared" si="130"/>
        <v>12.393962679425735</v>
      </c>
      <c r="AF241" s="59">
        <f t="shared" si="130"/>
        <v>12.285585144210621</v>
      </c>
      <c r="AG241" s="59">
        <f t="shared" si="130"/>
        <v>12.177207608995506</v>
      </c>
      <c r="AH241" s="59">
        <f t="shared" si="130"/>
        <v>12.06883007378039</v>
      </c>
      <c r="AI241" s="59">
        <f t="shared" si="130"/>
        <v>11.960452538565276</v>
      </c>
      <c r="AJ241" s="59">
        <f t="shared" si="130"/>
        <v>11.85207500335016</v>
      </c>
      <c r="AK241" s="59">
        <f t="shared" si="130"/>
        <v>11.743697468135045</v>
      </c>
      <c r="AL241" s="59">
        <f t="shared" si="130"/>
        <v>11.635319932919931</v>
      </c>
      <c r="AM241" s="59">
        <f t="shared" si="130"/>
        <v>11.526942397704815</v>
      </c>
      <c r="AN241" s="59">
        <f t="shared" si="130"/>
        <v>11.418564862489701</v>
      </c>
      <c r="AO241" s="59">
        <f t="shared" si="130"/>
        <v>11.310187327274585</v>
      </c>
      <c r="AP241" s="59">
        <f t="shared" si="130"/>
        <v>11.201809792059469</v>
      </c>
      <c r="AQ241" s="59">
        <f t="shared" si="130"/>
        <v>11.093432256844359</v>
      </c>
      <c r="AZ241"/>
      <c r="BA241"/>
    </row>
    <row r="242" spans="1:99" ht="14.25" hidden="1" customHeight="1" thickBot="1" x14ac:dyDescent="0.2">
      <c r="G242" s="7"/>
      <c r="H242" s="207"/>
      <c r="J242" s="157"/>
      <c r="K242" s="14" t="s">
        <v>85</v>
      </c>
      <c r="L242" s="14" t="s">
        <v>62</v>
      </c>
      <c r="M242" s="58">
        <f t="shared" ref="M242:AQ242" si="131">M239</f>
        <v>29.295961999999999</v>
      </c>
      <c r="N242" s="58">
        <f t="shared" si="131"/>
        <v>28.973695854980193</v>
      </c>
      <c r="O242" s="58">
        <f t="shared" si="131"/>
        <v>28.584063839180377</v>
      </c>
      <c r="P242" s="58">
        <f t="shared" si="131"/>
        <v>28.194431823380562</v>
      </c>
      <c r="Q242" s="58">
        <f t="shared" si="131"/>
        <v>27.804799807580746</v>
      </c>
      <c r="R242" s="58">
        <f t="shared" si="131"/>
        <v>27.415167791780931</v>
      </c>
      <c r="S242" s="58">
        <f t="shared" si="131"/>
        <v>27.025535775981115</v>
      </c>
      <c r="T242" s="58">
        <f t="shared" si="131"/>
        <v>26.6359037601813</v>
      </c>
      <c r="U242" s="58">
        <f t="shared" si="131"/>
        <v>26.246271744381485</v>
      </c>
      <c r="V242" s="58">
        <f t="shared" si="131"/>
        <v>25.856639728581669</v>
      </c>
      <c r="W242" s="58">
        <f t="shared" si="131"/>
        <v>25.467007712781857</v>
      </c>
      <c r="X242" s="58">
        <f t="shared" si="131"/>
        <v>24.856706475200095</v>
      </c>
      <c r="Y242" s="58">
        <f t="shared" si="131"/>
        <v>24.246405237618337</v>
      </c>
      <c r="Z242" s="58">
        <f t="shared" si="131"/>
        <v>23.636104000036575</v>
      </c>
      <c r="AA242" s="58">
        <f t="shared" si="131"/>
        <v>23.025802762454813</v>
      </c>
      <c r="AB242" s="58">
        <f t="shared" si="131"/>
        <v>22.415501524873054</v>
      </c>
      <c r="AC242" s="58">
        <f t="shared" si="131"/>
        <v>21.805200287291292</v>
      </c>
      <c r="AD242" s="58">
        <f t="shared" si="131"/>
        <v>21.19489904970953</v>
      </c>
      <c r="AE242" s="58">
        <f t="shared" si="131"/>
        <v>20.584597812127772</v>
      </c>
      <c r="AF242" s="58">
        <f t="shared" si="131"/>
        <v>19.97429657454601</v>
      </c>
      <c r="AG242" s="58">
        <f t="shared" si="131"/>
        <v>19.363995336964248</v>
      </c>
      <c r="AH242" s="58">
        <f t="shared" si="131"/>
        <v>18.753694099382486</v>
      </c>
      <c r="AI242" s="58">
        <f t="shared" si="131"/>
        <v>18.143392861800727</v>
      </c>
      <c r="AJ242" s="58">
        <f t="shared" si="131"/>
        <v>17.533091624218965</v>
      </c>
      <c r="AK242" s="58">
        <f t="shared" si="131"/>
        <v>16.922790386637203</v>
      </c>
      <c r="AL242" s="58">
        <f t="shared" si="131"/>
        <v>16.312489149055445</v>
      </c>
      <c r="AM242" s="58">
        <f t="shared" si="131"/>
        <v>15.702187911473681</v>
      </c>
      <c r="AN242" s="58">
        <f t="shared" si="131"/>
        <v>15.091886673891921</v>
      </c>
      <c r="AO242" s="58">
        <f t="shared" si="131"/>
        <v>14.48158543631016</v>
      </c>
      <c r="AP242" s="58">
        <f t="shared" si="131"/>
        <v>13.871284198728398</v>
      </c>
      <c r="AQ242" s="58">
        <f t="shared" si="131"/>
        <v>13.260982961146656</v>
      </c>
    </row>
    <row r="243" spans="1:99" ht="14.25" hidden="1" customHeight="1" thickTop="1" x14ac:dyDescent="0.15">
      <c r="G243" s="7"/>
      <c r="H243" s="207"/>
      <c r="J243" s="57"/>
      <c r="K243" s="5"/>
      <c r="L243" s="5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</row>
    <row r="244" spans="1:99" ht="14.25" hidden="1" customHeight="1" x14ac:dyDescent="0.15">
      <c r="G244" s="7"/>
      <c r="H244" s="207"/>
      <c r="M244" s="12">
        <v>2020</v>
      </c>
      <c r="N244" s="12">
        <v>2021</v>
      </c>
      <c r="O244" s="12">
        <v>2022</v>
      </c>
      <c r="P244" s="12">
        <v>2023</v>
      </c>
      <c r="Q244" s="12">
        <v>2024</v>
      </c>
      <c r="R244" s="12">
        <v>2025</v>
      </c>
      <c r="S244" s="12">
        <v>2026</v>
      </c>
      <c r="T244" s="12">
        <v>2027</v>
      </c>
      <c r="U244" s="12">
        <v>2028</v>
      </c>
      <c r="V244" s="12">
        <v>2029</v>
      </c>
      <c r="W244" s="12">
        <v>2030</v>
      </c>
      <c r="X244" s="12">
        <v>2031</v>
      </c>
      <c r="Y244" s="12">
        <v>2032</v>
      </c>
      <c r="Z244" s="12">
        <v>2033</v>
      </c>
      <c r="AA244" s="12">
        <v>2034</v>
      </c>
      <c r="AB244" s="12">
        <v>2035</v>
      </c>
      <c r="AC244" s="12">
        <v>2036</v>
      </c>
      <c r="AD244" s="12">
        <v>2037</v>
      </c>
      <c r="AE244" s="12">
        <v>2038</v>
      </c>
      <c r="AF244" s="12">
        <v>2039</v>
      </c>
      <c r="AG244" s="12">
        <v>2040</v>
      </c>
      <c r="AH244" s="12">
        <v>2041</v>
      </c>
      <c r="AI244" s="12">
        <v>2042</v>
      </c>
      <c r="AJ244" s="12">
        <v>2043</v>
      </c>
      <c r="AK244" s="12">
        <v>2044</v>
      </c>
      <c r="AL244" s="12">
        <v>2045</v>
      </c>
      <c r="AM244" s="12">
        <v>2046</v>
      </c>
      <c r="AN244" s="12">
        <v>2047</v>
      </c>
      <c r="AO244" s="12">
        <v>2048</v>
      </c>
      <c r="AP244" s="12">
        <v>2049</v>
      </c>
      <c r="AQ244" s="12">
        <v>2050</v>
      </c>
    </row>
    <row r="245" spans="1:99" ht="14.25" hidden="1" customHeight="1" x14ac:dyDescent="0.2">
      <c r="G245" s="7"/>
      <c r="H245" s="207"/>
      <c r="J245" s="155" t="s">
        <v>100</v>
      </c>
      <c r="K245" s="13" t="s">
        <v>94</v>
      </c>
      <c r="L245" s="13" t="s">
        <v>67</v>
      </c>
      <c r="M245" s="54">
        <v>0</v>
      </c>
      <c r="N245" s="54">
        <v>0</v>
      </c>
      <c r="O245" s="54">
        <v>0</v>
      </c>
      <c r="P245" s="54">
        <v>0</v>
      </c>
      <c r="Q245" s="54">
        <v>0</v>
      </c>
      <c r="R245" s="54">
        <v>0</v>
      </c>
      <c r="S245" s="54">
        <v>0</v>
      </c>
      <c r="T245" s="54">
        <v>0</v>
      </c>
      <c r="U245" s="54">
        <v>0</v>
      </c>
      <c r="V245" s="54">
        <v>0</v>
      </c>
      <c r="W245" s="54">
        <v>0</v>
      </c>
      <c r="X245" s="54">
        <v>0</v>
      </c>
      <c r="Y245" s="54">
        <v>0</v>
      </c>
      <c r="Z245" s="54">
        <v>0</v>
      </c>
      <c r="AA245" s="54">
        <v>0</v>
      </c>
      <c r="AB245" s="54">
        <v>0</v>
      </c>
      <c r="AC245" s="54">
        <v>0</v>
      </c>
      <c r="AD245" s="54">
        <v>0</v>
      </c>
      <c r="AE245" s="54">
        <v>0</v>
      </c>
      <c r="AF245" s="54">
        <v>0</v>
      </c>
      <c r="AG245" s="54">
        <v>0</v>
      </c>
      <c r="AH245" s="54">
        <v>0</v>
      </c>
      <c r="AI245" s="54">
        <v>0</v>
      </c>
      <c r="AJ245" s="54">
        <v>0</v>
      </c>
      <c r="AK245" s="54">
        <v>0</v>
      </c>
      <c r="AL245" s="54">
        <v>0</v>
      </c>
      <c r="AM245" s="54">
        <v>0</v>
      </c>
      <c r="AN245" s="54">
        <v>0</v>
      </c>
      <c r="AO245" s="54">
        <v>0</v>
      </c>
      <c r="AP245" s="54">
        <v>0</v>
      </c>
      <c r="AQ245" s="54">
        <v>0</v>
      </c>
      <c r="AT245"/>
      <c r="AU245"/>
    </row>
    <row r="246" spans="1:99" ht="14.25" hidden="1" customHeight="1" x14ac:dyDescent="0.15">
      <c r="G246" s="7"/>
      <c r="H246" s="207"/>
      <c r="J246" s="156"/>
      <c r="K246" s="5" t="s">
        <v>94</v>
      </c>
      <c r="L246" s="47" t="s">
        <v>66</v>
      </c>
      <c r="M246" s="51">
        <v>0</v>
      </c>
      <c r="N246" s="51">
        <v>0</v>
      </c>
      <c r="O246" s="51">
        <v>0</v>
      </c>
      <c r="P246" s="51">
        <v>0</v>
      </c>
      <c r="Q246" s="51">
        <v>0</v>
      </c>
      <c r="R246" s="51">
        <v>0</v>
      </c>
      <c r="S246" s="51">
        <v>0</v>
      </c>
      <c r="T246" s="51">
        <v>0</v>
      </c>
      <c r="U246" s="51">
        <v>0</v>
      </c>
      <c r="V246" s="51">
        <v>0</v>
      </c>
      <c r="W246" s="51">
        <v>0</v>
      </c>
      <c r="X246" s="51">
        <v>0</v>
      </c>
      <c r="Y246" s="51">
        <v>0</v>
      </c>
      <c r="Z246" s="51">
        <v>0</v>
      </c>
      <c r="AA246" s="51">
        <v>0</v>
      </c>
      <c r="AB246" s="51">
        <v>0</v>
      </c>
      <c r="AC246" s="51">
        <v>0</v>
      </c>
      <c r="AD246" s="51">
        <v>0</v>
      </c>
      <c r="AE246" s="51">
        <v>0</v>
      </c>
      <c r="AF246" s="51">
        <v>0</v>
      </c>
      <c r="AG246" s="51">
        <v>0</v>
      </c>
      <c r="AH246" s="51">
        <v>0</v>
      </c>
      <c r="AI246" s="51">
        <v>0</v>
      </c>
      <c r="AJ246" s="51">
        <v>0</v>
      </c>
      <c r="AK246" s="51">
        <v>0</v>
      </c>
      <c r="AL246" s="51">
        <v>0</v>
      </c>
      <c r="AM246" s="51">
        <v>0</v>
      </c>
      <c r="AN246" s="51">
        <v>0</v>
      </c>
      <c r="AO246" s="51">
        <v>0</v>
      </c>
      <c r="AP246" s="51">
        <v>0</v>
      </c>
      <c r="AQ246" s="51">
        <v>0</v>
      </c>
    </row>
    <row r="247" spans="1:99" ht="14.25" hidden="1" customHeight="1" thickBot="1" x14ac:dyDescent="0.2">
      <c r="G247" s="7"/>
      <c r="H247" s="207"/>
      <c r="J247" s="156"/>
      <c r="K247" s="14" t="s">
        <v>94</v>
      </c>
      <c r="L247" s="14" t="s">
        <v>62</v>
      </c>
      <c r="M247" s="53">
        <v>0</v>
      </c>
      <c r="N247" s="53">
        <v>0</v>
      </c>
      <c r="O247" s="53">
        <v>0</v>
      </c>
      <c r="P247" s="53">
        <v>0</v>
      </c>
      <c r="Q247" s="53">
        <v>0</v>
      </c>
      <c r="R247" s="53">
        <v>0</v>
      </c>
      <c r="S247" s="53">
        <v>0</v>
      </c>
      <c r="T247" s="53">
        <v>0</v>
      </c>
      <c r="U247" s="53">
        <v>0</v>
      </c>
      <c r="V247" s="53">
        <v>0</v>
      </c>
      <c r="W247" s="53">
        <v>0</v>
      </c>
      <c r="X247" s="53">
        <v>0</v>
      </c>
      <c r="Y247" s="53">
        <v>0</v>
      </c>
      <c r="Z247" s="53">
        <v>0</v>
      </c>
      <c r="AA247" s="53">
        <v>0</v>
      </c>
      <c r="AB247" s="53">
        <v>0</v>
      </c>
      <c r="AC247" s="53">
        <v>0</v>
      </c>
      <c r="AD247" s="53">
        <v>0</v>
      </c>
      <c r="AE247" s="53">
        <v>0</v>
      </c>
      <c r="AF247" s="53">
        <v>0</v>
      </c>
      <c r="AG247" s="53">
        <v>0</v>
      </c>
      <c r="AH247" s="53">
        <v>0</v>
      </c>
      <c r="AI247" s="53">
        <v>0</v>
      </c>
      <c r="AJ247" s="53">
        <v>0</v>
      </c>
      <c r="AK247" s="53">
        <v>0</v>
      </c>
      <c r="AL247" s="53">
        <v>0</v>
      </c>
      <c r="AM247" s="53">
        <v>0</v>
      </c>
      <c r="AN247" s="53">
        <v>0</v>
      </c>
      <c r="AO247" s="53">
        <v>0</v>
      </c>
      <c r="AP247" s="53">
        <v>0</v>
      </c>
      <c r="AQ247" s="53">
        <v>0</v>
      </c>
    </row>
    <row r="248" spans="1:99" ht="14.25" hidden="1" customHeight="1" thickTop="1" x14ac:dyDescent="0.2">
      <c r="G248" s="7"/>
      <c r="H248" s="207"/>
      <c r="J248" s="156"/>
      <c r="K248" s="13" t="s">
        <v>93</v>
      </c>
      <c r="L248" s="13" t="s">
        <v>67</v>
      </c>
      <c r="M248" s="52">
        <v>0</v>
      </c>
      <c r="N248" s="52">
        <v>0</v>
      </c>
      <c r="O248" s="52">
        <v>0</v>
      </c>
      <c r="P248" s="52">
        <v>0</v>
      </c>
      <c r="Q248" s="52">
        <v>0</v>
      </c>
      <c r="R248" s="52">
        <v>0</v>
      </c>
      <c r="S248" s="52">
        <v>0</v>
      </c>
      <c r="T248" s="52">
        <v>0</v>
      </c>
      <c r="U248" s="52">
        <v>0</v>
      </c>
      <c r="V248" s="52">
        <v>0</v>
      </c>
      <c r="W248" s="52">
        <v>0</v>
      </c>
      <c r="X248" s="52">
        <v>0</v>
      </c>
      <c r="Y248" s="52">
        <v>0</v>
      </c>
      <c r="Z248" s="52">
        <v>0</v>
      </c>
      <c r="AA248" s="52">
        <v>0</v>
      </c>
      <c r="AB248" s="52">
        <v>0</v>
      </c>
      <c r="AC248" s="52">
        <v>0</v>
      </c>
      <c r="AD248" s="52">
        <v>0</v>
      </c>
      <c r="AE248" s="52">
        <v>0</v>
      </c>
      <c r="AF248" s="52">
        <v>0</v>
      </c>
      <c r="AG248" s="52">
        <v>0</v>
      </c>
      <c r="AH248" s="52">
        <v>0</v>
      </c>
      <c r="AI248" s="52">
        <v>0</v>
      </c>
      <c r="AJ248" s="52">
        <v>0</v>
      </c>
      <c r="AK248" s="52">
        <v>0</v>
      </c>
      <c r="AL248" s="52">
        <v>0</v>
      </c>
      <c r="AM248" s="52">
        <v>0</v>
      </c>
      <c r="AN248" s="52">
        <v>0</v>
      </c>
      <c r="AO248" s="52">
        <v>0</v>
      </c>
      <c r="AP248" s="52">
        <v>0</v>
      </c>
      <c r="AQ248" s="52">
        <v>0</v>
      </c>
      <c r="AR248"/>
      <c r="AS248"/>
    </row>
    <row r="249" spans="1:99" ht="14.25" hidden="1" customHeight="1" x14ac:dyDescent="0.2">
      <c r="G249" s="7"/>
      <c r="H249" s="207"/>
      <c r="J249" s="156"/>
      <c r="K249" s="5" t="s">
        <v>93</v>
      </c>
      <c r="L249" s="47" t="s">
        <v>66</v>
      </c>
      <c r="M249" s="51">
        <v>0</v>
      </c>
      <c r="N249" s="51">
        <v>0</v>
      </c>
      <c r="O249" s="51">
        <v>0</v>
      </c>
      <c r="P249" s="51">
        <v>0</v>
      </c>
      <c r="Q249" s="51">
        <v>0</v>
      </c>
      <c r="R249" s="51">
        <v>0</v>
      </c>
      <c r="S249" s="51">
        <v>0</v>
      </c>
      <c r="T249" s="51">
        <v>0</v>
      </c>
      <c r="U249" s="51">
        <v>0</v>
      </c>
      <c r="V249" s="51">
        <v>0</v>
      </c>
      <c r="W249" s="51">
        <v>0</v>
      </c>
      <c r="X249" s="51">
        <v>0</v>
      </c>
      <c r="Y249" s="51">
        <v>0</v>
      </c>
      <c r="Z249" s="51">
        <v>0</v>
      </c>
      <c r="AA249" s="51">
        <v>0</v>
      </c>
      <c r="AB249" s="51">
        <v>0</v>
      </c>
      <c r="AC249" s="51">
        <v>0</v>
      </c>
      <c r="AD249" s="51">
        <v>0</v>
      </c>
      <c r="AE249" s="51">
        <v>0</v>
      </c>
      <c r="AF249" s="51">
        <v>0</v>
      </c>
      <c r="AG249" s="51">
        <v>0</v>
      </c>
      <c r="AH249" s="51">
        <v>0</v>
      </c>
      <c r="AI249" s="51">
        <v>0</v>
      </c>
      <c r="AJ249" s="51">
        <v>0</v>
      </c>
      <c r="AK249" s="51">
        <v>0</v>
      </c>
      <c r="AL249" s="51">
        <v>0</v>
      </c>
      <c r="AM249" s="51">
        <v>0</v>
      </c>
      <c r="AN249" s="51">
        <v>0</v>
      </c>
      <c r="AO249" s="51">
        <v>0</v>
      </c>
      <c r="AP249" s="51">
        <v>0</v>
      </c>
      <c r="AQ249" s="51">
        <v>0</v>
      </c>
      <c r="CN249"/>
      <c r="CO249"/>
      <c r="CP249"/>
      <c r="CQ249"/>
      <c r="CR249"/>
      <c r="CS249"/>
      <c r="CT249"/>
      <c r="CU249"/>
    </row>
    <row r="250" spans="1:99" ht="14.25" hidden="1" customHeight="1" thickBot="1" x14ac:dyDescent="0.25">
      <c r="G250" s="7"/>
      <c r="H250" s="207"/>
      <c r="J250" s="156"/>
      <c r="K250" s="14" t="s">
        <v>93</v>
      </c>
      <c r="L250" s="14" t="s">
        <v>62</v>
      </c>
      <c r="M250" s="53">
        <v>0</v>
      </c>
      <c r="N250" s="53">
        <v>0</v>
      </c>
      <c r="O250" s="53">
        <v>0</v>
      </c>
      <c r="P250" s="53">
        <v>0</v>
      </c>
      <c r="Q250" s="53">
        <v>0</v>
      </c>
      <c r="R250" s="53">
        <v>0</v>
      </c>
      <c r="S250" s="53">
        <v>0</v>
      </c>
      <c r="T250" s="53">
        <v>0</v>
      </c>
      <c r="U250" s="53">
        <v>0</v>
      </c>
      <c r="V250" s="53">
        <v>0</v>
      </c>
      <c r="W250" s="53">
        <v>0</v>
      </c>
      <c r="X250" s="53">
        <v>0</v>
      </c>
      <c r="Y250" s="53">
        <v>0</v>
      </c>
      <c r="Z250" s="53">
        <v>0</v>
      </c>
      <c r="AA250" s="53">
        <v>0</v>
      </c>
      <c r="AB250" s="53">
        <v>0</v>
      </c>
      <c r="AC250" s="53">
        <v>0</v>
      </c>
      <c r="AD250" s="53">
        <v>0</v>
      </c>
      <c r="AE250" s="53">
        <v>0</v>
      </c>
      <c r="AF250" s="53">
        <v>0</v>
      </c>
      <c r="AG250" s="53">
        <v>0</v>
      </c>
      <c r="AH250" s="53">
        <v>0</v>
      </c>
      <c r="AI250" s="53">
        <v>0</v>
      </c>
      <c r="AJ250" s="53">
        <v>0</v>
      </c>
      <c r="AK250" s="53">
        <v>0</v>
      </c>
      <c r="AL250" s="53">
        <v>0</v>
      </c>
      <c r="AM250" s="53">
        <v>0</v>
      </c>
      <c r="AN250" s="53">
        <v>0</v>
      </c>
      <c r="AO250" s="53">
        <v>0</v>
      </c>
      <c r="AP250" s="53">
        <v>0</v>
      </c>
      <c r="AQ250" s="53">
        <v>0</v>
      </c>
      <c r="BG250"/>
      <c r="BH250"/>
      <c r="BI250"/>
    </row>
    <row r="251" spans="1:99" ht="14.25" hidden="1" customHeight="1" thickTop="1" x14ac:dyDescent="0.2">
      <c r="G251" s="7"/>
      <c r="H251" s="207"/>
      <c r="J251" s="156"/>
      <c r="K251" s="13" t="s">
        <v>92</v>
      </c>
      <c r="L251" s="13" t="s">
        <v>67</v>
      </c>
      <c r="M251" s="52">
        <v>0</v>
      </c>
      <c r="N251" s="52">
        <v>0</v>
      </c>
      <c r="O251" s="52">
        <v>0</v>
      </c>
      <c r="P251" s="52">
        <v>0</v>
      </c>
      <c r="Q251" s="52">
        <v>0</v>
      </c>
      <c r="R251" s="52">
        <v>0</v>
      </c>
      <c r="S251" s="52">
        <v>0</v>
      </c>
      <c r="T251" s="52">
        <v>0</v>
      </c>
      <c r="U251" s="52">
        <v>0</v>
      </c>
      <c r="V251" s="52">
        <v>0</v>
      </c>
      <c r="W251" s="52">
        <v>0</v>
      </c>
      <c r="X251" s="52">
        <v>0</v>
      </c>
      <c r="Y251" s="52">
        <v>0</v>
      </c>
      <c r="Z251" s="52">
        <v>0</v>
      </c>
      <c r="AA251" s="52">
        <v>0</v>
      </c>
      <c r="AB251" s="52">
        <v>0</v>
      </c>
      <c r="AC251" s="52">
        <v>0</v>
      </c>
      <c r="AD251" s="52">
        <v>0</v>
      </c>
      <c r="AE251" s="52">
        <v>0</v>
      </c>
      <c r="AF251" s="52">
        <v>0</v>
      </c>
      <c r="AG251" s="52">
        <v>0</v>
      </c>
      <c r="AH251" s="52">
        <v>0</v>
      </c>
      <c r="AI251" s="52">
        <v>0</v>
      </c>
      <c r="AJ251" s="52">
        <v>0</v>
      </c>
      <c r="AK251" s="52">
        <v>0</v>
      </c>
      <c r="AL251" s="52">
        <v>0</v>
      </c>
      <c r="AM251" s="52">
        <v>0</v>
      </c>
      <c r="AN251" s="52">
        <v>0</v>
      </c>
      <c r="AO251" s="52">
        <v>0</v>
      </c>
      <c r="AP251" s="52">
        <v>0</v>
      </c>
      <c r="AQ251" s="52">
        <v>0</v>
      </c>
      <c r="AV251"/>
      <c r="AW251"/>
      <c r="AX251"/>
      <c r="AY251"/>
      <c r="BB251"/>
      <c r="BC251"/>
      <c r="BD251"/>
      <c r="BE251"/>
      <c r="BF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</row>
    <row r="252" spans="1:99" ht="14.25" hidden="1" customHeight="1" x14ac:dyDescent="0.2">
      <c r="G252" s="7"/>
      <c r="H252" s="207"/>
      <c r="J252" s="156"/>
      <c r="K252" s="5" t="s">
        <v>92</v>
      </c>
      <c r="L252" s="47" t="s">
        <v>66</v>
      </c>
      <c r="M252" s="51">
        <v>0</v>
      </c>
      <c r="N252" s="51">
        <v>0</v>
      </c>
      <c r="O252" s="51">
        <v>0</v>
      </c>
      <c r="P252" s="51">
        <v>0</v>
      </c>
      <c r="Q252" s="51">
        <v>0</v>
      </c>
      <c r="R252" s="51">
        <v>0</v>
      </c>
      <c r="S252" s="51">
        <v>0</v>
      </c>
      <c r="T252" s="51">
        <v>0</v>
      </c>
      <c r="U252" s="51">
        <v>0</v>
      </c>
      <c r="V252" s="51">
        <v>0</v>
      </c>
      <c r="W252" s="51">
        <v>0</v>
      </c>
      <c r="X252" s="51">
        <v>0</v>
      </c>
      <c r="Y252" s="51">
        <v>0</v>
      </c>
      <c r="Z252" s="51">
        <v>0</v>
      </c>
      <c r="AA252" s="51">
        <v>0</v>
      </c>
      <c r="AB252" s="51">
        <v>0</v>
      </c>
      <c r="AC252" s="51">
        <v>0</v>
      </c>
      <c r="AD252" s="51">
        <v>0</v>
      </c>
      <c r="AE252" s="51">
        <v>0</v>
      </c>
      <c r="AF252" s="51">
        <v>0</v>
      </c>
      <c r="AG252" s="51">
        <v>0</v>
      </c>
      <c r="AH252" s="51">
        <v>0</v>
      </c>
      <c r="AI252" s="51">
        <v>0</v>
      </c>
      <c r="AJ252" s="51">
        <v>0</v>
      </c>
      <c r="AK252" s="51">
        <v>0</v>
      </c>
      <c r="AL252" s="51">
        <v>0</v>
      </c>
      <c r="AM252" s="51">
        <v>0</v>
      </c>
      <c r="AN252" s="51">
        <v>0</v>
      </c>
      <c r="AO252" s="51">
        <v>0</v>
      </c>
      <c r="AP252" s="51">
        <v>0</v>
      </c>
      <c r="AQ252" s="51">
        <v>0</v>
      </c>
      <c r="AZ252"/>
      <c r="BA252"/>
    </row>
    <row r="253" spans="1:99" ht="14.25" hidden="1" customHeight="1" thickBot="1" x14ac:dyDescent="0.2">
      <c r="A253" s="3" t="s">
        <v>99</v>
      </c>
      <c r="G253" s="7"/>
      <c r="H253" s="207"/>
      <c r="J253" s="156"/>
      <c r="K253" s="14" t="s">
        <v>92</v>
      </c>
      <c r="L253" s="14" t="s">
        <v>62</v>
      </c>
      <c r="M253" s="50">
        <v>0</v>
      </c>
      <c r="N253" s="50">
        <v>0</v>
      </c>
      <c r="O253" s="50">
        <v>0</v>
      </c>
      <c r="P253" s="50">
        <v>0</v>
      </c>
      <c r="Q253" s="50">
        <v>0</v>
      </c>
      <c r="R253" s="50">
        <v>0</v>
      </c>
      <c r="S253" s="50">
        <v>0</v>
      </c>
      <c r="T253" s="50">
        <v>0</v>
      </c>
      <c r="U253" s="50">
        <v>0</v>
      </c>
      <c r="V253" s="50">
        <v>0</v>
      </c>
      <c r="W253" s="50">
        <v>0</v>
      </c>
      <c r="X253" s="50">
        <v>0</v>
      </c>
      <c r="Y253" s="50">
        <v>0</v>
      </c>
      <c r="Z253" s="50">
        <v>0</v>
      </c>
      <c r="AA253" s="50">
        <v>0</v>
      </c>
      <c r="AB253" s="50">
        <v>0</v>
      </c>
      <c r="AC253" s="50">
        <v>0</v>
      </c>
      <c r="AD253" s="50">
        <v>0</v>
      </c>
      <c r="AE253" s="50">
        <v>0</v>
      </c>
      <c r="AF253" s="50">
        <v>0</v>
      </c>
      <c r="AG253" s="50">
        <v>0</v>
      </c>
      <c r="AH253" s="50">
        <v>0</v>
      </c>
      <c r="AI253" s="50">
        <v>0</v>
      </c>
      <c r="AJ253" s="50">
        <v>0</v>
      </c>
      <c r="AK253" s="50">
        <v>0</v>
      </c>
      <c r="AL253" s="50">
        <v>0</v>
      </c>
      <c r="AM253" s="50">
        <v>0</v>
      </c>
      <c r="AN253" s="50">
        <v>0</v>
      </c>
      <c r="AO253" s="50">
        <v>0</v>
      </c>
      <c r="AP253" s="50">
        <v>0</v>
      </c>
      <c r="AQ253" s="50">
        <v>0</v>
      </c>
    </row>
    <row r="254" spans="1:99" ht="14.25" hidden="1" customHeight="1" thickTop="1" x14ac:dyDescent="0.2">
      <c r="G254" s="7"/>
      <c r="H254" s="207"/>
      <c r="J254" s="156"/>
      <c r="K254" s="13" t="s">
        <v>91</v>
      </c>
      <c r="L254" s="13" t="s">
        <v>67</v>
      </c>
      <c r="M254" s="52">
        <v>0</v>
      </c>
      <c r="N254" s="52">
        <v>0</v>
      </c>
      <c r="O254" s="52">
        <v>0</v>
      </c>
      <c r="P254" s="52">
        <v>0</v>
      </c>
      <c r="Q254" s="52">
        <v>0</v>
      </c>
      <c r="R254" s="52">
        <v>0</v>
      </c>
      <c r="S254" s="52">
        <v>0</v>
      </c>
      <c r="T254" s="52">
        <v>0</v>
      </c>
      <c r="U254" s="52">
        <v>0</v>
      </c>
      <c r="V254" s="52">
        <v>0</v>
      </c>
      <c r="W254" s="52">
        <v>0</v>
      </c>
      <c r="X254" s="52">
        <v>0</v>
      </c>
      <c r="Y254" s="52">
        <v>0</v>
      </c>
      <c r="Z254" s="52">
        <v>0</v>
      </c>
      <c r="AA254" s="52">
        <v>0</v>
      </c>
      <c r="AB254" s="52">
        <v>0</v>
      </c>
      <c r="AC254" s="52">
        <v>0</v>
      </c>
      <c r="AD254" s="52">
        <v>0</v>
      </c>
      <c r="AE254" s="52">
        <v>0</v>
      </c>
      <c r="AF254" s="52">
        <v>0</v>
      </c>
      <c r="AG254" s="52">
        <v>0</v>
      </c>
      <c r="AH254" s="52">
        <v>0</v>
      </c>
      <c r="AI254" s="52">
        <v>0</v>
      </c>
      <c r="AJ254" s="52">
        <v>0</v>
      </c>
      <c r="AK254" s="52">
        <v>0</v>
      </c>
      <c r="AL254" s="52">
        <v>0</v>
      </c>
      <c r="AM254" s="52">
        <v>0</v>
      </c>
      <c r="AN254" s="52">
        <v>0</v>
      </c>
      <c r="AO254" s="52">
        <v>0</v>
      </c>
      <c r="AP254" s="52">
        <v>0</v>
      </c>
      <c r="AQ254" s="52">
        <v>0</v>
      </c>
      <c r="AV254"/>
      <c r="AW254"/>
      <c r="AX254"/>
      <c r="AY254"/>
      <c r="BB254"/>
      <c r="BC254"/>
      <c r="BD254"/>
      <c r="BE254"/>
      <c r="BF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</row>
    <row r="255" spans="1:99" ht="14.25" hidden="1" customHeight="1" x14ac:dyDescent="0.2">
      <c r="G255" s="7"/>
      <c r="H255" s="207"/>
      <c r="J255" s="156"/>
      <c r="K255" s="5" t="s">
        <v>91</v>
      </c>
      <c r="L255" s="47" t="s">
        <v>66</v>
      </c>
      <c r="M255" s="51">
        <v>0</v>
      </c>
      <c r="N255" s="51">
        <v>0</v>
      </c>
      <c r="O255" s="51">
        <v>0</v>
      </c>
      <c r="P255" s="51">
        <v>0</v>
      </c>
      <c r="Q255" s="51">
        <v>0</v>
      </c>
      <c r="R255" s="51">
        <v>0</v>
      </c>
      <c r="S255" s="51">
        <v>0</v>
      </c>
      <c r="T255" s="51">
        <v>0</v>
      </c>
      <c r="U255" s="51">
        <v>0</v>
      </c>
      <c r="V255" s="51">
        <v>0</v>
      </c>
      <c r="W255" s="51">
        <v>0</v>
      </c>
      <c r="X255" s="51">
        <v>0</v>
      </c>
      <c r="Y255" s="51">
        <v>0</v>
      </c>
      <c r="Z255" s="51">
        <v>0</v>
      </c>
      <c r="AA255" s="51">
        <v>0</v>
      </c>
      <c r="AB255" s="51">
        <v>0</v>
      </c>
      <c r="AC255" s="51">
        <v>0</v>
      </c>
      <c r="AD255" s="51">
        <v>0</v>
      </c>
      <c r="AE255" s="51">
        <v>0</v>
      </c>
      <c r="AF255" s="51">
        <v>0</v>
      </c>
      <c r="AG255" s="51">
        <v>0</v>
      </c>
      <c r="AH255" s="51">
        <v>0</v>
      </c>
      <c r="AI255" s="51">
        <v>0</v>
      </c>
      <c r="AJ255" s="51">
        <v>0</v>
      </c>
      <c r="AK255" s="51">
        <v>0</v>
      </c>
      <c r="AL255" s="51">
        <v>0</v>
      </c>
      <c r="AM255" s="51">
        <v>0</v>
      </c>
      <c r="AN255" s="51">
        <v>0</v>
      </c>
      <c r="AO255" s="51">
        <v>0</v>
      </c>
      <c r="AP255" s="51">
        <v>0</v>
      </c>
      <c r="AQ255" s="51">
        <v>0</v>
      </c>
      <c r="AZ255"/>
      <c r="BA255"/>
    </row>
    <row r="256" spans="1:99" ht="14.25" hidden="1" customHeight="1" thickBot="1" x14ac:dyDescent="0.2">
      <c r="A256" s="3" t="s">
        <v>99</v>
      </c>
      <c r="G256" s="7"/>
      <c r="H256" s="207"/>
      <c r="J256" s="156"/>
      <c r="K256" s="14" t="s">
        <v>91</v>
      </c>
      <c r="L256" s="14" t="s">
        <v>62</v>
      </c>
      <c r="M256" s="50">
        <v>0</v>
      </c>
      <c r="N256" s="50">
        <v>0</v>
      </c>
      <c r="O256" s="50">
        <v>0</v>
      </c>
      <c r="P256" s="50">
        <v>0</v>
      </c>
      <c r="Q256" s="50">
        <v>0</v>
      </c>
      <c r="R256" s="50">
        <v>0</v>
      </c>
      <c r="S256" s="50">
        <v>0</v>
      </c>
      <c r="T256" s="50">
        <v>0</v>
      </c>
      <c r="U256" s="50">
        <v>0</v>
      </c>
      <c r="V256" s="50">
        <v>0</v>
      </c>
      <c r="W256" s="50">
        <v>0</v>
      </c>
      <c r="X256" s="50">
        <v>0</v>
      </c>
      <c r="Y256" s="50">
        <v>0</v>
      </c>
      <c r="Z256" s="50">
        <v>0</v>
      </c>
      <c r="AA256" s="50">
        <v>0</v>
      </c>
      <c r="AB256" s="50">
        <v>0</v>
      </c>
      <c r="AC256" s="50">
        <v>0</v>
      </c>
      <c r="AD256" s="50">
        <v>0</v>
      </c>
      <c r="AE256" s="50">
        <v>0</v>
      </c>
      <c r="AF256" s="50">
        <v>0</v>
      </c>
      <c r="AG256" s="50">
        <v>0</v>
      </c>
      <c r="AH256" s="50">
        <v>0</v>
      </c>
      <c r="AI256" s="50">
        <v>0</v>
      </c>
      <c r="AJ256" s="50">
        <v>0</v>
      </c>
      <c r="AK256" s="50">
        <v>0</v>
      </c>
      <c r="AL256" s="50">
        <v>0</v>
      </c>
      <c r="AM256" s="50">
        <v>0</v>
      </c>
      <c r="AN256" s="50">
        <v>0</v>
      </c>
      <c r="AO256" s="50">
        <v>0</v>
      </c>
      <c r="AP256" s="50">
        <v>0</v>
      </c>
      <c r="AQ256" s="50">
        <v>0</v>
      </c>
    </row>
    <row r="257" spans="1:99" ht="14.25" hidden="1" customHeight="1" thickTop="1" x14ac:dyDescent="0.2">
      <c r="G257" s="7"/>
      <c r="H257" s="207"/>
      <c r="J257" s="156"/>
      <c r="K257" s="13" t="s">
        <v>90</v>
      </c>
      <c r="L257" s="13" t="s">
        <v>67</v>
      </c>
      <c r="M257" s="52">
        <v>0</v>
      </c>
      <c r="N257" s="52">
        <v>0</v>
      </c>
      <c r="O257" s="52">
        <v>0</v>
      </c>
      <c r="P257" s="52">
        <v>0</v>
      </c>
      <c r="Q257" s="52">
        <v>0</v>
      </c>
      <c r="R257" s="52">
        <v>0</v>
      </c>
      <c r="S257" s="52">
        <v>0</v>
      </c>
      <c r="T257" s="52">
        <v>0</v>
      </c>
      <c r="U257" s="52">
        <v>0</v>
      </c>
      <c r="V257" s="52">
        <v>0</v>
      </c>
      <c r="W257" s="52">
        <v>0</v>
      </c>
      <c r="X257" s="52">
        <v>0</v>
      </c>
      <c r="Y257" s="52">
        <v>0</v>
      </c>
      <c r="Z257" s="52">
        <v>0</v>
      </c>
      <c r="AA257" s="52">
        <v>0</v>
      </c>
      <c r="AB257" s="52">
        <v>0</v>
      </c>
      <c r="AC257" s="52">
        <v>0</v>
      </c>
      <c r="AD257" s="52">
        <v>0</v>
      </c>
      <c r="AE257" s="52">
        <v>0</v>
      </c>
      <c r="AF257" s="52">
        <v>0</v>
      </c>
      <c r="AG257" s="52">
        <v>0</v>
      </c>
      <c r="AH257" s="52">
        <v>0</v>
      </c>
      <c r="AI257" s="52">
        <v>0</v>
      </c>
      <c r="AJ257" s="52">
        <v>0</v>
      </c>
      <c r="AK257" s="52">
        <v>0</v>
      </c>
      <c r="AL257" s="52">
        <v>0</v>
      </c>
      <c r="AM257" s="52">
        <v>0</v>
      </c>
      <c r="AN257" s="52">
        <v>0</v>
      </c>
      <c r="AO257" s="52">
        <v>0</v>
      </c>
      <c r="AP257" s="52">
        <v>0</v>
      </c>
      <c r="AQ257" s="52">
        <v>0</v>
      </c>
      <c r="AV257"/>
      <c r="AW257"/>
      <c r="AX257"/>
      <c r="AY257"/>
      <c r="BB257"/>
      <c r="BC257"/>
      <c r="BD257"/>
      <c r="BE257"/>
      <c r="BF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</row>
    <row r="258" spans="1:99" ht="14.25" hidden="1" customHeight="1" x14ac:dyDescent="0.2">
      <c r="G258" s="7"/>
      <c r="H258" s="207"/>
      <c r="J258" s="156"/>
      <c r="K258" s="5" t="s">
        <v>90</v>
      </c>
      <c r="L258" s="47" t="s">
        <v>66</v>
      </c>
      <c r="M258" s="51">
        <v>0</v>
      </c>
      <c r="N258" s="51">
        <v>0</v>
      </c>
      <c r="O258" s="51">
        <v>0</v>
      </c>
      <c r="P258" s="51">
        <v>0</v>
      </c>
      <c r="Q258" s="51">
        <v>0</v>
      </c>
      <c r="R258" s="51">
        <v>0</v>
      </c>
      <c r="S258" s="51">
        <v>0</v>
      </c>
      <c r="T258" s="51">
        <v>0</v>
      </c>
      <c r="U258" s="51">
        <v>0</v>
      </c>
      <c r="V258" s="51">
        <v>0</v>
      </c>
      <c r="W258" s="51">
        <v>0</v>
      </c>
      <c r="X258" s="51">
        <v>0</v>
      </c>
      <c r="Y258" s="51">
        <v>0</v>
      </c>
      <c r="Z258" s="51">
        <v>0</v>
      </c>
      <c r="AA258" s="51">
        <v>0</v>
      </c>
      <c r="AB258" s="51">
        <v>0</v>
      </c>
      <c r="AC258" s="51">
        <v>0</v>
      </c>
      <c r="AD258" s="51">
        <v>0</v>
      </c>
      <c r="AE258" s="51">
        <v>0</v>
      </c>
      <c r="AF258" s="51">
        <v>0</v>
      </c>
      <c r="AG258" s="51">
        <v>0</v>
      </c>
      <c r="AH258" s="51">
        <v>0</v>
      </c>
      <c r="AI258" s="51">
        <v>0</v>
      </c>
      <c r="AJ258" s="51">
        <v>0</v>
      </c>
      <c r="AK258" s="51">
        <v>0</v>
      </c>
      <c r="AL258" s="51">
        <v>0</v>
      </c>
      <c r="AM258" s="51">
        <v>0</v>
      </c>
      <c r="AN258" s="51">
        <v>0</v>
      </c>
      <c r="AO258" s="51">
        <v>0</v>
      </c>
      <c r="AP258" s="51">
        <v>0</v>
      </c>
      <c r="AQ258" s="51">
        <v>0</v>
      </c>
      <c r="AZ258"/>
      <c r="BA258"/>
    </row>
    <row r="259" spans="1:99" ht="14.25" hidden="1" customHeight="1" x14ac:dyDescent="0.15">
      <c r="A259" s="3" t="s">
        <v>99</v>
      </c>
      <c r="G259" s="7"/>
      <c r="H259" s="207"/>
      <c r="J259" s="156"/>
      <c r="K259" s="14" t="s">
        <v>90</v>
      </c>
      <c r="L259" s="14" t="s">
        <v>62</v>
      </c>
      <c r="M259" s="50">
        <v>0</v>
      </c>
      <c r="N259" s="50">
        <v>0</v>
      </c>
      <c r="O259" s="50">
        <v>0</v>
      </c>
      <c r="P259" s="50">
        <v>0</v>
      </c>
      <c r="Q259" s="50">
        <v>0</v>
      </c>
      <c r="R259" s="50">
        <v>0</v>
      </c>
      <c r="S259" s="50">
        <v>0</v>
      </c>
      <c r="T259" s="50">
        <v>0</v>
      </c>
      <c r="U259" s="50">
        <v>0</v>
      </c>
      <c r="V259" s="50">
        <v>0</v>
      </c>
      <c r="W259" s="50">
        <v>0</v>
      </c>
      <c r="X259" s="50">
        <v>0</v>
      </c>
      <c r="Y259" s="50">
        <v>0</v>
      </c>
      <c r="Z259" s="50">
        <v>0</v>
      </c>
      <c r="AA259" s="50">
        <v>0</v>
      </c>
      <c r="AB259" s="50">
        <v>0</v>
      </c>
      <c r="AC259" s="50">
        <v>0</v>
      </c>
      <c r="AD259" s="50">
        <v>0</v>
      </c>
      <c r="AE259" s="50">
        <v>0</v>
      </c>
      <c r="AF259" s="50">
        <v>0</v>
      </c>
      <c r="AG259" s="50">
        <v>0</v>
      </c>
      <c r="AH259" s="50">
        <v>0</v>
      </c>
      <c r="AI259" s="50">
        <v>0</v>
      </c>
      <c r="AJ259" s="50">
        <v>0</v>
      </c>
      <c r="AK259" s="50">
        <v>0</v>
      </c>
      <c r="AL259" s="50">
        <v>0</v>
      </c>
      <c r="AM259" s="50">
        <v>0</v>
      </c>
      <c r="AN259" s="50">
        <v>0</v>
      </c>
      <c r="AO259" s="50">
        <v>0</v>
      </c>
      <c r="AP259" s="50">
        <v>0</v>
      </c>
      <c r="AQ259" s="50">
        <v>0</v>
      </c>
    </row>
    <row r="260" spans="1:99" ht="14.25" hidden="1" customHeight="1" x14ac:dyDescent="0.2">
      <c r="G260" s="7"/>
      <c r="H260" s="207"/>
      <c r="J260" s="156"/>
      <c r="K260" s="13" t="s">
        <v>89</v>
      </c>
      <c r="L260" s="13" t="s">
        <v>67</v>
      </c>
      <c r="M260" s="54">
        <v>0</v>
      </c>
      <c r="N260" s="54">
        <v>0</v>
      </c>
      <c r="O260" s="54">
        <v>0</v>
      </c>
      <c r="P260" s="54">
        <v>0</v>
      </c>
      <c r="Q260" s="54">
        <v>0</v>
      </c>
      <c r="R260" s="54">
        <v>0</v>
      </c>
      <c r="S260" s="54">
        <v>0</v>
      </c>
      <c r="T260" s="54">
        <v>0</v>
      </c>
      <c r="U260" s="54">
        <v>0</v>
      </c>
      <c r="V260" s="54">
        <v>0</v>
      </c>
      <c r="W260" s="54">
        <v>0</v>
      </c>
      <c r="X260" s="54">
        <v>0</v>
      </c>
      <c r="Y260" s="54">
        <v>0</v>
      </c>
      <c r="Z260" s="54">
        <v>0</v>
      </c>
      <c r="AA260" s="54">
        <v>0</v>
      </c>
      <c r="AB260" s="54">
        <v>0</v>
      </c>
      <c r="AC260" s="54">
        <v>0</v>
      </c>
      <c r="AD260" s="54">
        <v>0</v>
      </c>
      <c r="AE260" s="54">
        <v>0</v>
      </c>
      <c r="AF260" s="54">
        <v>0</v>
      </c>
      <c r="AG260" s="54">
        <v>0</v>
      </c>
      <c r="AH260" s="54">
        <v>0</v>
      </c>
      <c r="AI260" s="54">
        <v>0</v>
      </c>
      <c r="AJ260" s="54">
        <v>0</v>
      </c>
      <c r="AK260" s="54">
        <v>0</v>
      </c>
      <c r="AL260" s="54">
        <v>0</v>
      </c>
      <c r="AM260" s="54">
        <v>0</v>
      </c>
      <c r="AN260" s="54">
        <v>0</v>
      </c>
      <c r="AO260" s="54">
        <v>0</v>
      </c>
      <c r="AP260" s="54">
        <v>0</v>
      </c>
      <c r="AQ260" s="54">
        <v>0</v>
      </c>
      <c r="AT260"/>
      <c r="AU260"/>
    </row>
    <row r="261" spans="1:99" ht="14.25" hidden="1" customHeight="1" x14ac:dyDescent="0.15">
      <c r="G261" s="7"/>
      <c r="H261" s="207"/>
      <c r="J261" s="156"/>
      <c r="K261" s="5" t="s">
        <v>89</v>
      </c>
      <c r="L261" s="47" t="s">
        <v>66</v>
      </c>
      <c r="M261" s="51">
        <v>0</v>
      </c>
      <c r="N261" s="51">
        <v>0</v>
      </c>
      <c r="O261" s="51">
        <v>0</v>
      </c>
      <c r="P261" s="51">
        <v>0</v>
      </c>
      <c r="Q261" s="51">
        <v>0</v>
      </c>
      <c r="R261" s="51">
        <v>0</v>
      </c>
      <c r="S261" s="51">
        <v>0</v>
      </c>
      <c r="T261" s="51">
        <v>0</v>
      </c>
      <c r="U261" s="51">
        <v>0</v>
      </c>
      <c r="V261" s="51">
        <v>0</v>
      </c>
      <c r="W261" s="51">
        <v>0</v>
      </c>
      <c r="X261" s="51">
        <v>0</v>
      </c>
      <c r="Y261" s="51">
        <v>0</v>
      </c>
      <c r="Z261" s="51">
        <v>0</v>
      </c>
      <c r="AA261" s="51">
        <v>0</v>
      </c>
      <c r="AB261" s="51">
        <v>0</v>
      </c>
      <c r="AC261" s="51">
        <v>0</v>
      </c>
      <c r="AD261" s="51">
        <v>0</v>
      </c>
      <c r="AE261" s="51">
        <v>0</v>
      </c>
      <c r="AF261" s="51">
        <v>0</v>
      </c>
      <c r="AG261" s="51">
        <v>0</v>
      </c>
      <c r="AH261" s="51">
        <v>0</v>
      </c>
      <c r="AI261" s="51">
        <v>0</v>
      </c>
      <c r="AJ261" s="51">
        <v>0</v>
      </c>
      <c r="AK261" s="51">
        <v>0</v>
      </c>
      <c r="AL261" s="51">
        <v>0</v>
      </c>
      <c r="AM261" s="51">
        <v>0</v>
      </c>
      <c r="AN261" s="51">
        <v>0</v>
      </c>
      <c r="AO261" s="51">
        <v>0</v>
      </c>
      <c r="AP261" s="51">
        <v>0</v>
      </c>
      <c r="AQ261" s="51">
        <v>0</v>
      </c>
    </row>
    <row r="262" spans="1:99" ht="14.25" hidden="1" customHeight="1" thickBot="1" x14ac:dyDescent="0.2">
      <c r="G262" s="7"/>
      <c r="H262" s="207"/>
      <c r="J262" s="156"/>
      <c r="K262" s="14" t="s">
        <v>89</v>
      </c>
      <c r="L262" s="14" t="s">
        <v>62</v>
      </c>
      <c r="M262" s="53">
        <v>0</v>
      </c>
      <c r="N262" s="53">
        <v>0</v>
      </c>
      <c r="O262" s="53">
        <v>0</v>
      </c>
      <c r="P262" s="53">
        <v>0</v>
      </c>
      <c r="Q262" s="53">
        <v>0</v>
      </c>
      <c r="R262" s="53">
        <v>0</v>
      </c>
      <c r="S262" s="53">
        <v>0</v>
      </c>
      <c r="T262" s="53">
        <v>0</v>
      </c>
      <c r="U262" s="53">
        <v>0</v>
      </c>
      <c r="V262" s="53">
        <v>0</v>
      </c>
      <c r="W262" s="53">
        <v>0</v>
      </c>
      <c r="X262" s="53">
        <v>0</v>
      </c>
      <c r="Y262" s="53">
        <v>0</v>
      </c>
      <c r="Z262" s="53">
        <v>0</v>
      </c>
      <c r="AA262" s="53">
        <v>0</v>
      </c>
      <c r="AB262" s="53">
        <v>0</v>
      </c>
      <c r="AC262" s="53">
        <v>0</v>
      </c>
      <c r="AD262" s="53">
        <v>0</v>
      </c>
      <c r="AE262" s="53">
        <v>0</v>
      </c>
      <c r="AF262" s="53">
        <v>0</v>
      </c>
      <c r="AG262" s="53">
        <v>0</v>
      </c>
      <c r="AH262" s="53">
        <v>0</v>
      </c>
      <c r="AI262" s="53">
        <v>0</v>
      </c>
      <c r="AJ262" s="53">
        <v>0</v>
      </c>
      <c r="AK262" s="53">
        <v>0</v>
      </c>
      <c r="AL262" s="53">
        <v>0</v>
      </c>
      <c r="AM262" s="53">
        <v>0</v>
      </c>
      <c r="AN262" s="53">
        <v>0</v>
      </c>
      <c r="AO262" s="53">
        <v>0</v>
      </c>
      <c r="AP262" s="53">
        <v>0</v>
      </c>
      <c r="AQ262" s="53">
        <v>0</v>
      </c>
    </row>
    <row r="263" spans="1:99" ht="14.25" hidden="1" customHeight="1" thickTop="1" x14ac:dyDescent="0.2">
      <c r="G263" s="7"/>
      <c r="H263" s="207"/>
      <c r="J263" s="156"/>
      <c r="K263" s="13" t="s">
        <v>88</v>
      </c>
      <c r="L263" s="13" t="s">
        <v>67</v>
      </c>
      <c r="M263" s="52">
        <v>0</v>
      </c>
      <c r="N263" s="52">
        <v>0</v>
      </c>
      <c r="O263" s="52">
        <v>0</v>
      </c>
      <c r="P263" s="52">
        <v>0</v>
      </c>
      <c r="Q263" s="52">
        <v>0</v>
      </c>
      <c r="R263" s="52">
        <v>0</v>
      </c>
      <c r="S263" s="52">
        <v>0</v>
      </c>
      <c r="T263" s="52">
        <v>0</v>
      </c>
      <c r="U263" s="52">
        <v>0</v>
      </c>
      <c r="V263" s="52">
        <v>0</v>
      </c>
      <c r="W263" s="52">
        <v>0</v>
      </c>
      <c r="X263" s="52">
        <v>0</v>
      </c>
      <c r="Y263" s="52">
        <v>0</v>
      </c>
      <c r="Z263" s="52">
        <v>0</v>
      </c>
      <c r="AA263" s="52">
        <v>0</v>
      </c>
      <c r="AB263" s="52">
        <v>0</v>
      </c>
      <c r="AC263" s="52">
        <v>0</v>
      </c>
      <c r="AD263" s="52">
        <v>0</v>
      </c>
      <c r="AE263" s="52">
        <v>0</v>
      </c>
      <c r="AF263" s="52">
        <v>0</v>
      </c>
      <c r="AG263" s="52">
        <v>0</v>
      </c>
      <c r="AH263" s="52">
        <v>0</v>
      </c>
      <c r="AI263" s="52">
        <v>0</v>
      </c>
      <c r="AJ263" s="52">
        <v>0</v>
      </c>
      <c r="AK263" s="52">
        <v>0</v>
      </c>
      <c r="AL263" s="52">
        <v>0</v>
      </c>
      <c r="AM263" s="52">
        <v>0</v>
      </c>
      <c r="AN263" s="52">
        <v>0</v>
      </c>
      <c r="AO263" s="52">
        <v>0</v>
      </c>
      <c r="AP263" s="52">
        <v>0</v>
      </c>
      <c r="AQ263" s="52">
        <v>0</v>
      </c>
      <c r="AR263"/>
      <c r="AS263"/>
    </row>
    <row r="264" spans="1:99" ht="14.25" hidden="1" customHeight="1" x14ac:dyDescent="0.2">
      <c r="G264" s="7"/>
      <c r="H264" s="207"/>
      <c r="J264" s="156"/>
      <c r="K264" s="5" t="s">
        <v>88</v>
      </c>
      <c r="L264" s="47" t="s">
        <v>66</v>
      </c>
      <c r="M264" s="51">
        <v>0</v>
      </c>
      <c r="N264" s="51">
        <v>0</v>
      </c>
      <c r="O264" s="51">
        <v>0</v>
      </c>
      <c r="P264" s="51">
        <v>0</v>
      </c>
      <c r="Q264" s="51">
        <v>0</v>
      </c>
      <c r="R264" s="51">
        <v>0</v>
      </c>
      <c r="S264" s="51">
        <v>0</v>
      </c>
      <c r="T264" s="51">
        <v>0</v>
      </c>
      <c r="U264" s="51">
        <v>0</v>
      </c>
      <c r="V264" s="51">
        <v>0</v>
      </c>
      <c r="W264" s="51">
        <v>0</v>
      </c>
      <c r="X264" s="51">
        <v>0</v>
      </c>
      <c r="Y264" s="51">
        <v>0</v>
      </c>
      <c r="Z264" s="51">
        <v>0</v>
      </c>
      <c r="AA264" s="51">
        <v>0</v>
      </c>
      <c r="AB264" s="51">
        <v>0</v>
      </c>
      <c r="AC264" s="51">
        <v>0</v>
      </c>
      <c r="AD264" s="51">
        <v>0</v>
      </c>
      <c r="AE264" s="51">
        <v>0</v>
      </c>
      <c r="AF264" s="51">
        <v>0</v>
      </c>
      <c r="AG264" s="51">
        <v>0</v>
      </c>
      <c r="AH264" s="51">
        <v>0</v>
      </c>
      <c r="AI264" s="51">
        <v>0</v>
      </c>
      <c r="AJ264" s="51">
        <v>0</v>
      </c>
      <c r="AK264" s="51">
        <v>0</v>
      </c>
      <c r="AL264" s="51">
        <v>0</v>
      </c>
      <c r="AM264" s="51">
        <v>0</v>
      </c>
      <c r="AN264" s="51">
        <v>0</v>
      </c>
      <c r="AO264" s="51">
        <v>0</v>
      </c>
      <c r="AP264" s="51">
        <v>0</v>
      </c>
      <c r="AQ264" s="51">
        <v>0</v>
      </c>
      <c r="CN264"/>
      <c r="CO264"/>
      <c r="CP264"/>
      <c r="CQ264"/>
      <c r="CR264"/>
      <c r="CS264"/>
      <c r="CT264"/>
      <c r="CU264"/>
    </row>
    <row r="265" spans="1:99" ht="14.25" hidden="1" customHeight="1" thickBot="1" x14ac:dyDescent="0.25">
      <c r="G265" s="7"/>
      <c r="H265" s="207"/>
      <c r="J265" s="156"/>
      <c r="K265" s="14" t="s">
        <v>88</v>
      </c>
      <c r="L265" s="14" t="s">
        <v>62</v>
      </c>
      <c r="M265" s="53">
        <v>0</v>
      </c>
      <c r="N265" s="53">
        <v>0</v>
      </c>
      <c r="O265" s="53">
        <v>0</v>
      </c>
      <c r="P265" s="53">
        <v>0</v>
      </c>
      <c r="Q265" s="53">
        <v>0</v>
      </c>
      <c r="R265" s="53">
        <v>0</v>
      </c>
      <c r="S265" s="53">
        <v>0</v>
      </c>
      <c r="T265" s="53">
        <v>0</v>
      </c>
      <c r="U265" s="53">
        <v>0</v>
      </c>
      <c r="V265" s="53">
        <v>0</v>
      </c>
      <c r="W265" s="53">
        <v>0</v>
      </c>
      <c r="X265" s="53">
        <v>0</v>
      </c>
      <c r="Y265" s="53">
        <v>0</v>
      </c>
      <c r="Z265" s="53">
        <v>0</v>
      </c>
      <c r="AA265" s="53">
        <v>0</v>
      </c>
      <c r="AB265" s="53">
        <v>0</v>
      </c>
      <c r="AC265" s="53">
        <v>0</v>
      </c>
      <c r="AD265" s="53">
        <v>0</v>
      </c>
      <c r="AE265" s="53">
        <v>0</v>
      </c>
      <c r="AF265" s="53">
        <v>0</v>
      </c>
      <c r="AG265" s="53">
        <v>0</v>
      </c>
      <c r="AH265" s="53">
        <v>0</v>
      </c>
      <c r="AI265" s="53">
        <v>0</v>
      </c>
      <c r="AJ265" s="53">
        <v>0</v>
      </c>
      <c r="AK265" s="53">
        <v>0</v>
      </c>
      <c r="AL265" s="53">
        <v>0</v>
      </c>
      <c r="AM265" s="53">
        <v>0</v>
      </c>
      <c r="AN265" s="53">
        <v>0</v>
      </c>
      <c r="AO265" s="53">
        <v>0</v>
      </c>
      <c r="AP265" s="53">
        <v>0</v>
      </c>
      <c r="AQ265" s="53">
        <v>0</v>
      </c>
      <c r="BG265"/>
      <c r="BH265"/>
      <c r="BI265"/>
    </row>
    <row r="266" spans="1:99" ht="14.25" hidden="1" customHeight="1" thickTop="1" x14ac:dyDescent="0.2">
      <c r="G266" s="7"/>
      <c r="H266" s="207"/>
      <c r="J266" s="156"/>
      <c r="K266" s="13" t="s">
        <v>87</v>
      </c>
      <c r="L266" s="13" t="s">
        <v>67</v>
      </c>
      <c r="M266" s="52">
        <v>0</v>
      </c>
      <c r="N266" s="52">
        <v>0</v>
      </c>
      <c r="O266" s="52">
        <v>0</v>
      </c>
      <c r="P266" s="52">
        <v>0</v>
      </c>
      <c r="Q266" s="52">
        <v>0</v>
      </c>
      <c r="R266" s="52">
        <v>0</v>
      </c>
      <c r="S266" s="52">
        <v>0</v>
      </c>
      <c r="T266" s="52">
        <v>0</v>
      </c>
      <c r="U266" s="52">
        <v>0</v>
      </c>
      <c r="V266" s="52">
        <v>0</v>
      </c>
      <c r="W266" s="52">
        <v>0</v>
      </c>
      <c r="X266" s="52">
        <v>0</v>
      </c>
      <c r="Y266" s="52">
        <v>0</v>
      </c>
      <c r="Z266" s="52">
        <v>0</v>
      </c>
      <c r="AA266" s="52">
        <v>0</v>
      </c>
      <c r="AB266" s="52">
        <v>0</v>
      </c>
      <c r="AC266" s="52">
        <v>0</v>
      </c>
      <c r="AD266" s="52">
        <v>0</v>
      </c>
      <c r="AE266" s="52">
        <v>0</v>
      </c>
      <c r="AF266" s="52">
        <v>0</v>
      </c>
      <c r="AG266" s="52">
        <v>0</v>
      </c>
      <c r="AH266" s="52">
        <v>0</v>
      </c>
      <c r="AI266" s="52">
        <v>0</v>
      </c>
      <c r="AJ266" s="52">
        <v>0</v>
      </c>
      <c r="AK266" s="52">
        <v>0</v>
      </c>
      <c r="AL266" s="52">
        <v>0</v>
      </c>
      <c r="AM266" s="52">
        <v>0</v>
      </c>
      <c r="AN266" s="52">
        <v>0</v>
      </c>
      <c r="AO266" s="52">
        <v>0</v>
      </c>
      <c r="AP266" s="52">
        <v>0</v>
      </c>
      <c r="AQ266" s="52">
        <v>0</v>
      </c>
      <c r="AV266"/>
      <c r="AW266"/>
      <c r="AX266"/>
      <c r="AY266"/>
      <c r="BB266"/>
      <c r="BC266"/>
      <c r="BD266"/>
      <c r="BE266"/>
      <c r="BF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</row>
    <row r="267" spans="1:99" ht="14.25" hidden="1" customHeight="1" x14ac:dyDescent="0.2">
      <c r="G267" s="7"/>
      <c r="H267" s="207"/>
      <c r="J267" s="156"/>
      <c r="K267" s="5" t="s">
        <v>87</v>
      </c>
      <c r="L267" s="47" t="s">
        <v>66</v>
      </c>
      <c r="M267" s="51">
        <v>0</v>
      </c>
      <c r="N267" s="51">
        <v>0</v>
      </c>
      <c r="O267" s="51">
        <v>0</v>
      </c>
      <c r="P267" s="51">
        <v>0</v>
      </c>
      <c r="Q267" s="51">
        <v>0</v>
      </c>
      <c r="R267" s="51">
        <v>0</v>
      </c>
      <c r="S267" s="51">
        <v>0</v>
      </c>
      <c r="T267" s="51">
        <v>0</v>
      </c>
      <c r="U267" s="51">
        <v>0</v>
      </c>
      <c r="V267" s="51">
        <v>0</v>
      </c>
      <c r="W267" s="51">
        <v>0</v>
      </c>
      <c r="X267" s="51">
        <v>0</v>
      </c>
      <c r="Y267" s="51">
        <v>0</v>
      </c>
      <c r="Z267" s="51">
        <v>0</v>
      </c>
      <c r="AA267" s="51">
        <v>0</v>
      </c>
      <c r="AB267" s="51">
        <v>0</v>
      </c>
      <c r="AC267" s="51">
        <v>0</v>
      </c>
      <c r="AD267" s="51">
        <v>0</v>
      </c>
      <c r="AE267" s="51">
        <v>0</v>
      </c>
      <c r="AF267" s="51">
        <v>0</v>
      </c>
      <c r="AG267" s="51">
        <v>0</v>
      </c>
      <c r="AH267" s="51">
        <v>0</v>
      </c>
      <c r="AI267" s="51">
        <v>0</v>
      </c>
      <c r="AJ267" s="51">
        <v>0</v>
      </c>
      <c r="AK267" s="51">
        <v>0</v>
      </c>
      <c r="AL267" s="51">
        <v>0</v>
      </c>
      <c r="AM267" s="51">
        <v>0</v>
      </c>
      <c r="AN267" s="51">
        <v>0</v>
      </c>
      <c r="AO267" s="51">
        <v>0</v>
      </c>
      <c r="AP267" s="51">
        <v>0</v>
      </c>
      <c r="AQ267" s="51">
        <v>0</v>
      </c>
      <c r="AZ267"/>
      <c r="BA267"/>
    </row>
    <row r="268" spans="1:99" ht="14.25" hidden="1" customHeight="1" thickBot="1" x14ac:dyDescent="0.2">
      <c r="A268" s="3" t="s">
        <v>99</v>
      </c>
      <c r="G268" s="7"/>
      <c r="H268" s="207"/>
      <c r="J268" s="156"/>
      <c r="K268" s="14" t="s">
        <v>87</v>
      </c>
      <c r="L268" s="14" t="s">
        <v>62</v>
      </c>
      <c r="M268" s="50">
        <v>0</v>
      </c>
      <c r="N268" s="50">
        <v>0</v>
      </c>
      <c r="O268" s="50">
        <v>0</v>
      </c>
      <c r="P268" s="50">
        <v>0</v>
      </c>
      <c r="Q268" s="50">
        <v>0</v>
      </c>
      <c r="R268" s="50">
        <v>0</v>
      </c>
      <c r="S268" s="50">
        <v>0</v>
      </c>
      <c r="T268" s="50">
        <v>0</v>
      </c>
      <c r="U268" s="50">
        <v>0</v>
      </c>
      <c r="V268" s="50">
        <v>0</v>
      </c>
      <c r="W268" s="50">
        <v>0</v>
      </c>
      <c r="X268" s="50">
        <v>0</v>
      </c>
      <c r="Y268" s="50">
        <v>0</v>
      </c>
      <c r="Z268" s="50">
        <v>0</v>
      </c>
      <c r="AA268" s="50">
        <v>0</v>
      </c>
      <c r="AB268" s="50">
        <v>0</v>
      </c>
      <c r="AC268" s="50">
        <v>0</v>
      </c>
      <c r="AD268" s="50">
        <v>0</v>
      </c>
      <c r="AE268" s="50">
        <v>0</v>
      </c>
      <c r="AF268" s="50">
        <v>0</v>
      </c>
      <c r="AG268" s="50">
        <v>0</v>
      </c>
      <c r="AH268" s="50">
        <v>0</v>
      </c>
      <c r="AI268" s="50">
        <v>0</v>
      </c>
      <c r="AJ268" s="50">
        <v>0</v>
      </c>
      <c r="AK268" s="50">
        <v>0</v>
      </c>
      <c r="AL268" s="50">
        <v>0</v>
      </c>
      <c r="AM268" s="50">
        <v>0</v>
      </c>
      <c r="AN268" s="50">
        <v>0</v>
      </c>
      <c r="AO268" s="50">
        <v>0</v>
      </c>
      <c r="AP268" s="50">
        <v>0</v>
      </c>
      <c r="AQ268" s="50">
        <v>0</v>
      </c>
    </row>
    <row r="269" spans="1:99" ht="14.25" hidden="1" customHeight="1" thickTop="1" x14ac:dyDescent="0.2">
      <c r="G269" s="7"/>
      <c r="H269" s="207"/>
      <c r="J269" s="156"/>
      <c r="K269" s="13" t="s">
        <v>86</v>
      </c>
      <c r="L269" s="13" t="s">
        <v>67</v>
      </c>
      <c r="M269" s="52">
        <v>0</v>
      </c>
      <c r="N269" s="52">
        <v>0</v>
      </c>
      <c r="O269" s="52">
        <v>0</v>
      </c>
      <c r="P269" s="52">
        <v>0</v>
      </c>
      <c r="Q269" s="52">
        <v>0</v>
      </c>
      <c r="R269" s="52">
        <v>0</v>
      </c>
      <c r="S269" s="52">
        <v>0</v>
      </c>
      <c r="T269" s="52">
        <v>0</v>
      </c>
      <c r="U269" s="52">
        <v>0</v>
      </c>
      <c r="V269" s="52">
        <v>0</v>
      </c>
      <c r="W269" s="52">
        <v>0</v>
      </c>
      <c r="X269" s="52">
        <v>0</v>
      </c>
      <c r="Y269" s="52">
        <v>0</v>
      </c>
      <c r="Z269" s="52">
        <v>0</v>
      </c>
      <c r="AA269" s="52">
        <v>0</v>
      </c>
      <c r="AB269" s="52">
        <v>0</v>
      </c>
      <c r="AC269" s="52">
        <v>0</v>
      </c>
      <c r="AD269" s="52">
        <v>0</v>
      </c>
      <c r="AE269" s="52">
        <v>0</v>
      </c>
      <c r="AF269" s="52">
        <v>0</v>
      </c>
      <c r="AG269" s="52">
        <v>0</v>
      </c>
      <c r="AH269" s="52">
        <v>0</v>
      </c>
      <c r="AI269" s="52">
        <v>0</v>
      </c>
      <c r="AJ269" s="52">
        <v>0</v>
      </c>
      <c r="AK269" s="52">
        <v>0</v>
      </c>
      <c r="AL269" s="52">
        <v>0</v>
      </c>
      <c r="AM269" s="52">
        <v>0</v>
      </c>
      <c r="AN269" s="52">
        <v>0</v>
      </c>
      <c r="AO269" s="52">
        <v>0</v>
      </c>
      <c r="AP269" s="52">
        <v>0</v>
      </c>
      <c r="AQ269" s="52">
        <v>0</v>
      </c>
      <c r="AV269"/>
      <c r="AW269"/>
      <c r="AX269"/>
      <c r="AY269"/>
      <c r="BB269"/>
      <c r="BC269"/>
      <c r="BD269"/>
      <c r="BE269"/>
      <c r="BF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</row>
    <row r="270" spans="1:99" ht="14.25" hidden="1" customHeight="1" x14ac:dyDescent="0.2">
      <c r="G270" s="7"/>
      <c r="H270" s="207"/>
      <c r="J270" s="156"/>
      <c r="K270" s="5" t="s">
        <v>86</v>
      </c>
      <c r="L270" s="47" t="s">
        <v>66</v>
      </c>
      <c r="M270" s="51">
        <v>0</v>
      </c>
      <c r="N270" s="51">
        <v>0</v>
      </c>
      <c r="O270" s="51">
        <v>0</v>
      </c>
      <c r="P270" s="51">
        <v>0</v>
      </c>
      <c r="Q270" s="51">
        <v>0</v>
      </c>
      <c r="R270" s="51">
        <v>0</v>
      </c>
      <c r="S270" s="51">
        <v>0</v>
      </c>
      <c r="T270" s="51">
        <v>0</v>
      </c>
      <c r="U270" s="51">
        <v>0</v>
      </c>
      <c r="V270" s="51">
        <v>0</v>
      </c>
      <c r="W270" s="51">
        <v>0</v>
      </c>
      <c r="X270" s="51">
        <v>0</v>
      </c>
      <c r="Y270" s="51">
        <v>0</v>
      </c>
      <c r="Z270" s="51">
        <v>0</v>
      </c>
      <c r="AA270" s="51">
        <v>0</v>
      </c>
      <c r="AB270" s="51">
        <v>0</v>
      </c>
      <c r="AC270" s="51">
        <v>0</v>
      </c>
      <c r="AD270" s="51">
        <v>0</v>
      </c>
      <c r="AE270" s="51">
        <v>0</v>
      </c>
      <c r="AF270" s="51">
        <v>0</v>
      </c>
      <c r="AG270" s="51">
        <v>0</v>
      </c>
      <c r="AH270" s="51">
        <v>0</v>
      </c>
      <c r="AI270" s="51">
        <v>0</v>
      </c>
      <c r="AJ270" s="51">
        <v>0</v>
      </c>
      <c r="AK270" s="51">
        <v>0</v>
      </c>
      <c r="AL270" s="51">
        <v>0</v>
      </c>
      <c r="AM270" s="51">
        <v>0</v>
      </c>
      <c r="AN270" s="51">
        <v>0</v>
      </c>
      <c r="AO270" s="51">
        <v>0</v>
      </c>
      <c r="AP270" s="51">
        <v>0</v>
      </c>
      <c r="AQ270" s="51">
        <v>0</v>
      </c>
      <c r="AZ270"/>
      <c r="BA270"/>
    </row>
    <row r="271" spans="1:99" ht="14.25" hidden="1" customHeight="1" thickBot="1" x14ac:dyDescent="0.2">
      <c r="A271" s="3" t="s">
        <v>99</v>
      </c>
      <c r="G271" s="7"/>
      <c r="H271" s="207"/>
      <c r="J271" s="156"/>
      <c r="K271" s="14" t="s">
        <v>86</v>
      </c>
      <c r="L271" s="14" t="s">
        <v>62</v>
      </c>
      <c r="M271" s="50">
        <v>0</v>
      </c>
      <c r="N271" s="50">
        <v>0</v>
      </c>
      <c r="O271" s="50">
        <v>0</v>
      </c>
      <c r="P271" s="50">
        <v>0</v>
      </c>
      <c r="Q271" s="50">
        <v>0</v>
      </c>
      <c r="R271" s="50">
        <v>0</v>
      </c>
      <c r="S271" s="50">
        <v>0</v>
      </c>
      <c r="T271" s="50">
        <v>0</v>
      </c>
      <c r="U271" s="50">
        <v>0</v>
      </c>
      <c r="V271" s="50">
        <v>0</v>
      </c>
      <c r="W271" s="50">
        <v>0</v>
      </c>
      <c r="X271" s="50">
        <v>0</v>
      </c>
      <c r="Y271" s="50">
        <v>0</v>
      </c>
      <c r="Z271" s="50">
        <v>0</v>
      </c>
      <c r="AA271" s="50">
        <v>0</v>
      </c>
      <c r="AB271" s="50">
        <v>0</v>
      </c>
      <c r="AC271" s="50">
        <v>0</v>
      </c>
      <c r="AD271" s="50">
        <v>0</v>
      </c>
      <c r="AE271" s="50">
        <v>0</v>
      </c>
      <c r="AF271" s="50">
        <v>0</v>
      </c>
      <c r="AG271" s="50">
        <v>0</v>
      </c>
      <c r="AH271" s="50">
        <v>0</v>
      </c>
      <c r="AI271" s="50">
        <v>0</v>
      </c>
      <c r="AJ271" s="50">
        <v>0</v>
      </c>
      <c r="AK271" s="50">
        <v>0</v>
      </c>
      <c r="AL271" s="50">
        <v>0</v>
      </c>
      <c r="AM271" s="50">
        <v>0</v>
      </c>
      <c r="AN271" s="50">
        <v>0</v>
      </c>
      <c r="AO271" s="50">
        <v>0</v>
      </c>
      <c r="AP271" s="50">
        <v>0</v>
      </c>
      <c r="AQ271" s="50">
        <v>0</v>
      </c>
    </row>
    <row r="272" spans="1:99" ht="14.25" hidden="1" customHeight="1" thickTop="1" x14ac:dyDescent="0.2">
      <c r="G272" s="7"/>
      <c r="H272" s="207"/>
      <c r="J272" s="156"/>
      <c r="K272" s="13" t="s">
        <v>85</v>
      </c>
      <c r="L272" s="13" t="s">
        <v>67</v>
      </c>
      <c r="M272" s="52">
        <v>0</v>
      </c>
      <c r="N272" s="52">
        <v>0</v>
      </c>
      <c r="O272" s="52">
        <v>0</v>
      </c>
      <c r="P272" s="52">
        <v>0</v>
      </c>
      <c r="Q272" s="52">
        <v>0</v>
      </c>
      <c r="R272" s="52">
        <v>0</v>
      </c>
      <c r="S272" s="52">
        <v>0</v>
      </c>
      <c r="T272" s="52">
        <v>0</v>
      </c>
      <c r="U272" s="52">
        <v>0</v>
      </c>
      <c r="V272" s="52">
        <v>0</v>
      </c>
      <c r="W272" s="52">
        <v>0</v>
      </c>
      <c r="X272" s="52">
        <v>0</v>
      </c>
      <c r="Y272" s="52">
        <v>0</v>
      </c>
      <c r="Z272" s="52">
        <v>0</v>
      </c>
      <c r="AA272" s="52">
        <v>0</v>
      </c>
      <c r="AB272" s="52">
        <v>0</v>
      </c>
      <c r="AC272" s="52">
        <v>0</v>
      </c>
      <c r="AD272" s="52">
        <v>0</v>
      </c>
      <c r="AE272" s="52">
        <v>0</v>
      </c>
      <c r="AF272" s="52">
        <v>0</v>
      </c>
      <c r="AG272" s="52">
        <v>0</v>
      </c>
      <c r="AH272" s="52">
        <v>0</v>
      </c>
      <c r="AI272" s="52">
        <v>0</v>
      </c>
      <c r="AJ272" s="52">
        <v>0</v>
      </c>
      <c r="AK272" s="52">
        <v>0</v>
      </c>
      <c r="AL272" s="52">
        <v>0</v>
      </c>
      <c r="AM272" s="52">
        <v>0</v>
      </c>
      <c r="AN272" s="52">
        <v>0</v>
      </c>
      <c r="AO272" s="52">
        <v>0</v>
      </c>
      <c r="AP272" s="52">
        <v>0</v>
      </c>
      <c r="AQ272" s="52">
        <v>0</v>
      </c>
      <c r="AV272"/>
      <c r="AW272"/>
      <c r="AX272"/>
      <c r="AY272"/>
      <c r="BB272"/>
      <c r="BC272"/>
      <c r="BD272"/>
      <c r="BE272"/>
      <c r="BF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</row>
    <row r="273" spans="1:91" ht="14.25" hidden="1" customHeight="1" x14ac:dyDescent="0.2">
      <c r="G273" s="7"/>
      <c r="H273" s="207"/>
      <c r="J273" s="156"/>
      <c r="K273" s="5" t="s">
        <v>85</v>
      </c>
      <c r="L273" s="47" t="s">
        <v>66</v>
      </c>
      <c r="M273" s="51">
        <v>0</v>
      </c>
      <c r="N273" s="51">
        <v>0</v>
      </c>
      <c r="O273" s="51">
        <v>0</v>
      </c>
      <c r="P273" s="51">
        <v>0</v>
      </c>
      <c r="Q273" s="51">
        <v>0</v>
      </c>
      <c r="R273" s="51">
        <v>0</v>
      </c>
      <c r="S273" s="51">
        <v>0</v>
      </c>
      <c r="T273" s="51">
        <v>0</v>
      </c>
      <c r="U273" s="51">
        <v>0</v>
      </c>
      <c r="V273" s="51">
        <v>0</v>
      </c>
      <c r="W273" s="51">
        <v>0</v>
      </c>
      <c r="X273" s="51">
        <v>0</v>
      </c>
      <c r="Y273" s="51">
        <v>0</v>
      </c>
      <c r="Z273" s="51">
        <v>0</v>
      </c>
      <c r="AA273" s="51">
        <v>0</v>
      </c>
      <c r="AB273" s="51">
        <v>0</v>
      </c>
      <c r="AC273" s="51">
        <v>0</v>
      </c>
      <c r="AD273" s="51">
        <v>0</v>
      </c>
      <c r="AE273" s="51">
        <v>0</v>
      </c>
      <c r="AF273" s="51">
        <v>0</v>
      </c>
      <c r="AG273" s="51">
        <v>0</v>
      </c>
      <c r="AH273" s="51">
        <v>0</v>
      </c>
      <c r="AI273" s="51">
        <v>0</v>
      </c>
      <c r="AJ273" s="51">
        <v>0</v>
      </c>
      <c r="AK273" s="51">
        <v>0</v>
      </c>
      <c r="AL273" s="51">
        <v>0</v>
      </c>
      <c r="AM273" s="51">
        <v>0</v>
      </c>
      <c r="AN273" s="51">
        <v>0</v>
      </c>
      <c r="AO273" s="51">
        <v>0</v>
      </c>
      <c r="AP273" s="51">
        <v>0</v>
      </c>
      <c r="AQ273" s="51">
        <v>0</v>
      </c>
      <c r="AZ273"/>
      <c r="BA273"/>
    </row>
    <row r="274" spans="1:91" ht="14.25" hidden="1" customHeight="1" x14ac:dyDescent="0.15">
      <c r="A274" s="3" t="s">
        <v>99</v>
      </c>
      <c r="G274" s="7"/>
      <c r="H274" s="207"/>
      <c r="J274" s="157"/>
      <c r="K274" s="14" t="s">
        <v>85</v>
      </c>
      <c r="L274" s="14" t="s">
        <v>62</v>
      </c>
      <c r="M274" s="50">
        <v>0</v>
      </c>
      <c r="N274" s="50">
        <v>0</v>
      </c>
      <c r="O274" s="50">
        <v>0</v>
      </c>
      <c r="P274" s="50">
        <v>0</v>
      </c>
      <c r="Q274" s="50">
        <v>0</v>
      </c>
      <c r="R274" s="50">
        <v>0</v>
      </c>
      <c r="S274" s="50">
        <v>0</v>
      </c>
      <c r="T274" s="50">
        <v>0</v>
      </c>
      <c r="U274" s="50">
        <v>0</v>
      </c>
      <c r="V274" s="50">
        <v>0</v>
      </c>
      <c r="W274" s="50">
        <v>0</v>
      </c>
      <c r="X274" s="50">
        <v>0</v>
      </c>
      <c r="Y274" s="50">
        <v>0</v>
      </c>
      <c r="Z274" s="50">
        <v>0</v>
      </c>
      <c r="AA274" s="50">
        <v>0</v>
      </c>
      <c r="AB274" s="50">
        <v>0</v>
      </c>
      <c r="AC274" s="50">
        <v>0</v>
      </c>
      <c r="AD274" s="50">
        <v>0</v>
      </c>
      <c r="AE274" s="50">
        <v>0</v>
      </c>
      <c r="AF274" s="50">
        <v>0</v>
      </c>
      <c r="AG274" s="50">
        <v>0</v>
      </c>
      <c r="AH274" s="50">
        <v>0</v>
      </c>
      <c r="AI274" s="50">
        <v>0</v>
      </c>
      <c r="AJ274" s="50">
        <v>0</v>
      </c>
      <c r="AK274" s="50">
        <v>0</v>
      </c>
      <c r="AL274" s="50">
        <v>0</v>
      </c>
      <c r="AM274" s="50">
        <v>0</v>
      </c>
      <c r="AN274" s="50">
        <v>0</v>
      </c>
      <c r="AO274" s="50">
        <v>0</v>
      </c>
      <c r="AP274" s="50">
        <v>0</v>
      </c>
      <c r="AQ274" s="50">
        <v>0</v>
      </c>
    </row>
    <row r="275" spans="1:91" ht="14.25" hidden="1" customHeight="1" thickBot="1" x14ac:dyDescent="0.2">
      <c r="G275" s="7"/>
      <c r="H275" s="55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</row>
    <row r="276" spans="1:91" ht="14.25" hidden="1" customHeight="1" x14ac:dyDescent="0.2"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T276"/>
      <c r="AU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</row>
    <row r="277" spans="1:91" ht="14.25" hidden="1" customHeight="1" x14ac:dyDescent="0.15">
      <c r="G277" s="7"/>
      <c r="M277" s="12">
        <v>2020</v>
      </c>
      <c r="N277" s="12">
        <v>2021</v>
      </c>
      <c r="O277" s="12">
        <v>2022</v>
      </c>
      <c r="P277" s="12">
        <v>2023</v>
      </c>
      <c r="Q277" s="12">
        <v>2024</v>
      </c>
      <c r="R277" s="12">
        <v>2025</v>
      </c>
      <c r="S277" s="12">
        <v>2026</v>
      </c>
      <c r="T277" s="12">
        <v>2027</v>
      </c>
      <c r="U277" s="12">
        <v>2028</v>
      </c>
      <c r="V277" s="12">
        <v>2029</v>
      </c>
      <c r="W277" s="12">
        <v>2030</v>
      </c>
      <c r="X277" s="12">
        <v>2031</v>
      </c>
      <c r="Y277" s="12">
        <v>2032</v>
      </c>
      <c r="Z277" s="12">
        <v>2033</v>
      </c>
      <c r="AA277" s="12">
        <v>2034</v>
      </c>
      <c r="AB277" s="12">
        <v>2035</v>
      </c>
      <c r="AC277" s="12">
        <v>2036</v>
      </c>
      <c r="AD277" s="12">
        <v>2037</v>
      </c>
      <c r="AE277" s="12">
        <v>2038</v>
      </c>
      <c r="AF277" s="12">
        <v>2039</v>
      </c>
      <c r="AG277" s="12">
        <v>2040</v>
      </c>
      <c r="AH277" s="12">
        <v>2041</v>
      </c>
      <c r="AI277" s="12">
        <v>2042</v>
      </c>
      <c r="AJ277" s="12">
        <v>2043</v>
      </c>
      <c r="AK277" s="12">
        <v>2044</v>
      </c>
      <c r="AL277" s="12">
        <v>2045</v>
      </c>
      <c r="AM277" s="12">
        <v>2046</v>
      </c>
      <c r="AN277" s="12">
        <v>2047</v>
      </c>
      <c r="AO277" s="12">
        <v>2048</v>
      </c>
      <c r="AP277" s="12">
        <v>2049</v>
      </c>
      <c r="AQ277" s="12">
        <v>2050</v>
      </c>
    </row>
    <row r="278" spans="1:91" ht="14.25" hidden="1" customHeight="1" x14ac:dyDescent="0.15">
      <c r="G278" s="7"/>
      <c r="H278" s="208" t="s">
        <v>98</v>
      </c>
      <c r="J278" s="155" t="s">
        <v>97</v>
      </c>
      <c r="K278" s="13" t="s">
        <v>94</v>
      </c>
      <c r="L278" s="13" t="s">
        <v>67</v>
      </c>
      <c r="M278" s="54">
        <v>0</v>
      </c>
      <c r="N278" s="54">
        <v>0</v>
      </c>
      <c r="O278" s="54">
        <v>0</v>
      </c>
      <c r="P278" s="54">
        <v>0</v>
      </c>
      <c r="Q278" s="54">
        <v>0</v>
      </c>
      <c r="R278" s="54">
        <v>0</v>
      </c>
      <c r="S278" s="54">
        <v>0</v>
      </c>
      <c r="T278" s="54">
        <v>0</v>
      </c>
      <c r="U278" s="54">
        <v>0</v>
      </c>
      <c r="V278" s="54">
        <v>0</v>
      </c>
      <c r="W278" s="54">
        <v>0</v>
      </c>
      <c r="X278" s="54">
        <v>0</v>
      </c>
      <c r="Y278" s="54">
        <v>0</v>
      </c>
      <c r="Z278" s="54">
        <v>0</v>
      </c>
      <c r="AA278" s="54">
        <v>0</v>
      </c>
      <c r="AB278" s="54">
        <v>0</v>
      </c>
      <c r="AC278" s="54">
        <v>0</v>
      </c>
      <c r="AD278" s="54">
        <v>0</v>
      </c>
      <c r="AE278" s="54">
        <v>0</v>
      </c>
      <c r="AF278" s="54">
        <v>0</v>
      </c>
      <c r="AG278" s="54">
        <v>0</v>
      </c>
      <c r="AH278" s="54">
        <v>0</v>
      </c>
      <c r="AI278" s="54">
        <v>0</v>
      </c>
      <c r="AJ278" s="54">
        <v>0</v>
      </c>
      <c r="AK278" s="54">
        <v>0</v>
      </c>
      <c r="AL278" s="54">
        <v>0</v>
      </c>
      <c r="AM278" s="54">
        <v>0</v>
      </c>
      <c r="AN278" s="54">
        <v>0</v>
      </c>
      <c r="AO278" s="54">
        <v>0</v>
      </c>
      <c r="AP278" s="54">
        <v>0</v>
      </c>
      <c r="AQ278" s="54">
        <v>0</v>
      </c>
    </row>
    <row r="279" spans="1:91" ht="14.25" hidden="1" customHeight="1" x14ac:dyDescent="0.15">
      <c r="G279" s="7"/>
      <c r="H279" s="208"/>
      <c r="J279" s="156"/>
      <c r="K279" s="5" t="s">
        <v>94</v>
      </c>
      <c r="L279" s="47" t="s">
        <v>66</v>
      </c>
      <c r="M279" s="51">
        <v>0</v>
      </c>
      <c r="N279" s="51">
        <v>0</v>
      </c>
      <c r="O279" s="51">
        <v>0</v>
      </c>
      <c r="P279" s="51">
        <v>0</v>
      </c>
      <c r="Q279" s="51">
        <v>0</v>
      </c>
      <c r="R279" s="51">
        <v>0</v>
      </c>
      <c r="S279" s="51">
        <v>0</v>
      </c>
      <c r="T279" s="51">
        <v>0</v>
      </c>
      <c r="U279" s="51">
        <v>0</v>
      </c>
      <c r="V279" s="51">
        <v>0</v>
      </c>
      <c r="W279" s="51">
        <v>0</v>
      </c>
      <c r="X279" s="51">
        <v>0</v>
      </c>
      <c r="Y279" s="51">
        <v>0</v>
      </c>
      <c r="Z279" s="51">
        <v>0</v>
      </c>
      <c r="AA279" s="51">
        <v>0</v>
      </c>
      <c r="AB279" s="51">
        <v>0</v>
      </c>
      <c r="AC279" s="51">
        <v>0</v>
      </c>
      <c r="AD279" s="51">
        <v>0</v>
      </c>
      <c r="AE279" s="51">
        <v>0</v>
      </c>
      <c r="AF279" s="51">
        <v>0</v>
      </c>
      <c r="AG279" s="51">
        <v>0</v>
      </c>
      <c r="AH279" s="51">
        <v>0</v>
      </c>
      <c r="AI279" s="51">
        <v>0</v>
      </c>
      <c r="AJ279" s="51">
        <v>0</v>
      </c>
      <c r="AK279" s="51">
        <v>0</v>
      </c>
      <c r="AL279" s="51">
        <v>0</v>
      </c>
      <c r="AM279" s="51">
        <v>0</v>
      </c>
      <c r="AN279" s="51">
        <v>0</v>
      </c>
      <c r="AO279" s="51">
        <v>0</v>
      </c>
      <c r="AP279" s="51">
        <v>0</v>
      </c>
      <c r="AQ279" s="51">
        <v>0</v>
      </c>
    </row>
    <row r="280" spans="1:91" ht="14.25" hidden="1" customHeight="1" thickBot="1" x14ac:dyDescent="0.2">
      <c r="G280" s="7"/>
      <c r="H280" s="208"/>
      <c r="J280" s="156"/>
      <c r="K280" s="14" t="s">
        <v>94</v>
      </c>
      <c r="L280" s="14" t="s">
        <v>62</v>
      </c>
      <c r="M280" s="53">
        <v>0</v>
      </c>
      <c r="N280" s="53">
        <v>0</v>
      </c>
      <c r="O280" s="53">
        <v>0</v>
      </c>
      <c r="P280" s="53">
        <v>0</v>
      </c>
      <c r="Q280" s="53">
        <v>0</v>
      </c>
      <c r="R280" s="53">
        <v>0</v>
      </c>
      <c r="S280" s="53">
        <v>0</v>
      </c>
      <c r="T280" s="53">
        <v>0</v>
      </c>
      <c r="U280" s="53">
        <v>0</v>
      </c>
      <c r="V280" s="53">
        <v>0</v>
      </c>
      <c r="W280" s="53">
        <v>0</v>
      </c>
      <c r="X280" s="53">
        <v>0</v>
      </c>
      <c r="Y280" s="53">
        <v>0</v>
      </c>
      <c r="Z280" s="53">
        <v>0</v>
      </c>
      <c r="AA280" s="53">
        <v>0</v>
      </c>
      <c r="AB280" s="53">
        <v>0</v>
      </c>
      <c r="AC280" s="53">
        <v>0</v>
      </c>
      <c r="AD280" s="53">
        <v>0</v>
      </c>
      <c r="AE280" s="53">
        <v>0</v>
      </c>
      <c r="AF280" s="53">
        <v>0</v>
      </c>
      <c r="AG280" s="53">
        <v>0</v>
      </c>
      <c r="AH280" s="53">
        <v>0</v>
      </c>
      <c r="AI280" s="53">
        <v>0</v>
      </c>
      <c r="AJ280" s="53">
        <v>0</v>
      </c>
      <c r="AK280" s="53">
        <v>0</v>
      </c>
      <c r="AL280" s="53">
        <v>0</v>
      </c>
      <c r="AM280" s="53">
        <v>0</v>
      </c>
      <c r="AN280" s="53">
        <v>0</v>
      </c>
      <c r="AO280" s="53">
        <v>0</v>
      </c>
      <c r="AP280" s="53">
        <v>0</v>
      </c>
      <c r="AQ280" s="53">
        <v>0</v>
      </c>
    </row>
    <row r="281" spans="1:91" ht="14.25" hidden="1" customHeight="1" thickTop="1" x14ac:dyDescent="0.15">
      <c r="G281" s="7"/>
      <c r="H281" s="208"/>
      <c r="J281" s="156"/>
      <c r="K281" s="13" t="s">
        <v>93</v>
      </c>
      <c r="L281" s="13" t="s">
        <v>67</v>
      </c>
      <c r="M281" s="52">
        <v>0</v>
      </c>
      <c r="N281" s="52">
        <v>0</v>
      </c>
      <c r="O281" s="52">
        <v>0</v>
      </c>
      <c r="P281" s="52">
        <v>0</v>
      </c>
      <c r="Q281" s="52">
        <v>0</v>
      </c>
      <c r="R281" s="52">
        <v>0</v>
      </c>
      <c r="S281" s="52">
        <v>0</v>
      </c>
      <c r="T281" s="52">
        <v>0</v>
      </c>
      <c r="U281" s="52">
        <v>0</v>
      </c>
      <c r="V281" s="52">
        <v>0</v>
      </c>
      <c r="W281" s="52">
        <v>0</v>
      </c>
      <c r="X281" s="52">
        <v>0</v>
      </c>
      <c r="Y281" s="52">
        <v>0</v>
      </c>
      <c r="Z281" s="52">
        <v>0</v>
      </c>
      <c r="AA281" s="52">
        <v>0</v>
      </c>
      <c r="AB281" s="52">
        <v>0</v>
      </c>
      <c r="AC281" s="52">
        <v>0</v>
      </c>
      <c r="AD281" s="52">
        <v>0</v>
      </c>
      <c r="AE281" s="52">
        <v>0</v>
      </c>
      <c r="AF281" s="52">
        <v>0</v>
      </c>
      <c r="AG281" s="52">
        <v>0</v>
      </c>
      <c r="AH281" s="52">
        <v>0</v>
      </c>
      <c r="AI281" s="52">
        <v>0</v>
      </c>
      <c r="AJ281" s="52">
        <v>0</v>
      </c>
      <c r="AK281" s="52">
        <v>0</v>
      </c>
      <c r="AL281" s="52">
        <v>0</v>
      </c>
      <c r="AM281" s="52">
        <v>0</v>
      </c>
      <c r="AN281" s="52">
        <v>0</v>
      </c>
      <c r="AO281" s="52">
        <v>0</v>
      </c>
      <c r="AP281" s="52">
        <v>0</v>
      </c>
      <c r="AQ281" s="52">
        <v>0</v>
      </c>
    </row>
    <row r="282" spans="1:91" ht="14.25" hidden="1" customHeight="1" x14ac:dyDescent="0.15">
      <c r="G282" s="7"/>
      <c r="H282" s="208"/>
      <c r="J282" s="156"/>
      <c r="K282" s="5" t="s">
        <v>93</v>
      </c>
      <c r="L282" s="47" t="s">
        <v>66</v>
      </c>
      <c r="M282" s="51">
        <v>0</v>
      </c>
      <c r="N282" s="51">
        <v>0</v>
      </c>
      <c r="O282" s="51">
        <v>0</v>
      </c>
      <c r="P282" s="51">
        <v>0</v>
      </c>
      <c r="Q282" s="51">
        <v>0</v>
      </c>
      <c r="R282" s="51">
        <v>0</v>
      </c>
      <c r="S282" s="51">
        <v>0</v>
      </c>
      <c r="T282" s="51">
        <v>0</v>
      </c>
      <c r="U282" s="51">
        <v>0</v>
      </c>
      <c r="V282" s="51">
        <v>0</v>
      </c>
      <c r="W282" s="51">
        <v>0</v>
      </c>
      <c r="X282" s="51">
        <v>0</v>
      </c>
      <c r="Y282" s="51">
        <v>0</v>
      </c>
      <c r="Z282" s="51">
        <v>0</v>
      </c>
      <c r="AA282" s="51">
        <v>0</v>
      </c>
      <c r="AB282" s="51">
        <v>0</v>
      </c>
      <c r="AC282" s="51">
        <v>0</v>
      </c>
      <c r="AD282" s="51">
        <v>0</v>
      </c>
      <c r="AE282" s="51">
        <v>0</v>
      </c>
      <c r="AF282" s="51">
        <v>0</v>
      </c>
      <c r="AG282" s="51">
        <v>0</v>
      </c>
      <c r="AH282" s="51">
        <v>0</v>
      </c>
      <c r="AI282" s="51">
        <v>0</v>
      </c>
      <c r="AJ282" s="51">
        <v>0</v>
      </c>
      <c r="AK282" s="51">
        <v>0</v>
      </c>
      <c r="AL282" s="51">
        <v>0</v>
      </c>
      <c r="AM282" s="51">
        <v>0</v>
      </c>
      <c r="AN282" s="51">
        <v>0</v>
      </c>
      <c r="AO282" s="51">
        <v>0</v>
      </c>
      <c r="AP282" s="51">
        <v>0</v>
      </c>
      <c r="AQ282" s="51">
        <v>0</v>
      </c>
    </row>
    <row r="283" spans="1:91" ht="14.25" hidden="1" customHeight="1" thickBot="1" x14ac:dyDescent="0.2">
      <c r="G283" s="7"/>
      <c r="H283" s="208"/>
      <c r="J283" s="156"/>
      <c r="K283" s="14" t="s">
        <v>93</v>
      </c>
      <c r="L283" s="14" t="s">
        <v>62</v>
      </c>
      <c r="M283" s="53">
        <v>0</v>
      </c>
      <c r="N283" s="53">
        <v>0</v>
      </c>
      <c r="O283" s="53">
        <v>0</v>
      </c>
      <c r="P283" s="53">
        <v>0</v>
      </c>
      <c r="Q283" s="53">
        <v>0</v>
      </c>
      <c r="R283" s="53">
        <v>0</v>
      </c>
      <c r="S283" s="53">
        <v>0</v>
      </c>
      <c r="T283" s="53">
        <v>0</v>
      </c>
      <c r="U283" s="53">
        <v>0</v>
      </c>
      <c r="V283" s="53">
        <v>0</v>
      </c>
      <c r="W283" s="53">
        <v>0</v>
      </c>
      <c r="X283" s="53">
        <v>0</v>
      </c>
      <c r="Y283" s="53">
        <v>0</v>
      </c>
      <c r="Z283" s="53">
        <v>0</v>
      </c>
      <c r="AA283" s="53">
        <v>0</v>
      </c>
      <c r="AB283" s="53">
        <v>0</v>
      </c>
      <c r="AC283" s="53">
        <v>0</v>
      </c>
      <c r="AD283" s="53">
        <v>0</v>
      </c>
      <c r="AE283" s="53">
        <v>0</v>
      </c>
      <c r="AF283" s="53">
        <v>0</v>
      </c>
      <c r="AG283" s="53">
        <v>0</v>
      </c>
      <c r="AH283" s="53">
        <v>0</v>
      </c>
      <c r="AI283" s="53">
        <v>0</v>
      </c>
      <c r="AJ283" s="53">
        <v>0</v>
      </c>
      <c r="AK283" s="53">
        <v>0</v>
      </c>
      <c r="AL283" s="53">
        <v>0</v>
      </c>
      <c r="AM283" s="53">
        <v>0</v>
      </c>
      <c r="AN283" s="53">
        <v>0</v>
      </c>
      <c r="AO283" s="53">
        <v>0</v>
      </c>
      <c r="AP283" s="53">
        <v>0</v>
      </c>
      <c r="AQ283" s="53">
        <v>0</v>
      </c>
    </row>
    <row r="284" spans="1:91" ht="14.25" hidden="1" customHeight="1" thickTop="1" x14ac:dyDescent="0.15">
      <c r="G284" s="7"/>
      <c r="H284" s="208"/>
      <c r="J284" s="156"/>
      <c r="K284" s="13" t="s">
        <v>92</v>
      </c>
      <c r="L284" s="13" t="s">
        <v>67</v>
      </c>
      <c r="M284" s="52">
        <v>0</v>
      </c>
      <c r="N284" s="52">
        <v>0</v>
      </c>
      <c r="O284" s="52">
        <v>0</v>
      </c>
      <c r="P284" s="52">
        <v>0</v>
      </c>
      <c r="Q284" s="52">
        <v>0</v>
      </c>
      <c r="R284" s="52">
        <v>0</v>
      </c>
      <c r="S284" s="52">
        <v>0</v>
      </c>
      <c r="T284" s="52">
        <v>0</v>
      </c>
      <c r="U284" s="52">
        <v>0</v>
      </c>
      <c r="V284" s="52">
        <v>0</v>
      </c>
      <c r="W284" s="52">
        <v>0</v>
      </c>
      <c r="X284" s="52">
        <v>0</v>
      </c>
      <c r="Y284" s="52">
        <v>0</v>
      </c>
      <c r="Z284" s="52">
        <v>0</v>
      </c>
      <c r="AA284" s="52">
        <v>0</v>
      </c>
      <c r="AB284" s="52">
        <v>0</v>
      </c>
      <c r="AC284" s="52">
        <v>0</v>
      </c>
      <c r="AD284" s="52">
        <v>0</v>
      </c>
      <c r="AE284" s="52">
        <v>0</v>
      </c>
      <c r="AF284" s="52">
        <v>0</v>
      </c>
      <c r="AG284" s="52">
        <v>0</v>
      </c>
      <c r="AH284" s="52">
        <v>0</v>
      </c>
      <c r="AI284" s="52">
        <v>0</v>
      </c>
      <c r="AJ284" s="52">
        <v>0</v>
      </c>
      <c r="AK284" s="52">
        <v>0</v>
      </c>
      <c r="AL284" s="52">
        <v>0</v>
      </c>
      <c r="AM284" s="52">
        <v>0</v>
      </c>
      <c r="AN284" s="52">
        <v>0</v>
      </c>
      <c r="AO284" s="52">
        <v>0</v>
      </c>
      <c r="AP284" s="52">
        <v>0</v>
      </c>
      <c r="AQ284" s="52">
        <v>0</v>
      </c>
    </row>
    <row r="285" spans="1:91" ht="14.25" hidden="1" customHeight="1" x14ac:dyDescent="0.15">
      <c r="G285" s="7"/>
      <c r="H285" s="208"/>
      <c r="J285" s="156"/>
      <c r="K285" s="5" t="s">
        <v>92</v>
      </c>
      <c r="L285" s="47" t="s">
        <v>66</v>
      </c>
      <c r="M285" s="51">
        <v>0</v>
      </c>
      <c r="N285" s="51">
        <v>0</v>
      </c>
      <c r="O285" s="51">
        <v>0</v>
      </c>
      <c r="P285" s="51">
        <v>0</v>
      </c>
      <c r="Q285" s="51">
        <v>0</v>
      </c>
      <c r="R285" s="51">
        <v>0</v>
      </c>
      <c r="S285" s="51">
        <v>0</v>
      </c>
      <c r="T285" s="51">
        <v>0</v>
      </c>
      <c r="U285" s="51">
        <v>0</v>
      </c>
      <c r="V285" s="51">
        <v>0</v>
      </c>
      <c r="W285" s="51">
        <v>0</v>
      </c>
      <c r="X285" s="51">
        <v>0</v>
      </c>
      <c r="Y285" s="51">
        <v>0</v>
      </c>
      <c r="Z285" s="51">
        <v>0</v>
      </c>
      <c r="AA285" s="51">
        <v>0</v>
      </c>
      <c r="AB285" s="51">
        <v>0</v>
      </c>
      <c r="AC285" s="51">
        <v>0</v>
      </c>
      <c r="AD285" s="51">
        <v>0</v>
      </c>
      <c r="AE285" s="51">
        <v>0</v>
      </c>
      <c r="AF285" s="51">
        <v>0</v>
      </c>
      <c r="AG285" s="51">
        <v>0</v>
      </c>
      <c r="AH285" s="51">
        <v>0</v>
      </c>
      <c r="AI285" s="51">
        <v>0</v>
      </c>
      <c r="AJ285" s="51">
        <v>0</v>
      </c>
      <c r="AK285" s="51">
        <v>0</v>
      </c>
      <c r="AL285" s="51">
        <v>0</v>
      </c>
      <c r="AM285" s="51">
        <v>0</v>
      </c>
      <c r="AN285" s="51">
        <v>0</v>
      </c>
      <c r="AO285" s="51">
        <v>0</v>
      </c>
      <c r="AP285" s="51">
        <v>0</v>
      </c>
      <c r="AQ285" s="51">
        <v>0</v>
      </c>
    </row>
    <row r="286" spans="1:91" ht="14.25" hidden="1" customHeight="1" thickBot="1" x14ac:dyDescent="0.2">
      <c r="G286" s="7"/>
      <c r="H286" s="208"/>
      <c r="J286" s="156"/>
      <c r="K286" s="14" t="s">
        <v>92</v>
      </c>
      <c r="L286" s="14" t="s">
        <v>62</v>
      </c>
      <c r="M286" s="50">
        <v>0</v>
      </c>
      <c r="N286" s="50">
        <v>0</v>
      </c>
      <c r="O286" s="50">
        <v>0</v>
      </c>
      <c r="P286" s="50">
        <v>0</v>
      </c>
      <c r="Q286" s="50">
        <v>0</v>
      </c>
      <c r="R286" s="50">
        <v>0</v>
      </c>
      <c r="S286" s="50">
        <v>0</v>
      </c>
      <c r="T286" s="50">
        <v>0</v>
      </c>
      <c r="U286" s="50">
        <v>0</v>
      </c>
      <c r="V286" s="50">
        <v>0</v>
      </c>
      <c r="W286" s="50">
        <v>0</v>
      </c>
      <c r="X286" s="50">
        <v>0</v>
      </c>
      <c r="Y286" s="50">
        <v>0</v>
      </c>
      <c r="Z286" s="50">
        <v>0</v>
      </c>
      <c r="AA286" s="50">
        <v>0</v>
      </c>
      <c r="AB286" s="50">
        <v>0</v>
      </c>
      <c r="AC286" s="50">
        <v>0</v>
      </c>
      <c r="AD286" s="50">
        <v>0</v>
      </c>
      <c r="AE286" s="50">
        <v>0</v>
      </c>
      <c r="AF286" s="50">
        <v>0</v>
      </c>
      <c r="AG286" s="50">
        <v>0</v>
      </c>
      <c r="AH286" s="50">
        <v>0</v>
      </c>
      <c r="AI286" s="50">
        <v>0</v>
      </c>
      <c r="AJ286" s="50">
        <v>0</v>
      </c>
      <c r="AK286" s="50">
        <v>0</v>
      </c>
      <c r="AL286" s="50">
        <v>0</v>
      </c>
      <c r="AM286" s="50">
        <v>0</v>
      </c>
      <c r="AN286" s="50">
        <v>0</v>
      </c>
      <c r="AO286" s="50">
        <v>0</v>
      </c>
      <c r="AP286" s="50">
        <v>0</v>
      </c>
      <c r="AQ286" s="50">
        <v>0</v>
      </c>
    </row>
    <row r="287" spans="1:91" ht="14.25" hidden="1" customHeight="1" thickTop="1" x14ac:dyDescent="0.15">
      <c r="G287" s="7"/>
      <c r="H287" s="208"/>
      <c r="J287" s="156"/>
      <c r="K287" s="13" t="s">
        <v>91</v>
      </c>
      <c r="L287" s="13" t="s">
        <v>67</v>
      </c>
      <c r="M287" s="52">
        <v>0</v>
      </c>
      <c r="N287" s="52">
        <v>0</v>
      </c>
      <c r="O287" s="52">
        <v>0</v>
      </c>
      <c r="P287" s="52">
        <v>0</v>
      </c>
      <c r="Q287" s="52">
        <v>0</v>
      </c>
      <c r="R287" s="52">
        <v>0</v>
      </c>
      <c r="S287" s="52">
        <v>0</v>
      </c>
      <c r="T287" s="52">
        <v>0</v>
      </c>
      <c r="U287" s="52">
        <v>0</v>
      </c>
      <c r="V287" s="52">
        <v>0</v>
      </c>
      <c r="W287" s="52">
        <v>0</v>
      </c>
      <c r="X287" s="52">
        <v>0</v>
      </c>
      <c r="Y287" s="52">
        <v>0</v>
      </c>
      <c r="Z287" s="52">
        <v>0</v>
      </c>
      <c r="AA287" s="52">
        <v>0</v>
      </c>
      <c r="AB287" s="52">
        <v>0</v>
      </c>
      <c r="AC287" s="52">
        <v>0</v>
      </c>
      <c r="AD287" s="52">
        <v>0</v>
      </c>
      <c r="AE287" s="52">
        <v>0</v>
      </c>
      <c r="AF287" s="52">
        <v>0</v>
      </c>
      <c r="AG287" s="52">
        <v>0</v>
      </c>
      <c r="AH287" s="52">
        <v>0</v>
      </c>
      <c r="AI287" s="52">
        <v>0</v>
      </c>
      <c r="AJ287" s="52">
        <v>0</v>
      </c>
      <c r="AK287" s="52">
        <v>0</v>
      </c>
      <c r="AL287" s="52">
        <v>0</v>
      </c>
      <c r="AM287" s="52">
        <v>0</v>
      </c>
      <c r="AN287" s="52">
        <v>0</v>
      </c>
      <c r="AO287" s="52">
        <v>0</v>
      </c>
      <c r="AP287" s="52">
        <v>0</v>
      </c>
      <c r="AQ287" s="52">
        <v>0</v>
      </c>
    </row>
    <row r="288" spans="1:91" ht="14.25" hidden="1" customHeight="1" x14ac:dyDescent="0.15">
      <c r="G288" s="7"/>
      <c r="H288" s="208"/>
      <c r="J288" s="156"/>
      <c r="K288" s="5" t="s">
        <v>91</v>
      </c>
      <c r="L288" s="47" t="s">
        <v>66</v>
      </c>
      <c r="M288" s="51">
        <v>0</v>
      </c>
      <c r="N288" s="51">
        <v>0</v>
      </c>
      <c r="O288" s="51">
        <v>0</v>
      </c>
      <c r="P288" s="51">
        <v>0</v>
      </c>
      <c r="Q288" s="51">
        <v>0</v>
      </c>
      <c r="R288" s="51">
        <v>0</v>
      </c>
      <c r="S288" s="51">
        <v>0</v>
      </c>
      <c r="T288" s="51">
        <v>0</v>
      </c>
      <c r="U288" s="51">
        <v>0</v>
      </c>
      <c r="V288" s="51">
        <v>0</v>
      </c>
      <c r="W288" s="51">
        <v>0</v>
      </c>
      <c r="X288" s="51">
        <v>0</v>
      </c>
      <c r="Y288" s="51">
        <v>0</v>
      </c>
      <c r="Z288" s="51">
        <v>0</v>
      </c>
      <c r="AA288" s="51">
        <v>0</v>
      </c>
      <c r="AB288" s="51">
        <v>0</v>
      </c>
      <c r="AC288" s="51">
        <v>0</v>
      </c>
      <c r="AD288" s="51">
        <v>0</v>
      </c>
      <c r="AE288" s="51">
        <v>0</v>
      </c>
      <c r="AF288" s="51">
        <v>0</v>
      </c>
      <c r="AG288" s="51">
        <v>0</v>
      </c>
      <c r="AH288" s="51">
        <v>0</v>
      </c>
      <c r="AI288" s="51">
        <v>0</v>
      </c>
      <c r="AJ288" s="51">
        <v>0</v>
      </c>
      <c r="AK288" s="51">
        <v>0</v>
      </c>
      <c r="AL288" s="51">
        <v>0</v>
      </c>
      <c r="AM288" s="51">
        <v>0</v>
      </c>
      <c r="AN288" s="51">
        <v>0</v>
      </c>
      <c r="AO288" s="51">
        <v>0</v>
      </c>
      <c r="AP288" s="51">
        <v>0</v>
      </c>
      <c r="AQ288" s="51">
        <v>0</v>
      </c>
    </row>
    <row r="289" spans="7:43" ht="14.25" hidden="1" customHeight="1" thickBot="1" x14ac:dyDescent="0.2">
      <c r="G289" s="7"/>
      <c r="H289" s="208"/>
      <c r="J289" s="156"/>
      <c r="K289" s="14" t="s">
        <v>91</v>
      </c>
      <c r="L289" s="14" t="s">
        <v>62</v>
      </c>
      <c r="M289" s="50">
        <v>0</v>
      </c>
      <c r="N289" s="50">
        <v>0</v>
      </c>
      <c r="O289" s="50">
        <v>0</v>
      </c>
      <c r="P289" s="50">
        <v>0</v>
      </c>
      <c r="Q289" s="50">
        <v>0</v>
      </c>
      <c r="R289" s="50">
        <v>0</v>
      </c>
      <c r="S289" s="50">
        <v>0</v>
      </c>
      <c r="T289" s="50">
        <v>0</v>
      </c>
      <c r="U289" s="50">
        <v>0</v>
      </c>
      <c r="V289" s="50">
        <v>0</v>
      </c>
      <c r="W289" s="50">
        <v>0</v>
      </c>
      <c r="X289" s="50">
        <v>0</v>
      </c>
      <c r="Y289" s="50">
        <v>0</v>
      </c>
      <c r="Z289" s="50">
        <v>0</v>
      </c>
      <c r="AA289" s="50">
        <v>0</v>
      </c>
      <c r="AB289" s="50">
        <v>0</v>
      </c>
      <c r="AC289" s="50">
        <v>0</v>
      </c>
      <c r="AD289" s="50">
        <v>0</v>
      </c>
      <c r="AE289" s="50">
        <v>0</v>
      </c>
      <c r="AF289" s="50">
        <v>0</v>
      </c>
      <c r="AG289" s="50">
        <v>0</v>
      </c>
      <c r="AH289" s="50">
        <v>0</v>
      </c>
      <c r="AI289" s="50">
        <v>0</v>
      </c>
      <c r="AJ289" s="50">
        <v>0</v>
      </c>
      <c r="AK289" s="50">
        <v>0</v>
      </c>
      <c r="AL289" s="50">
        <v>0</v>
      </c>
      <c r="AM289" s="50">
        <v>0</v>
      </c>
      <c r="AN289" s="50">
        <v>0</v>
      </c>
      <c r="AO289" s="50">
        <v>0</v>
      </c>
      <c r="AP289" s="50">
        <v>0</v>
      </c>
      <c r="AQ289" s="50">
        <v>0</v>
      </c>
    </row>
    <row r="290" spans="7:43" ht="14.25" hidden="1" customHeight="1" thickTop="1" x14ac:dyDescent="0.15">
      <c r="G290" s="7"/>
      <c r="H290" s="208"/>
      <c r="J290" s="156"/>
      <c r="K290" s="13" t="s">
        <v>90</v>
      </c>
      <c r="L290" s="13" t="s">
        <v>67</v>
      </c>
      <c r="M290" s="52">
        <v>0</v>
      </c>
      <c r="N290" s="52">
        <v>0</v>
      </c>
      <c r="O290" s="52">
        <v>0</v>
      </c>
      <c r="P290" s="52">
        <v>0</v>
      </c>
      <c r="Q290" s="52">
        <v>0</v>
      </c>
      <c r="R290" s="52">
        <v>0</v>
      </c>
      <c r="S290" s="52">
        <v>0</v>
      </c>
      <c r="T290" s="52">
        <v>0</v>
      </c>
      <c r="U290" s="52">
        <v>0</v>
      </c>
      <c r="V290" s="52">
        <v>0</v>
      </c>
      <c r="W290" s="52">
        <v>0</v>
      </c>
      <c r="X290" s="52">
        <v>0</v>
      </c>
      <c r="Y290" s="52">
        <v>0</v>
      </c>
      <c r="Z290" s="52">
        <v>0</v>
      </c>
      <c r="AA290" s="52">
        <v>0</v>
      </c>
      <c r="AB290" s="52">
        <v>0</v>
      </c>
      <c r="AC290" s="52">
        <v>0</v>
      </c>
      <c r="AD290" s="52">
        <v>0</v>
      </c>
      <c r="AE290" s="52">
        <v>0</v>
      </c>
      <c r="AF290" s="52">
        <v>0</v>
      </c>
      <c r="AG290" s="52">
        <v>0</v>
      </c>
      <c r="AH290" s="52">
        <v>0</v>
      </c>
      <c r="AI290" s="52">
        <v>0</v>
      </c>
      <c r="AJ290" s="52">
        <v>0</v>
      </c>
      <c r="AK290" s="52">
        <v>0</v>
      </c>
      <c r="AL290" s="52">
        <v>0</v>
      </c>
      <c r="AM290" s="52">
        <v>0</v>
      </c>
      <c r="AN290" s="52">
        <v>0</v>
      </c>
      <c r="AO290" s="52">
        <v>0</v>
      </c>
      <c r="AP290" s="52">
        <v>0</v>
      </c>
      <c r="AQ290" s="52">
        <v>0</v>
      </c>
    </row>
    <row r="291" spans="7:43" ht="14.25" hidden="1" customHeight="1" x14ac:dyDescent="0.15">
      <c r="G291" s="7"/>
      <c r="H291" s="208"/>
      <c r="J291" s="156"/>
      <c r="K291" s="5" t="s">
        <v>90</v>
      </c>
      <c r="L291" s="47" t="s">
        <v>66</v>
      </c>
      <c r="M291" s="51">
        <v>0</v>
      </c>
      <c r="N291" s="51">
        <v>0</v>
      </c>
      <c r="O291" s="51">
        <v>0</v>
      </c>
      <c r="P291" s="51">
        <v>0</v>
      </c>
      <c r="Q291" s="51">
        <v>0</v>
      </c>
      <c r="R291" s="51">
        <v>0</v>
      </c>
      <c r="S291" s="51">
        <v>0</v>
      </c>
      <c r="T291" s="51">
        <v>0</v>
      </c>
      <c r="U291" s="51">
        <v>0</v>
      </c>
      <c r="V291" s="51">
        <v>0</v>
      </c>
      <c r="W291" s="51">
        <v>0</v>
      </c>
      <c r="X291" s="51">
        <v>0</v>
      </c>
      <c r="Y291" s="51">
        <v>0</v>
      </c>
      <c r="Z291" s="51">
        <v>0</v>
      </c>
      <c r="AA291" s="51">
        <v>0</v>
      </c>
      <c r="AB291" s="51">
        <v>0</v>
      </c>
      <c r="AC291" s="51">
        <v>0</v>
      </c>
      <c r="AD291" s="51">
        <v>0</v>
      </c>
      <c r="AE291" s="51">
        <v>0</v>
      </c>
      <c r="AF291" s="51">
        <v>0</v>
      </c>
      <c r="AG291" s="51">
        <v>0</v>
      </c>
      <c r="AH291" s="51">
        <v>0</v>
      </c>
      <c r="AI291" s="51">
        <v>0</v>
      </c>
      <c r="AJ291" s="51">
        <v>0</v>
      </c>
      <c r="AK291" s="51">
        <v>0</v>
      </c>
      <c r="AL291" s="51">
        <v>0</v>
      </c>
      <c r="AM291" s="51">
        <v>0</v>
      </c>
      <c r="AN291" s="51">
        <v>0</v>
      </c>
      <c r="AO291" s="51">
        <v>0</v>
      </c>
      <c r="AP291" s="51">
        <v>0</v>
      </c>
      <c r="AQ291" s="51">
        <v>0</v>
      </c>
    </row>
    <row r="292" spans="7:43" ht="14.25" hidden="1" customHeight="1" x14ac:dyDescent="0.15">
      <c r="G292" s="7"/>
      <c r="H292" s="208"/>
      <c r="J292" s="156"/>
      <c r="K292" s="14" t="s">
        <v>90</v>
      </c>
      <c r="L292" s="14" t="s">
        <v>62</v>
      </c>
      <c r="M292" s="50">
        <v>0</v>
      </c>
      <c r="N292" s="50">
        <v>0</v>
      </c>
      <c r="O292" s="50">
        <v>0</v>
      </c>
      <c r="P292" s="50">
        <v>0</v>
      </c>
      <c r="Q292" s="50">
        <v>0</v>
      </c>
      <c r="R292" s="50">
        <v>0</v>
      </c>
      <c r="S292" s="50">
        <v>0</v>
      </c>
      <c r="T292" s="50">
        <v>0</v>
      </c>
      <c r="U292" s="50">
        <v>0</v>
      </c>
      <c r="V292" s="50">
        <v>0</v>
      </c>
      <c r="W292" s="50">
        <v>0</v>
      </c>
      <c r="X292" s="50">
        <v>0</v>
      </c>
      <c r="Y292" s="50">
        <v>0</v>
      </c>
      <c r="Z292" s="50">
        <v>0</v>
      </c>
      <c r="AA292" s="50">
        <v>0</v>
      </c>
      <c r="AB292" s="50">
        <v>0</v>
      </c>
      <c r="AC292" s="50">
        <v>0</v>
      </c>
      <c r="AD292" s="50">
        <v>0</v>
      </c>
      <c r="AE292" s="50">
        <v>0</v>
      </c>
      <c r="AF292" s="50">
        <v>0</v>
      </c>
      <c r="AG292" s="50">
        <v>0</v>
      </c>
      <c r="AH292" s="50">
        <v>0</v>
      </c>
      <c r="AI292" s="50">
        <v>0</v>
      </c>
      <c r="AJ292" s="50">
        <v>0</v>
      </c>
      <c r="AK292" s="50">
        <v>0</v>
      </c>
      <c r="AL292" s="50">
        <v>0</v>
      </c>
      <c r="AM292" s="50">
        <v>0</v>
      </c>
      <c r="AN292" s="50">
        <v>0</v>
      </c>
      <c r="AO292" s="50">
        <v>0</v>
      </c>
      <c r="AP292" s="50">
        <v>0</v>
      </c>
      <c r="AQ292" s="50">
        <v>0</v>
      </c>
    </row>
    <row r="293" spans="7:43" ht="14.25" hidden="1" customHeight="1" x14ac:dyDescent="0.15">
      <c r="G293" s="7"/>
      <c r="H293" s="208"/>
      <c r="J293" s="156"/>
      <c r="K293" s="13" t="s">
        <v>89</v>
      </c>
      <c r="L293" s="13" t="s">
        <v>67</v>
      </c>
      <c r="M293" s="54">
        <v>0</v>
      </c>
      <c r="N293" s="54">
        <v>0</v>
      </c>
      <c r="O293" s="54">
        <v>0</v>
      </c>
      <c r="P293" s="54">
        <v>0</v>
      </c>
      <c r="Q293" s="54">
        <v>0</v>
      </c>
      <c r="R293" s="54">
        <v>0</v>
      </c>
      <c r="S293" s="54">
        <v>0</v>
      </c>
      <c r="T293" s="54">
        <v>0</v>
      </c>
      <c r="U293" s="54">
        <v>0</v>
      </c>
      <c r="V293" s="54">
        <v>0</v>
      </c>
      <c r="W293" s="54">
        <v>0</v>
      </c>
      <c r="X293" s="54">
        <v>0</v>
      </c>
      <c r="Y293" s="54">
        <v>0</v>
      </c>
      <c r="Z293" s="54">
        <v>0</v>
      </c>
      <c r="AA293" s="54">
        <v>0</v>
      </c>
      <c r="AB293" s="54">
        <v>0</v>
      </c>
      <c r="AC293" s="54">
        <v>0</v>
      </c>
      <c r="AD293" s="54">
        <v>0</v>
      </c>
      <c r="AE293" s="54">
        <v>0</v>
      </c>
      <c r="AF293" s="54">
        <v>0</v>
      </c>
      <c r="AG293" s="54">
        <v>0</v>
      </c>
      <c r="AH293" s="54">
        <v>0</v>
      </c>
      <c r="AI293" s="54">
        <v>0</v>
      </c>
      <c r="AJ293" s="54">
        <v>0</v>
      </c>
      <c r="AK293" s="54">
        <v>0</v>
      </c>
      <c r="AL293" s="54">
        <v>0</v>
      </c>
      <c r="AM293" s="54">
        <v>0</v>
      </c>
      <c r="AN293" s="54">
        <v>0</v>
      </c>
      <c r="AO293" s="54">
        <v>0</v>
      </c>
      <c r="AP293" s="54">
        <v>0</v>
      </c>
      <c r="AQ293" s="54">
        <v>0</v>
      </c>
    </row>
    <row r="294" spans="7:43" ht="14.25" hidden="1" customHeight="1" x14ac:dyDescent="0.15">
      <c r="G294" s="7"/>
      <c r="H294" s="208"/>
      <c r="J294" s="156"/>
      <c r="K294" s="5" t="s">
        <v>89</v>
      </c>
      <c r="L294" s="47" t="s">
        <v>66</v>
      </c>
      <c r="M294" s="51">
        <v>0</v>
      </c>
      <c r="N294" s="51">
        <v>0</v>
      </c>
      <c r="O294" s="51">
        <v>0</v>
      </c>
      <c r="P294" s="51">
        <v>0</v>
      </c>
      <c r="Q294" s="51">
        <v>0</v>
      </c>
      <c r="R294" s="51">
        <v>0</v>
      </c>
      <c r="S294" s="51">
        <v>0</v>
      </c>
      <c r="T294" s="51">
        <v>0</v>
      </c>
      <c r="U294" s="51">
        <v>0</v>
      </c>
      <c r="V294" s="51">
        <v>0</v>
      </c>
      <c r="W294" s="51">
        <v>0</v>
      </c>
      <c r="X294" s="51">
        <v>0</v>
      </c>
      <c r="Y294" s="51">
        <v>0</v>
      </c>
      <c r="Z294" s="51">
        <v>0</v>
      </c>
      <c r="AA294" s="51">
        <v>0</v>
      </c>
      <c r="AB294" s="51">
        <v>0</v>
      </c>
      <c r="AC294" s="51">
        <v>0</v>
      </c>
      <c r="AD294" s="51">
        <v>0</v>
      </c>
      <c r="AE294" s="51">
        <v>0</v>
      </c>
      <c r="AF294" s="51">
        <v>0</v>
      </c>
      <c r="AG294" s="51">
        <v>0</v>
      </c>
      <c r="AH294" s="51">
        <v>0</v>
      </c>
      <c r="AI294" s="51">
        <v>0</v>
      </c>
      <c r="AJ294" s="51">
        <v>0</v>
      </c>
      <c r="AK294" s="51">
        <v>0</v>
      </c>
      <c r="AL294" s="51">
        <v>0</v>
      </c>
      <c r="AM294" s="51">
        <v>0</v>
      </c>
      <c r="AN294" s="51">
        <v>0</v>
      </c>
      <c r="AO294" s="51">
        <v>0</v>
      </c>
      <c r="AP294" s="51">
        <v>0</v>
      </c>
      <c r="AQ294" s="51">
        <v>0</v>
      </c>
    </row>
    <row r="295" spans="7:43" ht="14.25" hidden="1" customHeight="1" thickBot="1" x14ac:dyDescent="0.2">
      <c r="G295" s="7"/>
      <c r="H295" s="208"/>
      <c r="J295" s="156"/>
      <c r="K295" s="14" t="s">
        <v>89</v>
      </c>
      <c r="L295" s="14" t="s">
        <v>62</v>
      </c>
      <c r="M295" s="53">
        <v>0</v>
      </c>
      <c r="N295" s="53">
        <v>0</v>
      </c>
      <c r="O295" s="53">
        <v>0</v>
      </c>
      <c r="P295" s="53">
        <v>0</v>
      </c>
      <c r="Q295" s="53">
        <v>0</v>
      </c>
      <c r="R295" s="53">
        <v>0</v>
      </c>
      <c r="S295" s="53">
        <v>0</v>
      </c>
      <c r="T295" s="53">
        <v>0</v>
      </c>
      <c r="U295" s="53">
        <v>0</v>
      </c>
      <c r="V295" s="53">
        <v>0</v>
      </c>
      <c r="W295" s="53">
        <v>0</v>
      </c>
      <c r="X295" s="53">
        <v>0</v>
      </c>
      <c r="Y295" s="53">
        <v>0</v>
      </c>
      <c r="Z295" s="53">
        <v>0</v>
      </c>
      <c r="AA295" s="53">
        <v>0</v>
      </c>
      <c r="AB295" s="53">
        <v>0</v>
      </c>
      <c r="AC295" s="53">
        <v>0</v>
      </c>
      <c r="AD295" s="53">
        <v>0</v>
      </c>
      <c r="AE295" s="53">
        <v>0</v>
      </c>
      <c r="AF295" s="53">
        <v>0</v>
      </c>
      <c r="AG295" s="53">
        <v>0</v>
      </c>
      <c r="AH295" s="53">
        <v>0</v>
      </c>
      <c r="AI295" s="53">
        <v>0</v>
      </c>
      <c r="AJ295" s="53">
        <v>0</v>
      </c>
      <c r="AK295" s="53">
        <v>0</v>
      </c>
      <c r="AL295" s="53">
        <v>0</v>
      </c>
      <c r="AM295" s="53">
        <v>0</v>
      </c>
      <c r="AN295" s="53">
        <v>0</v>
      </c>
      <c r="AO295" s="53">
        <v>0</v>
      </c>
      <c r="AP295" s="53">
        <v>0</v>
      </c>
      <c r="AQ295" s="53">
        <v>0</v>
      </c>
    </row>
    <row r="296" spans="7:43" ht="14.25" hidden="1" customHeight="1" thickTop="1" x14ac:dyDescent="0.15">
      <c r="G296" s="7"/>
      <c r="H296" s="208"/>
      <c r="J296" s="156"/>
      <c r="K296" s="13" t="s">
        <v>88</v>
      </c>
      <c r="L296" s="13" t="s">
        <v>67</v>
      </c>
      <c r="M296" s="52">
        <v>0</v>
      </c>
      <c r="N296" s="52">
        <v>0</v>
      </c>
      <c r="O296" s="52">
        <v>0</v>
      </c>
      <c r="P296" s="52">
        <v>0</v>
      </c>
      <c r="Q296" s="52">
        <v>0</v>
      </c>
      <c r="R296" s="52">
        <v>0</v>
      </c>
      <c r="S296" s="52">
        <v>0</v>
      </c>
      <c r="T296" s="52">
        <v>0</v>
      </c>
      <c r="U296" s="52">
        <v>0</v>
      </c>
      <c r="V296" s="52">
        <v>0</v>
      </c>
      <c r="W296" s="52">
        <v>0</v>
      </c>
      <c r="X296" s="52">
        <v>0</v>
      </c>
      <c r="Y296" s="52">
        <v>0</v>
      </c>
      <c r="Z296" s="52">
        <v>0</v>
      </c>
      <c r="AA296" s="52">
        <v>0</v>
      </c>
      <c r="AB296" s="52">
        <v>0</v>
      </c>
      <c r="AC296" s="52">
        <v>0</v>
      </c>
      <c r="AD296" s="52">
        <v>0</v>
      </c>
      <c r="AE296" s="52">
        <v>0</v>
      </c>
      <c r="AF296" s="52">
        <v>0</v>
      </c>
      <c r="AG296" s="52">
        <v>0</v>
      </c>
      <c r="AH296" s="52">
        <v>0</v>
      </c>
      <c r="AI296" s="52">
        <v>0</v>
      </c>
      <c r="AJ296" s="52">
        <v>0</v>
      </c>
      <c r="AK296" s="52">
        <v>0</v>
      </c>
      <c r="AL296" s="52">
        <v>0</v>
      </c>
      <c r="AM296" s="52">
        <v>0</v>
      </c>
      <c r="AN296" s="52">
        <v>0</v>
      </c>
      <c r="AO296" s="52">
        <v>0</v>
      </c>
      <c r="AP296" s="52">
        <v>0</v>
      </c>
      <c r="AQ296" s="52">
        <v>0</v>
      </c>
    </row>
    <row r="297" spans="7:43" ht="14.25" hidden="1" customHeight="1" x14ac:dyDescent="0.15">
      <c r="G297" s="7"/>
      <c r="H297" s="208"/>
      <c r="J297" s="156"/>
      <c r="K297" s="5" t="s">
        <v>88</v>
      </c>
      <c r="L297" s="47" t="s">
        <v>66</v>
      </c>
      <c r="M297" s="51">
        <v>0</v>
      </c>
      <c r="N297" s="51">
        <v>0</v>
      </c>
      <c r="O297" s="51">
        <v>0</v>
      </c>
      <c r="P297" s="51">
        <v>0</v>
      </c>
      <c r="Q297" s="51">
        <v>0</v>
      </c>
      <c r="R297" s="51">
        <v>0</v>
      </c>
      <c r="S297" s="51">
        <v>0</v>
      </c>
      <c r="T297" s="51">
        <v>0</v>
      </c>
      <c r="U297" s="51">
        <v>0</v>
      </c>
      <c r="V297" s="51">
        <v>0</v>
      </c>
      <c r="W297" s="51">
        <v>0</v>
      </c>
      <c r="X297" s="51">
        <v>0</v>
      </c>
      <c r="Y297" s="51">
        <v>0</v>
      </c>
      <c r="Z297" s="51">
        <v>0</v>
      </c>
      <c r="AA297" s="51">
        <v>0</v>
      </c>
      <c r="AB297" s="51">
        <v>0</v>
      </c>
      <c r="AC297" s="51">
        <v>0</v>
      </c>
      <c r="AD297" s="51">
        <v>0</v>
      </c>
      <c r="AE297" s="51">
        <v>0</v>
      </c>
      <c r="AF297" s="51">
        <v>0</v>
      </c>
      <c r="AG297" s="51">
        <v>0</v>
      </c>
      <c r="AH297" s="51">
        <v>0</v>
      </c>
      <c r="AI297" s="51">
        <v>0</v>
      </c>
      <c r="AJ297" s="51">
        <v>0</v>
      </c>
      <c r="AK297" s="51">
        <v>0</v>
      </c>
      <c r="AL297" s="51">
        <v>0</v>
      </c>
      <c r="AM297" s="51">
        <v>0</v>
      </c>
      <c r="AN297" s="51">
        <v>0</v>
      </c>
      <c r="AO297" s="51">
        <v>0</v>
      </c>
      <c r="AP297" s="51">
        <v>0</v>
      </c>
      <c r="AQ297" s="51">
        <v>0</v>
      </c>
    </row>
    <row r="298" spans="7:43" ht="14.25" hidden="1" customHeight="1" thickBot="1" x14ac:dyDescent="0.2">
      <c r="G298" s="7"/>
      <c r="H298" s="208"/>
      <c r="J298" s="156"/>
      <c r="K298" s="14" t="s">
        <v>88</v>
      </c>
      <c r="L298" s="14" t="s">
        <v>62</v>
      </c>
      <c r="M298" s="53">
        <v>0</v>
      </c>
      <c r="N298" s="53">
        <v>0</v>
      </c>
      <c r="O298" s="53">
        <v>0</v>
      </c>
      <c r="P298" s="53">
        <v>0</v>
      </c>
      <c r="Q298" s="53">
        <v>0</v>
      </c>
      <c r="R298" s="53">
        <v>0</v>
      </c>
      <c r="S298" s="53">
        <v>0</v>
      </c>
      <c r="T298" s="53">
        <v>0</v>
      </c>
      <c r="U298" s="53">
        <v>0</v>
      </c>
      <c r="V298" s="53">
        <v>0</v>
      </c>
      <c r="W298" s="53">
        <v>0</v>
      </c>
      <c r="X298" s="53">
        <v>0</v>
      </c>
      <c r="Y298" s="53">
        <v>0</v>
      </c>
      <c r="Z298" s="53">
        <v>0</v>
      </c>
      <c r="AA298" s="53">
        <v>0</v>
      </c>
      <c r="AB298" s="53">
        <v>0</v>
      </c>
      <c r="AC298" s="53">
        <v>0</v>
      </c>
      <c r="AD298" s="53">
        <v>0</v>
      </c>
      <c r="AE298" s="53">
        <v>0</v>
      </c>
      <c r="AF298" s="53">
        <v>0</v>
      </c>
      <c r="AG298" s="53">
        <v>0</v>
      </c>
      <c r="AH298" s="53">
        <v>0</v>
      </c>
      <c r="AI298" s="53">
        <v>0</v>
      </c>
      <c r="AJ298" s="53">
        <v>0</v>
      </c>
      <c r="AK298" s="53">
        <v>0</v>
      </c>
      <c r="AL298" s="53">
        <v>0</v>
      </c>
      <c r="AM298" s="53">
        <v>0</v>
      </c>
      <c r="AN298" s="53">
        <v>0</v>
      </c>
      <c r="AO298" s="53">
        <v>0</v>
      </c>
      <c r="AP298" s="53">
        <v>0</v>
      </c>
      <c r="AQ298" s="53">
        <v>0</v>
      </c>
    </row>
    <row r="299" spans="7:43" ht="14.25" hidden="1" customHeight="1" thickTop="1" x14ac:dyDescent="0.15">
      <c r="G299" s="7"/>
      <c r="H299" s="208"/>
      <c r="J299" s="156"/>
      <c r="K299" s="13" t="s">
        <v>87</v>
      </c>
      <c r="L299" s="13" t="s">
        <v>67</v>
      </c>
      <c r="M299" s="52">
        <v>0</v>
      </c>
      <c r="N299" s="52">
        <v>0</v>
      </c>
      <c r="O299" s="52">
        <v>0</v>
      </c>
      <c r="P299" s="52">
        <v>0</v>
      </c>
      <c r="Q299" s="52">
        <v>0</v>
      </c>
      <c r="R299" s="52">
        <v>0</v>
      </c>
      <c r="S299" s="52">
        <v>0</v>
      </c>
      <c r="T299" s="52">
        <v>0</v>
      </c>
      <c r="U299" s="52">
        <v>0</v>
      </c>
      <c r="V299" s="52">
        <v>0</v>
      </c>
      <c r="W299" s="52">
        <v>0</v>
      </c>
      <c r="X299" s="52">
        <v>0</v>
      </c>
      <c r="Y299" s="52">
        <v>0</v>
      </c>
      <c r="Z299" s="52">
        <v>0</v>
      </c>
      <c r="AA299" s="52">
        <v>0</v>
      </c>
      <c r="AB299" s="52">
        <v>0</v>
      </c>
      <c r="AC299" s="52">
        <v>0</v>
      </c>
      <c r="AD299" s="52">
        <v>0</v>
      </c>
      <c r="AE299" s="52">
        <v>0</v>
      </c>
      <c r="AF299" s="52">
        <v>0</v>
      </c>
      <c r="AG299" s="52">
        <v>0</v>
      </c>
      <c r="AH299" s="52">
        <v>0</v>
      </c>
      <c r="AI299" s="52">
        <v>0</v>
      </c>
      <c r="AJ299" s="52">
        <v>0</v>
      </c>
      <c r="AK299" s="52">
        <v>0</v>
      </c>
      <c r="AL299" s="52">
        <v>0</v>
      </c>
      <c r="AM299" s="52">
        <v>0</v>
      </c>
      <c r="AN299" s="52">
        <v>0</v>
      </c>
      <c r="AO299" s="52">
        <v>0</v>
      </c>
      <c r="AP299" s="52">
        <v>0</v>
      </c>
      <c r="AQ299" s="52">
        <v>0</v>
      </c>
    </row>
    <row r="300" spans="7:43" ht="14.25" hidden="1" customHeight="1" x14ac:dyDescent="0.15">
      <c r="G300" s="7"/>
      <c r="H300" s="208"/>
      <c r="J300" s="156"/>
      <c r="K300" s="5" t="s">
        <v>87</v>
      </c>
      <c r="L300" s="47" t="s">
        <v>66</v>
      </c>
      <c r="M300" s="51">
        <v>0</v>
      </c>
      <c r="N300" s="51">
        <v>0</v>
      </c>
      <c r="O300" s="51">
        <v>0</v>
      </c>
      <c r="P300" s="51">
        <v>0</v>
      </c>
      <c r="Q300" s="51">
        <v>0</v>
      </c>
      <c r="R300" s="51">
        <v>0</v>
      </c>
      <c r="S300" s="51">
        <v>0</v>
      </c>
      <c r="T300" s="51">
        <v>0</v>
      </c>
      <c r="U300" s="51">
        <v>0</v>
      </c>
      <c r="V300" s="51">
        <v>0</v>
      </c>
      <c r="W300" s="51">
        <v>0</v>
      </c>
      <c r="X300" s="51">
        <v>0</v>
      </c>
      <c r="Y300" s="51">
        <v>0</v>
      </c>
      <c r="Z300" s="51">
        <v>0</v>
      </c>
      <c r="AA300" s="51">
        <v>0</v>
      </c>
      <c r="AB300" s="51">
        <v>0</v>
      </c>
      <c r="AC300" s="51">
        <v>0</v>
      </c>
      <c r="AD300" s="51">
        <v>0</v>
      </c>
      <c r="AE300" s="51">
        <v>0</v>
      </c>
      <c r="AF300" s="51">
        <v>0</v>
      </c>
      <c r="AG300" s="51">
        <v>0</v>
      </c>
      <c r="AH300" s="51">
        <v>0</v>
      </c>
      <c r="AI300" s="51">
        <v>0</v>
      </c>
      <c r="AJ300" s="51">
        <v>0</v>
      </c>
      <c r="AK300" s="51">
        <v>0</v>
      </c>
      <c r="AL300" s="51">
        <v>0</v>
      </c>
      <c r="AM300" s="51">
        <v>0</v>
      </c>
      <c r="AN300" s="51">
        <v>0</v>
      </c>
      <c r="AO300" s="51">
        <v>0</v>
      </c>
      <c r="AP300" s="51">
        <v>0</v>
      </c>
      <c r="AQ300" s="51">
        <v>0</v>
      </c>
    </row>
    <row r="301" spans="7:43" ht="14.25" hidden="1" customHeight="1" thickBot="1" x14ac:dyDescent="0.2">
      <c r="G301" s="7"/>
      <c r="H301" s="208"/>
      <c r="J301" s="156"/>
      <c r="K301" s="14" t="s">
        <v>87</v>
      </c>
      <c r="L301" s="14" t="s">
        <v>62</v>
      </c>
      <c r="M301" s="50">
        <v>0</v>
      </c>
      <c r="N301" s="50">
        <v>0</v>
      </c>
      <c r="O301" s="50">
        <v>0</v>
      </c>
      <c r="P301" s="50">
        <v>0</v>
      </c>
      <c r="Q301" s="50">
        <v>0</v>
      </c>
      <c r="R301" s="50">
        <v>0</v>
      </c>
      <c r="S301" s="50">
        <v>0</v>
      </c>
      <c r="T301" s="50">
        <v>0</v>
      </c>
      <c r="U301" s="50">
        <v>0</v>
      </c>
      <c r="V301" s="50">
        <v>0</v>
      </c>
      <c r="W301" s="50">
        <v>0</v>
      </c>
      <c r="X301" s="50">
        <v>0</v>
      </c>
      <c r="Y301" s="50">
        <v>0</v>
      </c>
      <c r="Z301" s="50">
        <v>0</v>
      </c>
      <c r="AA301" s="50">
        <v>0</v>
      </c>
      <c r="AB301" s="50">
        <v>0</v>
      </c>
      <c r="AC301" s="50">
        <v>0</v>
      </c>
      <c r="AD301" s="50">
        <v>0</v>
      </c>
      <c r="AE301" s="50">
        <v>0</v>
      </c>
      <c r="AF301" s="50">
        <v>0</v>
      </c>
      <c r="AG301" s="50">
        <v>0</v>
      </c>
      <c r="AH301" s="50">
        <v>0</v>
      </c>
      <c r="AI301" s="50">
        <v>0</v>
      </c>
      <c r="AJ301" s="50">
        <v>0</v>
      </c>
      <c r="AK301" s="50">
        <v>0</v>
      </c>
      <c r="AL301" s="50">
        <v>0</v>
      </c>
      <c r="AM301" s="50">
        <v>0</v>
      </c>
      <c r="AN301" s="50">
        <v>0</v>
      </c>
      <c r="AO301" s="50">
        <v>0</v>
      </c>
      <c r="AP301" s="50">
        <v>0</v>
      </c>
      <c r="AQ301" s="50">
        <v>0</v>
      </c>
    </row>
    <row r="302" spans="7:43" ht="14.25" hidden="1" customHeight="1" thickTop="1" x14ac:dyDescent="0.15">
      <c r="G302" s="7"/>
      <c r="H302" s="208"/>
      <c r="J302" s="156"/>
      <c r="K302" s="13" t="s">
        <v>86</v>
      </c>
      <c r="L302" s="13" t="s">
        <v>67</v>
      </c>
      <c r="M302" s="52">
        <v>0</v>
      </c>
      <c r="N302" s="52">
        <v>0</v>
      </c>
      <c r="O302" s="52">
        <v>0</v>
      </c>
      <c r="P302" s="52">
        <v>0</v>
      </c>
      <c r="Q302" s="52">
        <v>0</v>
      </c>
      <c r="R302" s="52">
        <v>0</v>
      </c>
      <c r="S302" s="52">
        <v>0</v>
      </c>
      <c r="T302" s="52">
        <v>0</v>
      </c>
      <c r="U302" s="52">
        <v>0</v>
      </c>
      <c r="V302" s="52">
        <v>0</v>
      </c>
      <c r="W302" s="52">
        <v>0</v>
      </c>
      <c r="X302" s="52">
        <v>0</v>
      </c>
      <c r="Y302" s="52">
        <v>0</v>
      </c>
      <c r="Z302" s="52">
        <v>0</v>
      </c>
      <c r="AA302" s="52">
        <v>0</v>
      </c>
      <c r="AB302" s="52">
        <v>0</v>
      </c>
      <c r="AC302" s="52">
        <v>0</v>
      </c>
      <c r="AD302" s="52">
        <v>0</v>
      </c>
      <c r="AE302" s="52">
        <v>0</v>
      </c>
      <c r="AF302" s="52">
        <v>0</v>
      </c>
      <c r="AG302" s="52">
        <v>0</v>
      </c>
      <c r="AH302" s="52">
        <v>0</v>
      </c>
      <c r="AI302" s="52">
        <v>0</v>
      </c>
      <c r="AJ302" s="52">
        <v>0</v>
      </c>
      <c r="AK302" s="52">
        <v>0</v>
      </c>
      <c r="AL302" s="52">
        <v>0</v>
      </c>
      <c r="AM302" s="52">
        <v>0</v>
      </c>
      <c r="AN302" s="52">
        <v>0</v>
      </c>
      <c r="AO302" s="52">
        <v>0</v>
      </c>
      <c r="AP302" s="52">
        <v>0</v>
      </c>
      <c r="AQ302" s="52">
        <v>0</v>
      </c>
    </row>
    <row r="303" spans="7:43" ht="14.25" hidden="1" customHeight="1" x14ac:dyDescent="0.15">
      <c r="G303" s="7"/>
      <c r="H303" s="208"/>
      <c r="J303" s="156"/>
      <c r="K303" s="5" t="s">
        <v>86</v>
      </c>
      <c r="L303" s="47" t="s">
        <v>66</v>
      </c>
      <c r="M303" s="51">
        <v>0</v>
      </c>
      <c r="N303" s="51">
        <v>0</v>
      </c>
      <c r="O303" s="51">
        <v>0</v>
      </c>
      <c r="P303" s="51">
        <v>0</v>
      </c>
      <c r="Q303" s="51">
        <v>0</v>
      </c>
      <c r="R303" s="51">
        <v>0</v>
      </c>
      <c r="S303" s="51">
        <v>0</v>
      </c>
      <c r="T303" s="51">
        <v>0</v>
      </c>
      <c r="U303" s="51">
        <v>0</v>
      </c>
      <c r="V303" s="51">
        <v>0</v>
      </c>
      <c r="W303" s="51">
        <v>0</v>
      </c>
      <c r="X303" s="51">
        <v>0</v>
      </c>
      <c r="Y303" s="51">
        <v>0</v>
      </c>
      <c r="Z303" s="51">
        <v>0</v>
      </c>
      <c r="AA303" s="51">
        <v>0</v>
      </c>
      <c r="AB303" s="51">
        <v>0</v>
      </c>
      <c r="AC303" s="51">
        <v>0</v>
      </c>
      <c r="AD303" s="51">
        <v>0</v>
      </c>
      <c r="AE303" s="51">
        <v>0</v>
      </c>
      <c r="AF303" s="51">
        <v>0</v>
      </c>
      <c r="AG303" s="51">
        <v>0</v>
      </c>
      <c r="AH303" s="51">
        <v>0</v>
      </c>
      <c r="AI303" s="51">
        <v>0</v>
      </c>
      <c r="AJ303" s="51">
        <v>0</v>
      </c>
      <c r="AK303" s="51">
        <v>0</v>
      </c>
      <c r="AL303" s="51">
        <v>0</v>
      </c>
      <c r="AM303" s="51">
        <v>0</v>
      </c>
      <c r="AN303" s="51">
        <v>0</v>
      </c>
      <c r="AO303" s="51">
        <v>0</v>
      </c>
      <c r="AP303" s="51">
        <v>0</v>
      </c>
      <c r="AQ303" s="51">
        <v>0</v>
      </c>
    </row>
    <row r="304" spans="7:43" ht="14.25" hidden="1" customHeight="1" thickBot="1" x14ac:dyDescent="0.2">
      <c r="G304" s="7"/>
      <c r="H304" s="208"/>
      <c r="J304" s="156"/>
      <c r="K304" s="14" t="s">
        <v>86</v>
      </c>
      <c r="L304" s="14" t="s">
        <v>62</v>
      </c>
      <c r="M304" s="50">
        <v>0</v>
      </c>
      <c r="N304" s="50">
        <v>0</v>
      </c>
      <c r="O304" s="50">
        <v>0</v>
      </c>
      <c r="P304" s="50">
        <v>0</v>
      </c>
      <c r="Q304" s="50">
        <v>0</v>
      </c>
      <c r="R304" s="50">
        <v>0</v>
      </c>
      <c r="S304" s="50">
        <v>0</v>
      </c>
      <c r="T304" s="50">
        <v>0</v>
      </c>
      <c r="U304" s="50">
        <v>0</v>
      </c>
      <c r="V304" s="50">
        <v>0</v>
      </c>
      <c r="W304" s="50">
        <v>0</v>
      </c>
      <c r="X304" s="50">
        <v>0</v>
      </c>
      <c r="Y304" s="50">
        <v>0</v>
      </c>
      <c r="Z304" s="50">
        <v>0</v>
      </c>
      <c r="AA304" s="50">
        <v>0</v>
      </c>
      <c r="AB304" s="50">
        <v>0</v>
      </c>
      <c r="AC304" s="50">
        <v>0</v>
      </c>
      <c r="AD304" s="50">
        <v>0</v>
      </c>
      <c r="AE304" s="50">
        <v>0</v>
      </c>
      <c r="AF304" s="50">
        <v>0</v>
      </c>
      <c r="AG304" s="50">
        <v>0</v>
      </c>
      <c r="AH304" s="50">
        <v>0</v>
      </c>
      <c r="AI304" s="50">
        <v>0</v>
      </c>
      <c r="AJ304" s="50">
        <v>0</v>
      </c>
      <c r="AK304" s="50">
        <v>0</v>
      </c>
      <c r="AL304" s="50">
        <v>0</v>
      </c>
      <c r="AM304" s="50">
        <v>0</v>
      </c>
      <c r="AN304" s="50">
        <v>0</v>
      </c>
      <c r="AO304" s="50">
        <v>0</v>
      </c>
      <c r="AP304" s="50">
        <v>0</v>
      </c>
      <c r="AQ304" s="50">
        <v>0</v>
      </c>
    </row>
    <row r="305" spans="7:43" ht="14.25" hidden="1" customHeight="1" thickTop="1" x14ac:dyDescent="0.15">
      <c r="G305" s="7"/>
      <c r="H305" s="208"/>
      <c r="J305" s="156"/>
      <c r="K305" s="13" t="s">
        <v>85</v>
      </c>
      <c r="L305" s="13" t="s">
        <v>67</v>
      </c>
      <c r="M305" s="52">
        <v>0</v>
      </c>
      <c r="N305" s="52">
        <v>0</v>
      </c>
      <c r="O305" s="52">
        <v>0</v>
      </c>
      <c r="P305" s="52">
        <v>0</v>
      </c>
      <c r="Q305" s="52">
        <v>0</v>
      </c>
      <c r="R305" s="52">
        <v>0</v>
      </c>
      <c r="S305" s="52">
        <v>0</v>
      </c>
      <c r="T305" s="52">
        <v>0</v>
      </c>
      <c r="U305" s="52">
        <v>0</v>
      </c>
      <c r="V305" s="52">
        <v>0</v>
      </c>
      <c r="W305" s="52">
        <v>0</v>
      </c>
      <c r="X305" s="52">
        <v>0</v>
      </c>
      <c r="Y305" s="52">
        <v>0</v>
      </c>
      <c r="Z305" s="52">
        <v>0</v>
      </c>
      <c r="AA305" s="52">
        <v>0</v>
      </c>
      <c r="AB305" s="52">
        <v>0</v>
      </c>
      <c r="AC305" s="52">
        <v>0</v>
      </c>
      <c r="AD305" s="52">
        <v>0</v>
      </c>
      <c r="AE305" s="52">
        <v>0</v>
      </c>
      <c r="AF305" s="52">
        <v>0</v>
      </c>
      <c r="AG305" s="52">
        <v>0</v>
      </c>
      <c r="AH305" s="52">
        <v>0</v>
      </c>
      <c r="AI305" s="52">
        <v>0</v>
      </c>
      <c r="AJ305" s="52">
        <v>0</v>
      </c>
      <c r="AK305" s="52">
        <v>0</v>
      </c>
      <c r="AL305" s="52">
        <v>0</v>
      </c>
      <c r="AM305" s="52">
        <v>0</v>
      </c>
      <c r="AN305" s="52">
        <v>0</v>
      </c>
      <c r="AO305" s="52">
        <v>0</v>
      </c>
      <c r="AP305" s="52">
        <v>0</v>
      </c>
      <c r="AQ305" s="52">
        <v>0</v>
      </c>
    </row>
    <row r="306" spans="7:43" ht="14.25" hidden="1" customHeight="1" x14ac:dyDescent="0.15">
      <c r="G306" s="7"/>
      <c r="H306" s="208"/>
      <c r="J306" s="156"/>
      <c r="K306" s="5" t="s">
        <v>85</v>
      </c>
      <c r="L306" s="47" t="s">
        <v>66</v>
      </c>
      <c r="M306" s="51">
        <v>0</v>
      </c>
      <c r="N306" s="51">
        <v>0</v>
      </c>
      <c r="O306" s="51">
        <v>0</v>
      </c>
      <c r="P306" s="51">
        <v>0</v>
      </c>
      <c r="Q306" s="51">
        <v>0</v>
      </c>
      <c r="R306" s="51">
        <v>0</v>
      </c>
      <c r="S306" s="51">
        <v>0</v>
      </c>
      <c r="T306" s="51">
        <v>0</v>
      </c>
      <c r="U306" s="51">
        <v>0</v>
      </c>
      <c r="V306" s="51">
        <v>0</v>
      </c>
      <c r="W306" s="51">
        <v>0</v>
      </c>
      <c r="X306" s="51">
        <v>0</v>
      </c>
      <c r="Y306" s="51">
        <v>0</v>
      </c>
      <c r="Z306" s="51">
        <v>0</v>
      </c>
      <c r="AA306" s="51">
        <v>0</v>
      </c>
      <c r="AB306" s="51">
        <v>0</v>
      </c>
      <c r="AC306" s="51">
        <v>0</v>
      </c>
      <c r="AD306" s="51">
        <v>0</v>
      </c>
      <c r="AE306" s="51">
        <v>0</v>
      </c>
      <c r="AF306" s="51">
        <v>0</v>
      </c>
      <c r="AG306" s="51">
        <v>0</v>
      </c>
      <c r="AH306" s="51">
        <v>0</v>
      </c>
      <c r="AI306" s="51">
        <v>0</v>
      </c>
      <c r="AJ306" s="51">
        <v>0</v>
      </c>
      <c r="AK306" s="51">
        <v>0</v>
      </c>
      <c r="AL306" s="51">
        <v>0</v>
      </c>
      <c r="AM306" s="51">
        <v>0</v>
      </c>
      <c r="AN306" s="51">
        <v>0</v>
      </c>
      <c r="AO306" s="51">
        <v>0</v>
      </c>
      <c r="AP306" s="51">
        <v>0</v>
      </c>
      <c r="AQ306" s="51">
        <v>0</v>
      </c>
    </row>
    <row r="307" spans="7:43" ht="14.25" hidden="1" customHeight="1" x14ac:dyDescent="0.15">
      <c r="G307" s="7"/>
      <c r="H307" s="208"/>
      <c r="J307" s="157"/>
      <c r="K307" s="14" t="s">
        <v>85</v>
      </c>
      <c r="L307" s="14" t="s">
        <v>62</v>
      </c>
      <c r="M307" s="50">
        <v>0</v>
      </c>
      <c r="N307" s="50">
        <v>0</v>
      </c>
      <c r="O307" s="50">
        <v>0</v>
      </c>
      <c r="P307" s="50">
        <v>0</v>
      </c>
      <c r="Q307" s="50">
        <v>0</v>
      </c>
      <c r="R307" s="50">
        <v>0</v>
      </c>
      <c r="S307" s="50">
        <v>0</v>
      </c>
      <c r="T307" s="50">
        <v>0</v>
      </c>
      <c r="U307" s="50">
        <v>0</v>
      </c>
      <c r="V307" s="50">
        <v>0</v>
      </c>
      <c r="W307" s="50">
        <v>0</v>
      </c>
      <c r="X307" s="50">
        <v>0</v>
      </c>
      <c r="Y307" s="50">
        <v>0</v>
      </c>
      <c r="Z307" s="50">
        <v>0</v>
      </c>
      <c r="AA307" s="50">
        <v>0</v>
      </c>
      <c r="AB307" s="50">
        <v>0</v>
      </c>
      <c r="AC307" s="50">
        <v>0</v>
      </c>
      <c r="AD307" s="50">
        <v>0</v>
      </c>
      <c r="AE307" s="50">
        <v>0</v>
      </c>
      <c r="AF307" s="50">
        <v>0</v>
      </c>
      <c r="AG307" s="50">
        <v>0</v>
      </c>
      <c r="AH307" s="50">
        <v>0</v>
      </c>
      <c r="AI307" s="50">
        <v>0</v>
      </c>
      <c r="AJ307" s="50">
        <v>0</v>
      </c>
      <c r="AK307" s="50">
        <v>0</v>
      </c>
      <c r="AL307" s="50">
        <v>0</v>
      </c>
      <c r="AM307" s="50">
        <v>0</v>
      </c>
      <c r="AN307" s="50">
        <v>0</v>
      </c>
      <c r="AO307" s="50">
        <v>0</v>
      </c>
      <c r="AP307" s="50">
        <v>0</v>
      </c>
      <c r="AQ307" s="50">
        <v>0</v>
      </c>
    </row>
    <row r="308" spans="7:43" ht="14.25" hidden="1" customHeight="1" thickBot="1" x14ac:dyDescent="0.2">
      <c r="G308" s="7"/>
      <c r="H308" s="49"/>
      <c r="I308" s="49"/>
    </row>
    <row r="309" spans="7:43" ht="14.25" hidden="1" customHeight="1" x14ac:dyDescent="0.15">
      <c r="G309" s="7"/>
      <c r="H309" s="44"/>
      <c r="I309" s="44"/>
      <c r="M309" s="12">
        <v>2020</v>
      </c>
      <c r="N309" s="12">
        <v>2021</v>
      </c>
      <c r="O309" s="12">
        <v>2022</v>
      </c>
      <c r="P309" s="12">
        <v>2023</v>
      </c>
      <c r="Q309" s="12">
        <v>2024</v>
      </c>
      <c r="R309" s="12">
        <v>2025</v>
      </c>
      <c r="S309" s="12">
        <v>2026</v>
      </c>
      <c r="T309" s="12">
        <v>2027</v>
      </c>
      <c r="U309" s="12">
        <v>2028</v>
      </c>
      <c r="V309" s="12">
        <v>2029</v>
      </c>
      <c r="W309" s="12">
        <v>2030</v>
      </c>
      <c r="X309" s="12">
        <v>2031</v>
      </c>
      <c r="Y309" s="12">
        <v>2032</v>
      </c>
      <c r="Z309" s="12">
        <v>2033</v>
      </c>
      <c r="AA309" s="12">
        <v>2034</v>
      </c>
      <c r="AB309" s="12">
        <v>2035</v>
      </c>
      <c r="AC309" s="12">
        <v>2036</v>
      </c>
      <c r="AD309" s="12">
        <v>2037</v>
      </c>
      <c r="AE309" s="12">
        <v>2038</v>
      </c>
      <c r="AF309" s="12">
        <v>2039</v>
      </c>
      <c r="AG309" s="12">
        <v>2040</v>
      </c>
      <c r="AH309" s="12">
        <v>2041</v>
      </c>
      <c r="AI309" s="12">
        <v>2042</v>
      </c>
      <c r="AJ309" s="12">
        <v>2043</v>
      </c>
      <c r="AK309" s="12">
        <v>2044</v>
      </c>
      <c r="AL309" s="12">
        <v>2045</v>
      </c>
      <c r="AM309" s="12">
        <v>2046</v>
      </c>
      <c r="AN309" s="12">
        <v>2047</v>
      </c>
      <c r="AO309" s="12">
        <v>2048</v>
      </c>
      <c r="AP309" s="12">
        <v>2049</v>
      </c>
      <c r="AQ309" s="12">
        <v>2050</v>
      </c>
    </row>
    <row r="310" spans="7:43" ht="14.25" hidden="1" customHeight="1" x14ac:dyDescent="0.15">
      <c r="G310" s="7"/>
      <c r="H310" s="209" t="s">
        <v>96</v>
      </c>
      <c r="J310" s="155" t="s">
        <v>95</v>
      </c>
      <c r="K310" s="13" t="s">
        <v>94</v>
      </c>
      <c r="L310" s="13" t="s">
        <v>67</v>
      </c>
      <c r="M310" s="48">
        <f t="shared" ref="M310:AQ310" si="132" xml:space="preserve"> ((M$75 * M$350 *M$376 * (M181 * 1 + M278) +M213) * 1000 / (M85 * 8760)) + M245 + 0</f>
        <v>120.61802847536711</v>
      </c>
      <c r="N310" s="48">
        <f t="shared" si="132"/>
        <v>116.69789567411001</v>
      </c>
      <c r="O310" s="48">
        <f t="shared" si="132"/>
        <v>107.43981856183093</v>
      </c>
      <c r="P310" s="48">
        <f t="shared" si="132"/>
        <v>98.253469206911888</v>
      </c>
      <c r="Q310" s="48">
        <f t="shared" si="132"/>
        <v>92.173819782053187</v>
      </c>
      <c r="R310" s="48">
        <f t="shared" si="132"/>
        <v>82.809135553390291</v>
      </c>
      <c r="S310" s="48">
        <f t="shared" si="132"/>
        <v>82.606162247423342</v>
      </c>
      <c r="T310" s="48">
        <f t="shared" si="132"/>
        <v>73.156164211237851</v>
      </c>
      <c r="U310" s="48">
        <f t="shared" si="132"/>
        <v>63.497485809059548</v>
      </c>
      <c r="V310" s="48">
        <f t="shared" si="132"/>
        <v>53.632048973925798</v>
      </c>
      <c r="W310" s="48">
        <f t="shared" si="132"/>
        <v>43.561914459371636</v>
      </c>
      <c r="X310" s="48">
        <f t="shared" si="132"/>
        <v>42.947663955771915</v>
      </c>
      <c r="Y310" s="48">
        <f t="shared" si="132"/>
        <v>42.333413452172181</v>
      </c>
      <c r="Z310" s="48">
        <f t="shared" si="132"/>
        <v>41.719162948572453</v>
      </c>
      <c r="AA310" s="48">
        <f t="shared" si="132"/>
        <v>41.104912444972733</v>
      </c>
      <c r="AB310" s="48">
        <f t="shared" si="132"/>
        <v>40.490661941372991</v>
      </c>
      <c r="AC310" s="48">
        <f t="shared" si="132"/>
        <v>39.876411437773271</v>
      </c>
      <c r="AD310" s="48">
        <f t="shared" si="132"/>
        <v>39.262160934173544</v>
      </c>
      <c r="AE310" s="48">
        <f t="shared" si="132"/>
        <v>38.647910430573809</v>
      </c>
      <c r="AF310" s="48">
        <f t="shared" si="132"/>
        <v>38.033659926974082</v>
      </c>
      <c r="AG310" s="48">
        <f t="shared" si="132"/>
        <v>37.419409423374354</v>
      </c>
      <c r="AH310" s="48">
        <f t="shared" si="132"/>
        <v>36.805158919774634</v>
      </c>
      <c r="AI310" s="48">
        <f t="shared" si="132"/>
        <v>36.190908416174899</v>
      </c>
      <c r="AJ310" s="48">
        <f t="shared" si="132"/>
        <v>35.576657912575165</v>
      </c>
      <c r="AK310" s="48">
        <f t="shared" si="132"/>
        <v>34.962407408975444</v>
      </c>
      <c r="AL310" s="48">
        <f t="shared" si="132"/>
        <v>34.34815690537571</v>
      </c>
      <c r="AM310" s="48">
        <f t="shared" si="132"/>
        <v>33.73390640177599</v>
      </c>
      <c r="AN310" s="48">
        <f t="shared" si="132"/>
        <v>33.119655898176262</v>
      </c>
      <c r="AO310" s="48">
        <f t="shared" si="132"/>
        <v>32.50540539457652</v>
      </c>
      <c r="AP310" s="48">
        <f t="shared" si="132"/>
        <v>31.8911548909768</v>
      </c>
      <c r="AQ310" s="48">
        <f t="shared" si="132"/>
        <v>31.276904387377122</v>
      </c>
    </row>
    <row r="311" spans="7:43" ht="14.25" hidden="1" customHeight="1" x14ac:dyDescent="0.15">
      <c r="G311" s="7"/>
      <c r="H311" s="209"/>
      <c r="J311" s="156"/>
      <c r="K311" s="5" t="s">
        <v>94</v>
      </c>
      <c r="L311" s="47" t="s">
        <v>66</v>
      </c>
      <c r="M311" s="46">
        <f t="shared" ref="M311:AQ311" si="133" xml:space="preserve"> ((M$76 * M$351 *M$377 * (M182 * 1 + M279) +M214) * 1000 / (M86 * 8760)) + M246 + 0</f>
        <v>120.90557025983605</v>
      </c>
      <c r="N311" s="46">
        <f t="shared" si="133"/>
        <v>117.25343062367263</v>
      </c>
      <c r="O311" s="46">
        <f t="shared" si="133"/>
        <v>109.2807436893587</v>
      </c>
      <c r="P311" s="46">
        <f t="shared" si="133"/>
        <v>101.33257524013698</v>
      </c>
      <c r="Q311" s="46">
        <f t="shared" si="133"/>
        <v>96.594222884866852</v>
      </c>
      <c r="R311" s="46">
        <f t="shared" si="133"/>
        <v>88.415684802879525</v>
      </c>
      <c r="S311" s="46">
        <f t="shared" si="133"/>
        <v>90.217766978292985</v>
      </c>
      <c r="T311" s="46">
        <f t="shared" si="133"/>
        <v>82.124421569060772</v>
      </c>
      <c r="U311" s="46">
        <f t="shared" si="133"/>
        <v>73.804183203173295</v>
      </c>
      <c r="V311" s="46">
        <f t="shared" si="133"/>
        <v>65.257619488841982</v>
      </c>
      <c r="W311" s="46">
        <f t="shared" si="133"/>
        <v>56.485446520945288</v>
      </c>
      <c r="X311" s="46">
        <f t="shared" si="133"/>
        <v>55.823437827867508</v>
      </c>
      <c r="Y311" s="46">
        <f t="shared" si="133"/>
        <v>55.16313430379779</v>
      </c>
      <c r="Z311" s="46">
        <f t="shared" si="133"/>
        <v>54.504529369075854</v>
      </c>
      <c r="AA311" s="46">
        <f t="shared" si="133"/>
        <v>53.847616477849456</v>
      </c>
      <c r="AB311" s="46">
        <f t="shared" si="133"/>
        <v>53.192389117857545</v>
      </c>
      <c r="AC311" s="46">
        <f t="shared" si="133"/>
        <v>52.538840810215035</v>
      </c>
      <c r="AD311" s="46">
        <f t="shared" si="133"/>
        <v>51.886965109199274</v>
      </c>
      <c r="AE311" s="46">
        <f t="shared" si="133"/>
        <v>51.236755602038123</v>
      </c>
      <c r="AF311" s="46">
        <f t="shared" si="133"/>
        <v>50.588205908699727</v>
      </c>
      <c r="AG311" s="46">
        <f t="shared" si="133"/>
        <v>49.941309681683741</v>
      </c>
      <c r="AH311" s="46">
        <f t="shared" si="133"/>
        <v>49.29606060581434</v>
      </c>
      <c r="AI311" s="46">
        <f t="shared" si="133"/>
        <v>48.652452398034661</v>
      </c>
      <c r="AJ311" s="46">
        <f t="shared" si="133"/>
        <v>48.01047880720288</v>
      </c>
      <c r="AK311" s="46">
        <f t="shared" si="133"/>
        <v>47.370133613889834</v>
      </c>
      <c r="AL311" s="46">
        <f t="shared" si="133"/>
        <v>46.731410630178168</v>
      </c>
      <c r="AM311" s="46">
        <f t="shared" si="133"/>
        <v>46.094303699463012</v>
      </c>
      <c r="AN311" s="46">
        <f t="shared" si="133"/>
        <v>45.458806696254186</v>
      </c>
      <c r="AO311" s="46">
        <f t="shared" si="133"/>
        <v>44.824913525979838</v>
      </c>
      <c r="AP311" s="46">
        <f t="shared" si="133"/>
        <v>44.192618124791693</v>
      </c>
      <c r="AQ311" s="46">
        <f t="shared" si="133"/>
        <v>43.561914459371636</v>
      </c>
    </row>
    <row r="312" spans="7:43" ht="14.25" hidden="1" customHeight="1" thickBot="1" x14ac:dyDescent="0.2">
      <c r="G312" s="7"/>
      <c r="H312" s="209"/>
      <c r="J312" s="156"/>
      <c r="K312" s="14" t="s">
        <v>94</v>
      </c>
      <c r="L312" s="14" t="s">
        <v>62</v>
      </c>
      <c r="M312" s="45">
        <f t="shared" ref="M312:AQ312" si="134" xml:space="preserve"> ((M$77 * M$352 *M$378 * (M183 * 1 + M280) +M215) * 1000 / (M87 * 8760)) + M247 + 0</f>
        <v>121.09263186877895</v>
      </c>
      <c r="N312" s="45">
        <f t="shared" si="134"/>
        <v>117.61625287147147</v>
      </c>
      <c r="O312" s="45">
        <f t="shared" si="134"/>
        <v>115.86917451229394</v>
      </c>
      <c r="P312" s="45">
        <f t="shared" si="134"/>
        <v>114.12209615311642</v>
      </c>
      <c r="Q312" s="45">
        <f t="shared" si="134"/>
        <v>116.22998408094314</v>
      </c>
      <c r="R312" s="45">
        <f t="shared" si="134"/>
        <v>114.42114627985535</v>
      </c>
      <c r="S312" s="45">
        <f t="shared" si="134"/>
        <v>126.74736643626147</v>
      </c>
      <c r="T312" s="45">
        <f t="shared" si="134"/>
        <v>126.3997581652249</v>
      </c>
      <c r="U312" s="45">
        <f t="shared" si="134"/>
        <v>125.99607048414931</v>
      </c>
      <c r="V312" s="45">
        <f t="shared" si="134"/>
        <v>125.53576488366311</v>
      </c>
      <c r="W312" s="45">
        <f t="shared" si="134"/>
        <v>125.01834164797923</v>
      </c>
      <c r="X312" s="45">
        <f t="shared" si="134"/>
        <v>121.53634221398985</v>
      </c>
      <c r="Y312" s="45">
        <f t="shared" si="134"/>
        <v>118.06025868572624</v>
      </c>
      <c r="Z312" s="45">
        <f t="shared" si="134"/>
        <v>114.59007599932823</v>
      </c>
      <c r="AA312" s="45">
        <f t="shared" si="134"/>
        <v>111.12577914203567</v>
      </c>
      <c r="AB312" s="45">
        <f t="shared" si="134"/>
        <v>107.66735315197209</v>
      </c>
      <c r="AC312" s="45">
        <f t="shared" si="134"/>
        <v>104.21478311792917</v>
      </c>
      <c r="AD312" s="45">
        <f t="shared" si="134"/>
        <v>100.7680541791524</v>
      </c>
      <c r="AE312" s="45">
        <f t="shared" si="134"/>
        <v>97.327151525128002</v>
      </c>
      <c r="AF312" s="45">
        <f t="shared" si="134"/>
        <v>93.892060395370805</v>
      </c>
      <c r="AG312" s="45">
        <f t="shared" si="134"/>
        <v>90.462766079212997</v>
      </c>
      <c r="AH312" s="45">
        <f t="shared" si="134"/>
        <v>87.039253915594301</v>
      </c>
      <c r="AI312" s="45">
        <f t="shared" si="134"/>
        <v>83.621509292852963</v>
      </c>
      <c r="AJ312" s="45">
        <f t="shared" si="134"/>
        <v>80.209517648517959</v>
      </c>
      <c r="AK312" s="45">
        <f t="shared" si="134"/>
        <v>76.803264469102004</v>
      </c>
      <c r="AL312" s="45">
        <f t="shared" si="134"/>
        <v>73.402735289895986</v>
      </c>
      <c r="AM312" s="45">
        <f t="shared" si="134"/>
        <v>70.007915694763966</v>
      </c>
      <c r="AN312" s="45">
        <f t="shared" si="134"/>
        <v>66.618791315939731</v>
      </c>
      <c r="AO312" s="45">
        <f t="shared" si="134"/>
        <v>63.23534783382388</v>
      </c>
      <c r="AP312" s="45">
        <f t="shared" si="134"/>
        <v>59.857570976782242</v>
      </c>
      <c r="AQ312" s="45">
        <f t="shared" si="134"/>
        <v>56.485446520945288</v>
      </c>
    </row>
    <row r="313" spans="7:43" ht="14.25" hidden="1" customHeight="1" thickTop="1" x14ac:dyDescent="0.15">
      <c r="G313" s="7"/>
      <c r="H313" s="209"/>
      <c r="J313" s="156"/>
      <c r="K313" s="13" t="s">
        <v>93</v>
      </c>
      <c r="L313" s="13" t="s">
        <v>67</v>
      </c>
      <c r="M313" s="48">
        <f t="shared" ref="M313:AQ313" si="135" xml:space="preserve"> ((M$75 * M$350 *M$376 * (M184 * 1 + M281) +M216) * 1000 / (M88 * 8760)) + M248 + 0</f>
        <v>110.11920886446487</v>
      </c>
      <c r="N313" s="48">
        <f t="shared" si="135"/>
        <v>106.54029178072038</v>
      </c>
      <c r="O313" s="48">
        <f t="shared" si="135"/>
        <v>98.088055078654037</v>
      </c>
      <c r="P313" s="48">
        <f t="shared" si="135"/>
        <v>89.701302815306761</v>
      </c>
      <c r="Q313" s="48">
        <f t="shared" si="135"/>
        <v>84.150837488513076</v>
      </c>
      <c r="R313" s="48">
        <f t="shared" si="135"/>
        <v>75.601272953585436</v>
      </c>
      <c r="S313" s="48">
        <f t="shared" si="135"/>
        <v>75.415966825171566</v>
      </c>
      <c r="T313" s="48">
        <f t="shared" si="135"/>
        <v>66.788514356670873</v>
      </c>
      <c r="U313" s="48">
        <f t="shared" si="135"/>
        <v>57.970545452947817</v>
      </c>
      <c r="V313" s="48">
        <f t="shared" si="135"/>
        <v>48.963814758380551</v>
      </c>
      <c r="W313" s="48">
        <f t="shared" si="135"/>
        <v>39.770203654648128</v>
      </c>
      <c r="X313" s="48">
        <f t="shared" si="135"/>
        <v>39.209418667892898</v>
      </c>
      <c r="Y313" s="48">
        <f t="shared" si="135"/>
        <v>38.64863368113766</v>
      </c>
      <c r="Z313" s="48">
        <f t="shared" si="135"/>
        <v>38.087848694382423</v>
      </c>
      <c r="AA313" s="48">
        <f t="shared" si="135"/>
        <v>37.527063707627192</v>
      </c>
      <c r="AB313" s="48">
        <f t="shared" si="135"/>
        <v>36.966278720871955</v>
      </c>
      <c r="AC313" s="48">
        <f t="shared" si="135"/>
        <v>36.405493734116725</v>
      </c>
      <c r="AD313" s="48">
        <f t="shared" si="135"/>
        <v>35.844708747361487</v>
      </c>
      <c r="AE313" s="48">
        <f t="shared" si="135"/>
        <v>35.28392376060625</v>
      </c>
      <c r="AF313" s="48">
        <f t="shared" si="135"/>
        <v>34.723138773851019</v>
      </c>
      <c r="AG313" s="48">
        <f t="shared" si="135"/>
        <v>34.162353787095789</v>
      </c>
      <c r="AH313" s="48">
        <f t="shared" si="135"/>
        <v>33.601568800340559</v>
      </c>
      <c r="AI313" s="48">
        <f t="shared" si="135"/>
        <v>33.040783813585314</v>
      </c>
      <c r="AJ313" s="48">
        <f t="shared" si="135"/>
        <v>32.479998826830077</v>
      </c>
      <c r="AK313" s="48">
        <f t="shared" si="135"/>
        <v>31.91921384007485</v>
      </c>
      <c r="AL313" s="48">
        <f t="shared" si="135"/>
        <v>31.358428853319612</v>
      </c>
      <c r="AM313" s="48">
        <f t="shared" si="135"/>
        <v>30.797643866564385</v>
      </c>
      <c r="AN313" s="48">
        <f t="shared" si="135"/>
        <v>30.236858879809148</v>
      </c>
      <c r="AO313" s="48">
        <f t="shared" si="135"/>
        <v>29.676073893053907</v>
      </c>
      <c r="AP313" s="48">
        <f t="shared" si="135"/>
        <v>29.115288906298677</v>
      </c>
      <c r="AQ313" s="48">
        <f t="shared" si="135"/>
        <v>28.554503919543489</v>
      </c>
    </row>
    <row r="314" spans="7:43" ht="14.25" hidden="1" customHeight="1" x14ac:dyDescent="0.15">
      <c r="G314" s="7"/>
      <c r="H314" s="209"/>
      <c r="J314" s="156"/>
      <c r="K314" s="5" t="s">
        <v>93</v>
      </c>
      <c r="L314" s="47" t="s">
        <v>66</v>
      </c>
      <c r="M314" s="46">
        <f t="shared" ref="M314:AQ314" si="136" xml:space="preserve"> ((M$76 * M$351 *M$377 * (M185 * 1 + M282) +M217) * 1000 / (M89 * 8760)) + M249 + 0</f>
        <v>110.38172247226821</v>
      </c>
      <c r="N314" s="46">
        <f t="shared" si="136"/>
        <v>107.04747192547698</v>
      </c>
      <c r="O314" s="46">
        <f t="shared" si="136"/>
        <v>99.768742627476527</v>
      </c>
      <c r="P314" s="46">
        <f t="shared" si="136"/>
        <v>92.512397679602145</v>
      </c>
      <c r="Q314" s="46">
        <f t="shared" si="136"/>
        <v>88.186480407707919</v>
      </c>
      <c r="R314" s="46">
        <f t="shared" si="136"/>
        <v>80.719817632331299</v>
      </c>
      <c r="S314" s="46">
        <f t="shared" si="136"/>
        <v>82.365043192503748</v>
      </c>
      <c r="T314" s="46">
        <f t="shared" si="136"/>
        <v>74.976157759730242</v>
      </c>
      <c r="U314" s="46">
        <f t="shared" si="136"/>
        <v>67.38012855915008</v>
      </c>
      <c r="V314" s="46">
        <f t="shared" si="136"/>
        <v>59.57747379329053</v>
      </c>
      <c r="W314" s="46">
        <f t="shared" si="136"/>
        <v>51.568847226787682</v>
      </c>
      <c r="X314" s="46">
        <f t="shared" si="136"/>
        <v>50.964461013013597</v>
      </c>
      <c r="Y314" s="46">
        <f t="shared" si="136"/>
        <v>50.361631547136319</v>
      </c>
      <c r="Z314" s="46">
        <f t="shared" si="136"/>
        <v>49.760352822201575</v>
      </c>
      <c r="AA314" s="46">
        <f t="shared" si="136"/>
        <v>49.16061886212038</v>
      </c>
      <c r="AB314" s="46">
        <f t="shared" si="136"/>
        <v>48.562423721471113</v>
      </c>
      <c r="AC314" s="46">
        <f t="shared" si="136"/>
        <v>47.965761485302984</v>
      </c>
      <c r="AD314" s="46">
        <f t="shared" si="136"/>
        <v>47.370626268941166</v>
      </c>
      <c r="AE314" s="46">
        <f t="shared" si="136"/>
        <v>46.777012217793235</v>
      </c>
      <c r="AF314" s="46">
        <f t="shared" si="136"/>
        <v>46.184913507157283</v>
      </c>
      <c r="AG314" s="46">
        <f t="shared" si="136"/>
        <v>45.594324342031321</v>
      </c>
      <c r="AH314" s="46">
        <f t="shared" si="136"/>
        <v>45.005238956924273</v>
      </c>
      <c r="AI314" s="46">
        <f t="shared" si="136"/>
        <v>44.417651615668319</v>
      </c>
      <c r="AJ314" s="46">
        <f t="shared" si="136"/>
        <v>43.831556611232791</v>
      </c>
      <c r="AK314" s="46">
        <f t="shared" si="136"/>
        <v>43.246948265539302</v>
      </c>
      <c r="AL314" s="46">
        <f t="shared" si="136"/>
        <v>42.663820929278437</v>
      </c>
      <c r="AM314" s="46">
        <f t="shared" si="136"/>
        <v>42.082168981727754</v>
      </c>
      <c r="AN314" s="46">
        <f t="shared" si="136"/>
        <v>41.501986830571262</v>
      </c>
      <c r="AO314" s="46">
        <f t="shared" si="136"/>
        <v>40.923268911720072</v>
      </c>
      <c r="AP314" s="46">
        <f t="shared" si="136"/>
        <v>40.346009689134632</v>
      </c>
      <c r="AQ314" s="46">
        <f t="shared" si="136"/>
        <v>39.770203654648128</v>
      </c>
    </row>
    <row r="315" spans="7:43" ht="14.25" hidden="1" customHeight="1" thickBot="1" x14ac:dyDescent="0.2">
      <c r="G315" s="7"/>
      <c r="H315" s="209"/>
      <c r="J315" s="156"/>
      <c r="K315" s="14" t="s">
        <v>93</v>
      </c>
      <c r="L315" s="14" t="s">
        <v>62</v>
      </c>
      <c r="M315" s="45">
        <f t="shared" ref="M315:AQ315" si="137" xml:space="preserve"> ((M$77 * M$352 *M$378 * (M186 * 1 + M283) +M218) * 1000 / (M90 * 8760)) + M250 + 0</f>
        <v>110.55250188763489</v>
      </c>
      <c r="N315" s="45">
        <f t="shared" si="137"/>
        <v>107.37871344377285</v>
      </c>
      <c r="O315" s="45">
        <f t="shared" si="137"/>
        <v>105.78370406442333</v>
      </c>
      <c r="P315" s="45">
        <f t="shared" si="137"/>
        <v>104.18869468507383</v>
      </c>
      <c r="Q315" s="45">
        <f t="shared" si="137"/>
        <v>106.11310809094076</v>
      </c>
      <c r="R315" s="45">
        <f t="shared" si="137"/>
        <v>104.46171492743366</v>
      </c>
      <c r="S315" s="45">
        <f t="shared" si="137"/>
        <v>115.71503774384716</v>
      </c>
      <c r="T315" s="45">
        <f t="shared" si="137"/>
        <v>115.39768594921799</v>
      </c>
      <c r="U315" s="45">
        <f t="shared" si="137"/>
        <v>115.02913600166637</v>
      </c>
      <c r="V315" s="45">
        <f t="shared" si="137"/>
        <v>114.60889626468729</v>
      </c>
      <c r="W315" s="45">
        <f t="shared" si="137"/>
        <v>114.13651051869381</v>
      </c>
      <c r="X315" s="45">
        <f t="shared" si="137"/>
        <v>110.95759085150883</v>
      </c>
      <c r="Y315" s="45">
        <f t="shared" si="137"/>
        <v>107.78407215851045</v>
      </c>
      <c r="Z315" s="45">
        <f t="shared" si="137"/>
        <v>104.61594068702524</v>
      </c>
      <c r="AA315" s="45">
        <f t="shared" si="137"/>
        <v>101.4531827310318</v>
      </c>
      <c r="AB315" s="45">
        <f t="shared" si="137"/>
        <v>98.295784630963553</v>
      </c>
      <c r="AC315" s="45">
        <f t="shared" si="137"/>
        <v>95.143732773511644</v>
      </c>
      <c r="AD315" s="45">
        <f t="shared" si="137"/>
        <v>91.997013591429621</v>
      </c>
      <c r="AE315" s="45">
        <f t="shared" si="137"/>
        <v>88.855613563338579</v>
      </c>
      <c r="AF315" s="45">
        <f t="shared" si="137"/>
        <v>85.719519213533701</v>
      </c>
      <c r="AG315" s="45">
        <f t="shared" si="137"/>
        <v>82.588717111791297</v>
      </c>
      <c r="AH315" s="45">
        <f t="shared" si="137"/>
        <v>79.463193873177332</v>
      </c>
      <c r="AI315" s="45">
        <f t="shared" si="137"/>
        <v>76.342936157856471</v>
      </c>
      <c r="AJ315" s="45">
        <f t="shared" si="137"/>
        <v>73.227930670902524</v>
      </c>
      <c r="AK315" s="45">
        <f t="shared" si="137"/>
        <v>70.11816416210938</v>
      </c>
      <c r="AL315" s="45">
        <f t="shared" si="137"/>
        <v>67.013623425803388</v>
      </c>
      <c r="AM315" s="45">
        <f t="shared" si="137"/>
        <v>63.914295300656107</v>
      </c>
      <c r="AN315" s="45">
        <f t="shared" si="137"/>
        <v>60.820166669498676</v>
      </c>
      <c r="AO315" s="45">
        <f t="shared" si="137"/>
        <v>57.731224459136506</v>
      </c>
      <c r="AP315" s="45">
        <f t="shared" si="137"/>
        <v>54.647455640165255</v>
      </c>
      <c r="AQ315" s="45">
        <f t="shared" si="137"/>
        <v>51.568847226787682</v>
      </c>
    </row>
    <row r="316" spans="7:43" ht="14.25" hidden="1" customHeight="1" thickTop="1" x14ac:dyDescent="0.15">
      <c r="G316" s="7"/>
      <c r="H316" s="209"/>
      <c r="J316" s="156"/>
      <c r="K316" s="13" t="s">
        <v>92</v>
      </c>
      <c r="L316" s="13" t="s">
        <v>67</v>
      </c>
      <c r="M316" s="48">
        <f t="shared" ref="M316:AQ316" si="138" xml:space="preserve"> ((M$75 * M$350 *M$376 * (M187 * 1 + M284) +M219) * 1000 / (M91 * 8760)) + M251 + 0</f>
        <v>105.7358627342898</v>
      </c>
      <c r="N316" s="48">
        <f t="shared" si="138"/>
        <v>102.29940610327664</v>
      </c>
      <c r="O316" s="48">
        <f t="shared" si="138"/>
        <v>94.183614599294913</v>
      </c>
      <c r="P316" s="48">
        <f t="shared" si="138"/>
        <v>86.130700895608257</v>
      </c>
      <c r="Q316" s="48">
        <f t="shared" si="138"/>
        <v>80.8011744128342</v>
      </c>
      <c r="R316" s="48">
        <f t="shared" si="138"/>
        <v>72.591929255472948</v>
      </c>
      <c r="S316" s="48">
        <f t="shared" si="138"/>
        <v>72.413999323358127</v>
      </c>
      <c r="T316" s="48">
        <f t="shared" si="138"/>
        <v>64.129966597707352</v>
      </c>
      <c r="U316" s="48">
        <f t="shared" si="138"/>
        <v>55.663001031809877</v>
      </c>
      <c r="V316" s="48">
        <f t="shared" si="138"/>
        <v>47.014787425611381</v>
      </c>
      <c r="W316" s="48">
        <f t="shared" si="138"/>
        <v>38.18713227152152</v>
      </c>
      <c r="X316" s="48">
        <f t="shared" si="138"/>
        <v>37.648669590991524</v>
      </c>
      <c r="Y316" s="48">
        <f t="shared" si="138"/>
        <v>37.110206910461535</v>
      </c>
      <c r="Z316" s="48">
        <f t="shared" si="138"/>
        <v>36.571744229931539</v>
      </c>
      <c r="AA316" s="48">
        <f t="shared" si="138"/>
        <v>36.033281549401551</v>
      </c>
      <c r="AB316" s="48">
        <f t="shared" si="138"/>
        <v>35.494818868871548</v>
      </c>
      <c r="AC316" s="48">
        <f t="shared" si="138"/>
        <v>34.956356188341559</v>
      </c>
      <c r="AD316" s="48">
        <f t="shared" si="138"/>
        <v>34.417893507811563</v>
      </c>
      <c r="AE316" s="48">
        <f t="shared" si="138"/>
        <v>33.879430827281567</v>
      </c>
      <c r="AF316" s="48">
        <f t="shared" si="138"/>
        <v>33.340968146751571</v>
      </c>
      <c r="AG316" s="48">
        <f t="shared" si="138"/>
        <v>32.802505466221582</v>
      </c>
      <c r="AH316" s="48">
        <f t="shared" si="138"/>
        <v>32.264042785691593</v>
      </c>
      <c r="AI316" s="48">
        <f t="shared" si="138"/>
        <v>31.725580105161594</v>
      </c>
      <c r="AJ316" s="48">
        <f t="shared" si="138"/>
        <v>31.187117424631602</v>
      </c>
      <c r="AK316" s="48">
        <f t="shared" si="138"/>
        <v>30.648654744101613</v>
      </c>
      <c r="AL316" s="48">
        <f t="shared" si="138"/>
        <v>30.110192063571617</v>
      </c>
      <c r="AM316" s="48">
        <f t="shared" si="138"/>
        <v>29.571729383041628</v>
      </c>
      <c r="AN316" s="48">
        <f t="shared" si="138"/>
        <v>29.033266702511632</v>
      </c>
      <c r="AO316" s="48">
        <f t="shared" si="138"/>
        <v>28.494804021981633</v>
      </c>
      <c r="AP316" s="48">
        <f t="shared" si="138"/>
        <v>27.956341341451644</v>
      </c>
      <c r="AQ316" s="48">
        <f t="shared" si="138"/>
        <v>27.417878660921694</v>
      </c>
    </row>
    <row r="317" spans="7:43" ht="14.25" hidden="1" customHeight="1" x14ac:dyDescent="0.15">
      <c r="G317" s="7"/>
      <c r="H317" s="209"/>
      <c r="J317" s="156"/>
      <c r="K317" s="5" t="s">
        <v>92</v>
      </c>
      <c r="L317" s="47" t="s">
        <v>66</v>
      </c>
      <c r="M317" s="46">
        <f t="shared" ref="M317:AQ317" si="139" xml:space="preserve"> ((M$76 * M$351 *M$377 * (M188 * 1 + M285) +M220) * 1000 / (M92 * 8760)) + M252 + 0</f>
        <v>105.9879268663046</v>
      </c>
      <c r="N317" s="46">
        <f t="shared" si="139"/>
        <v>102.78639770738042</v>
      </c>
      <c r="O317" s="46">
        <f t="shared" si="139"/>
        <v>95.797401601526758</v>
      </c>
      <c r="P317" s="46">
        <f t="shared" si="139"/>
        <v>88.829898826371135</v>
      </c>
      <c r="Q317" s="46">
        <f t="shared" si="139"/>
        <v>84.676176695803733</v>
      </c>
      <c r="R317" s="46">
        <f t="shared" si="139"/>
        <v>77.506727891715741</v>
      </c>
      <c r="S317" s="46">
        <f t="shared" si="139"/>
        <v>79.086464486186301</v>
      </c>
      <c r="T317" s="46">
        <f t="shared" si="139"/>
        <v>71.991697061542666</v>
      </c>
      <c r="U317" s="46">
        <f t="shared" si="139"/>
        <v>64.698031322745464</v>
      </c>
      <c r="V317" s="46">
        <f t="shared" si="139"/>
        <v>57.205964845030238</v>
      </c>
      <c r="W317" s="46">
        <f t="shared" si="139"/>
        <v>49.516125369628824</v>
      </c>
      <c r="X317" s="46">
        <f t="shared" si="139"/>
        <v>48.935797029123123</v>
      </c>
      <c r="Y317" s="46">
        <f t="shared" si="139"/>
        <v>48.356963469442931</v>
      </c>
      <c r="Z317" s="46">
        <f t="shared" si="139"/>
        <v>47.779618922743552</v>
      </c>
      <c r="AA317" s="46">
        <f t="shared" si="139"/>
        <v>47.203757650816975</v>
      </c>
      <c r="AB317" s="46">
        <f t="shared" si="139"/>
        <v>46.629373944901864</v>
      </c>
      <c r="AC317" s="46">
        <f t="shared" si="139"/>
        <v>46.056462125494804</v>
      </c>
      <c r="AD317" s="46">
        <f t="shared" si="139"/>
        <v>45.48501654216313</v>
      </c>
      <c r="AE317" s="46">
        <f t="shared" si="139"/>
        <v>44.915031573359215</v>
      </c>
      <c r="AF317" s="46">
        <f t="shared" si="139"/>
        <v>44.346501626236098</v>
      </c>
      <c r="AG317" s="46">
        <f t="shared" si="139"/>
        <v>43.779421136464535</v>
      </c>
      <c r="AH317" s="46">
        <f t="shared" si="139"/>
        <v>43.213784568051487</v>
      </c>
      <c r="AI317" s="46">
        <f t="shared" si="139"/>
        <v>42.649586413159952</v>
      </c>
      <c r="AJ317" s="46">
        <f t="shared" si="139"/>
        <v>42.086821191930269</v>
      </c>
      <c r="AK317" s="46">
        <f t="shared" si="139"/>
        <v>41.525483452302581</v>
      </c>
      <c r="AL317" s="46">
        <f t="shared" si="139"/>
        <v>40.96556776984086</v>
      </c>
      <c r="AM317" s="46">
        <f t="shared" si="139"/>
        <v>40.407068747558135</v>
      </c>
      <c r="AN317" s="46">
        <f t="shared" si="139"/>
        <v>39.849981015743118</v>
      </c>
      <c r="AO317" s="46">
        <f t="shared" si="139"/>
        <v>39.294299231788074</v>
      </c>
      <c r="AP317" s="46">
        <f t="shared" si="139"/>
        <v>38.740018080018075</v>
      </c>
      <c r="AQ317" s="46">
        <f t="shared" si="139"/>
        <v>38.18713227152152</v>
      </c>
    </row>
    <row r="318" spans="7:43" ht="14.25" hidden="1" customHeight="1" thickBot="1" x14ac:dyDescent="0.2">
      <c r="G318" s="7"/>
      <c r="H318" s="209"/>
      <c r="J318" s="156"/>
      <c r="K318" s="14" t="s">
        <v>92</v>
      </c>
      <c r="L318" s="14" t="s">
        <v>62</v>
      </c>
      <c r="M318" s="45">
        <f t="shared" ref="M318:AQ318" si="140" xml:space="preserve"> ((M$77 * M$352 *M$378 * (M189 * 1 + M286) +M221) * 1000 / (M93 * 8760)) + M253 + 0</f>
        <v>106.15190832791571</v>
      </c>
      <c r="N318" s="45">
        <f t="shared" si="140"/>
        <v>103.104454003567</v>
      </c>
      <c r="O318" s="45">
        <f t="shared" si="140"/>
        <v>101.57293471157517</v>
      </c>
      <c r="P318" s="45">
        <f t="shared" si="140"/>
        <v>100.04141541958336</v>
      </c>
      <c r="Q318" s="45">
        <f t="shared" si="140"/>
        <v>101.88922665819493</v>
      </c>
      <c r="R318" s="45">
        <f t="shared" si="140"/>
        <v>100.3035679646981</v>
      </c>
      <c r="S318" s="45">
        <f t="shared" si="140"/>
        <v>111.10894705242347</v>
      </c>
      <c r="T318" s="45">
        <f t="shared" si="140"/>
        <v>110.8042275930175</v>
      </c>
      <c r="U318" s="45">
        <f t="shared" si="140"/>
        <v>110.45034794688775</v>
      </c>
      <c r="V318" s="45">
        <f t="shared" si="140"/>
        <v>110.04683604734799</v>
      </c>
      <c r="W318" s="45">
        <f t="shared" si="140"/>
        <v>109.59325383484338</v>
      </c>
      <c r="X318" s="45">
        <f t="shared" si="140"/>
        <v>106.54087253789351</v>
      </c>
      <c r="Y318" s="45">
        <f t="shared" si="140"/>
        <v>103.49367722685035</v>
      </c>
      <c r="Z318" s="45">
        <f t="shared" si="140"/>
        <v>100.45165469647198</v>
      </c>
      <c r="AA318" s="45">
        <f t="shared" si="140"/>
        <v>97.414791786311511</v>
      </c>
      <c r="AB318" s="45">
        <f t="shared" si="140"/>
        <v>94.383075380527757</v>
      </c>
      <c r="AC318" s="45">
        <f t="shared" si="140"/>
        <v>91.356492407695967</v>
      </c>
      <c r="AD318" s="45">
        <f t="shared" si="140"/>
        <v>88.335029840620152</v>
      </c>
      <c r="AE318" s="45">
        <f t="shared" si="140"/>
        <v>85.318674696146218</v>
      </c>
      <c r="AF318" s="45">
        <f t="shared" si="140"/>
        <v>82.307414034975992</v>
      </c>
      <c r="AG318" s="45">
        <f t="shared" si="140"/>
        <v>79.301234961482066</v>
      </c>
      <c r="AH318" s="45">
        <f t="shared" si="140"/>
        <v>76.300124623523885</v>
      </c>
      <c r="AI318" s="45">
        <f t="shared" si="140"/>
        <v>73.304070212264492</v>
      </c>
      <c r="AJ318" s="45">
        <f t="shared" si="140"/>
        <v>70.313058961988347</v>
      </c>
      <c r="AK318" s="45">
        <f t="shared" si="140"/>
        <v>67.327078149919956</v>
      </c>
      <c r="AL318" s="45">
        <f t="shared" si="140"/>
        <v>64.346115096043604</v>
      </c>
      <c r="AM318" s="45">
        <f t="shared" si="140"/>
        <v>61.370157162923675</v>
      </c>
      <c r="AN318" s="45">
        <f t="shared" si="140"/>
        <v>58.399191755526225</v>
      </c>
      <c r="AO318" s="45">
        <f t="shared" si="140"/>
        <v>55.43320632104129</v>
      </c>
      <c r="AP318" s="45">
        <f t="shared" si="140"/>
        <v>52.472188348705977</v>
      </c>
      <c r="AQ318" s="45">
        <f t="shared" si="140"/>
        <v>49.516125369628824</v>
      </c>
    </row>
    <row r="319" spans="7:43" ht="14.25" hidden="1" customHeight="1" thickTop="1" x14ac:dyDescent="0.15">
      <c r="G319" s="7"/>
      <c r="H319" s="209"/>
      <c r="J319" s="156"/>
      <c r="K319" s="13" t="s">
        <v>91</v>
      </c>
      <c r="L319" s="13" t="s">
        <v>67</v>
      </c>
      <c r="M319" s="48">
        <f t="shared" ref="M319:AQ319" si="141" xml:space="preserve"> ((M$75 * M$350 *M$376 * (M190 * 1 + M287) +M222) * 1000 / (M94 * 8760)) + M254 + 0</f>
        <v>100.72414397007527</v>
      </c>
      <c r="N319" s="48">
        <f t="shared" si="141"/>
        <v>97.450570146604321</v>
      </c>
      <c r="O319" s="48">
        <f t="shared" si="141"/>
        <v>89.719454792371039</v>
      </c>
      <c r="P319" s="48">
        <f t="shared" si="141"/>
        <v>82.048236926517447</v>
      </c>
      <c r="Q319" s="48">
        <f t="shared" si="141"/>
        <v>76.971321877436608</v>
      </c>
      <c r="R319" s="48">
        <f t="shared" si="141"/>
        <v>69.151182430581301</v>
      </c>
      <c r="S319" s="48">
        <f t="shared" si="141"/>
        <v>68.981686106103808</v>
      </c>
      <c r="T319" s="48">
        <f t="shared" si="141"/>
        <v>61.09030390772817</v>
      </c>
      <c r="U319" s="48">
        <f t="shared" si="141"/>
        <v>53.024659606964761</v>
      </c>
      <c r="V319" s="48">
        <f t="shared" si="141"/>
        <v>44.786358146809263</v>
      </c>
      <c r="W319" s="48">
        <f t="shared" si="141"/>
        <v>36.377120394683999</v>
      </c>
      <c r="X319" s="48">
        <f t="shared" si="141"/>
        <v>35.86418002465544</v>
      </c>
      <c r="Y319" s="48">
        <f t="shared" si="141"/>
        <v>35.35123965462688</v>
      </c>
      <c r="Z319" s="48">
        <f t="shared" si="141"/>
        <v>34.838299284598314</v>
      </c>
      <c r="AA319" s="48">
        <f t="shared" si="141"/>
        <v>34.325358914569762</v>
      </c>
      <c r="AB319" s="48">
        <f t="shared" si="141"/>
        <v>33.812418544541188</v>
      </c>
      <c r="AC319" s="48">
        <f t="shared" si="141"/>
        <v>33.299478174512636</v>
      </c>
      <c r="AD319" s="48">
        <f t="shared" si="141"/>
        <v>32.78653780448407</v>
      </c>
      <c r="AE319" s="48">
        <f t="shared" si="141"/>
        <v>32.27359743445551</v>
      </c>
      <c r="AF319" s="48">
        <f t="shared" si="141"/>
        <v>31.760657064426947</v>
      </c>
      <c r="AG319" s="48">
        <f t="shared" si="141"/>
        <v>31.247716694398392</v>
      </c>
      <c r="AH319" s="48">
        <f t="shared" si="141"/>
        <v>30.734776324369836</v>
      </c>
      <c r="AI319" s="48">
        <f t="shared" si="141"/>
        <v>30.221835954341266</v>
      </c>
      <c r="AJ319" s="48">
        <f t="shared" si="141"/>
        <v>29.708895584312707</v>
      </c>
      <c r="AK319" s="48">
        <f t="shared" si="141"/>
        <v>29.195955214284147</v>
      </c>
      <c r="AL319" s="48">
        <f t="shared" si="141"/>
        <v>28.683014844255588</v>
      </c>
      <c r="AM319" s="48">
        <f t="shared" si="141"/>
        <v>28.170074474227029</v>
      </c>
      <c r="AN319" s="48">
        <f t="shared" si="141"/>
        <v>27.65713410419847</v>
      </c>
      <c r="AO319" s="48">
        <f t="shared" si="141"/>
        <v>27.1441937341699</v>
      </c>
      <c r="AP319" s="48">
        <f t="shared" si="141"/>
        <v>26.631253364141344</v>
      </c>
      <c r="AQ319" s="48">
        <f t="shared" si="141"/>
        <v>26.118312994112827</v>
      </c>
    </row>
    <row r="320" spans="7:43" ht="14.25" hidden="1" customHeight="1" x14ac:dyDescent="0.15">
      <c r="G320" s="7"/>
      <c r="H320" s="209"/>
      <c r="J320" s="156"/>
      <c r="K320" s="5" t="s">
        <v>91</v>
      </c>
      <c r="L320" s="47" t="s">
        <v>66</v>
      </c>
      <c r="M320" s="46">
        <f t="shared" ref="M320:AQ320" si="142" xml:space="preserve"> ((M$76 * M$351 *M$377 * (M191 * 1 + M288) +M223) * 1000 / (M95 * 8760)) + M255 + 0</f>
        <v>100.96426064634956</v>
      </c>
      <c r="N320" s="46">
        <f t="shared" si="142"/>
        <v>97.91447909079325</v>
      </c>
      <c r="O320" s="46">
        <f t="shared" si="142"/>
        <v>91.256750749924407</v>
      </c>
      <c r="P320" s="46">
        <f t="shared" si="142"/>
        <v>84.619496988631909</v>
      </c>
      <c r="Q320" s="46">
        <f t="shared" si="142"/>
        <v>80.662654957254802</v>
      </c>
      <c r="R320" s="46">
        <f t="shared" si="142"/>
        <v>73.833027101058605</v>
      </c>
      <c r="S320" s="46">
        <f t="shared" si="142"/>
        <v>75.337886588289578</v>
      </c>
      <c r="T320" s="46">
        <f t="shared" si="142"/>
        <v>68.579400327957984</v>
      </c>
      <c r="U320" s="46">
        <f t="shared" si="142"/>
        <v>61.631443230465358</v>
      </c>
      <c r="V320" s="46">
        <f t="shared" si="142"/>
        <v>54.494489286739338</v>
      </c>
      <c r="W320" s="46">
        <f t="shared" si="142"/>
        <v>47.16913648403392</v>
      </c>
      <c r="X320" s="46">
        <f t="shared" si="142"/>
        <v>46.616314822514013</v>
      </c>
      <c r="Y320" s="46">
        <f t="shared" si="142"/>
        <v>46.064917091486365</v>
      </c>
      <c r="Z320" s="46">
        <f t="shared" si="142"/>
        <v>45.514937796493314</v>
      </c>
      <c r="AA320" s="46">
        <f t="shared" si="142"/>
        <v>44.966371471309195</v>
      </c>
      <c r="AB320" s="46">
        <f t="shared" si="142"/>
        <v>44.419212677759226</v>
      </c>
      <c r="AC320" s="46">
        <f t="shared" si="142"/>
        <v>43.873456005539815</v>
      </c>
      <c r="AD320" s="46">
        <f t="shared" si="142"/>
        <v>43.329096072040201</v>
      </c>
      <c r="AE320" s="46">
        <f t="shared" si="142"/>
        <v>42.786127522165543</v>
      </c>
      <c r="AF320" s="46">
        <f t="shared" si="142"/>
        <v>42.244545028161298</v>
      </c>
      <c r="AG320" s="46">
        <f t="shared" si="142"/>
        <v>41.704343289438938</v>
      </c>
      <c r="AH320" s="46">
        <f t="shared" si="142"/>
        <v>41.165517032403073</v>
      </c>
      <c r="AI320" s="46">
        <f t="shared" si="142"/>
        <v>40.628061010279794</v>
      </c>
      <c r="AJ320" s="46">
        <f t="shared" si="142"/>
        <v>40.091970002946404</v>
      </c>
      <c r="AK320" s="46">
        <f t="shared" si="142"/>
        <v>39.557238816762407</v>
      </c>
      <c r="AL320" s="46">
        <f t="shared" si="142"/>
        <v>39.023862284401751</v>
      </c>
      <c r="AM320" s="46">
        <f t="shared" si="142"/>
        <v>38.491835264686443</v>
      </c>
      <c r="AN320" s="46">
        <f t="shared" si="142"/>
        <v>37.961152642421318</v>
      </c>
      <c r="AO320" s="46">
        <f t="shared" si="142"/>
        <v>37.431809328230109</v>
      </c>
      <c r="AP320" s="46">
        <f t="shared" si="142"/>
        <v>36.903800258392778</v>
      </c>
      <c r="AQ320" s="46">
        <f t="shared" si="142"/>
        <v>36.377120394683999</v>
      </c>
    </row>
    <row r="321" spans="7:43" ht="14.25" hidden="1" customHeight="1" thickBot="1" x14ac:dyDescent="0.2">
      <c r="G321" s="7"/>
      <c r="H321" s="209"/>
      <c r="J321" s="156"/>
      <c r="K321" s="14" t="s">
        <v>91</v>
      </c>
      <c r="L321" s="14" t="s">
        <v>62</v>
      </c>
      <c r="M321" s="45">
        <f t="shared" ref="M321:AQ321" si="143" xml:space="preserve"> ((M$77 * M$352 *M$378 * (M192 * 1 + M289) +M224) * 1000 / (M96 * 8760)) + M256 + 0</f>
        <v>101.12046963656931</v>
      </c>
      <c r="N321" s="45">
        <f t="shared" si="143"/>
        <v>98.217460003222058</v>
      </c>
      <c r="O321" s="45">
        <f t="shared" si="143"/>
        <v>96.758532391809979</v>
      </c>
      <c r="P321" s="45">
        <f t="shared" si="143"/>
        <v>95.299604780397914</v>
      </c>
      <c r="Q321" s="45">
        <f t="shared" si="143"/>
        <v>97.059832582152794</v>
      </c>
      <c r="R321" s="45">
        <f t="shared" si="143"/>
        <v>95.549331694364781</v>
      </c>
      <c r="S321" s="45">
        <f t="shared" si="143"/>
        <v>105.84255227949686</v>
      </c>
      <c r="T321" s="45">
        <f t="shared" si="143"/>
        <v>105.55227605810904</v>
      </c>
      <c r="U321" s="45">
        <f t="shared" si="143"/>
        <v>105.21516976793363</v>
      </c>
      <c r="V321" s="45">
        <f t="shared" si="143"/>
        <v>104.83078371752596</v>
      </c>
      <c r="W321" s="45">
        <f t="shared" si="143"/>
        <v>104.39870061068652</v>
      </c>
      <c r="X321" s="45">
        <f t="shared" si="143"/>
        <v>101.4909975357313</v>
      </c>
      <c r="Y321" s="45">
        <f t="shared" si="143"/>
        <v>98.588234638853621</v>
      </c>
      <c r="Z321" s="45">
        <f t="shared" si="143"/>
        <v>95.690399340719921</v>
      </c>
      <c r="AA321" s="45">
        <f t="shared" si="143"/>
        <v>92.797479104668511</v>
      </c>
      <c r="AB321" s="45">
        <f t="shared" si="143"/>
        <v>89.909461436529028</v>
      </c>
      <c r="AC321" s="45">
        <f t="shared" si="143"/>
        <v>87.026333884442323</v>
      </c>
      <c r="AD321" s="45">
        <f t="shared" si="143"/>
        <v>84.148084038681716</v>
      </c>
      <c r="AE321" s="45">
        <f t="shared" si="143"/>
        <v>81.274699531474766</v>
      </c>
      <c r="AF321" s="45">
        <f t="shared" si="143"/>
        <v>78.40616803682633</v>
      </c>
      <c r="AG321" s="45">
        <f t="shared" si="143"/>
        <v>75.542477270342118</v>
      </c>
      <c r="AH321" s="45">
        <f t="shared" si="143"/>
        <v>72.683614989053424</v>
      </c>
      <c r="AI321" s="45">
        <f t="shared" si="143"/>
        <v>69.829568991242638</v>
      </c>
      <c r="AJ321" s="45">
        <f t="shared" si="143"/>
        <v>66.980327116269706</v>
      </c>
      <c r="AK321" s="45">
        <f t="shared" si="143"/>
        <v>64.135877244399296</v>
      </c>
      <c r="AL321" s="45">
        <f t="shared" si="143"/>
        <v>61.296207296629106</v>
      </c>
      <c r="AM321" s="45">
        <f t="shared" si="143"/>
        <v>58.461305234518711</v>
      </c>
      <c r="AN321" s="45">
        <f t="shared" si="143"/>
        <v>55.631159060019598</v>
      </c>
      <c r="AO321" s="45">
        <f t="shared" si="143"/>
        <v>52.805756815305848</v>
      </c>
      <c r="AP321" s="45">
        <f t="shared" si="143"/>
        <v>49.985086582605675</v>
      </c>
      <c r="AQ321" s="45">
        <f t="shared" si="143"/>
        <v>47.16913648403392</v>
      </c>
    </row>
    <row r="322" spans="7:43" ht="14.25" hidden="1" customHeight="1" thickTop="1" x14ac:dyDescent="0.15">
      <c r="G322" s="7"/>
      <c r="H322" s="209"/>
      <c r="J322" s="156"/>
      <c r="K322" s="13" t="s">
        <v>90</v>
      </c>
      <c r="L322" s="13" t="s">
        <v>67</v>
      </c>
      <c r="M322" s="48">
        <f t="shared" ref="M322:AQ322" si="144" xml:space="preserve"> ((M$75 * M$350 *M$376 * (M193 * 1 + M290) +M225) * 1000 / (M97 * 8760)) + M257 + 0</f>
        <v>96.283551294326756</v>
      </c>
      <c r="N322" s="48">
        <f t="shared" si="144"/>
        <v>93.154298458566018</v>
      </c>
      <c r="O322" s="48">
        <f t="shared" si="144"/>
        <v>85.76402228016704</v>
      </c>
      <c r="P322" s="48">
        <f t="shared" si="144"/>
        <v>78.431002908999105</v>
      </c>
      <c r="Q322" s="48">
        <f t="shared" si="144"/>
        <v>73.577912167514683</v>
      </c>
      <c r="R322" s="48">
        <f t="shared" si="144"/>
        <v>66.102536672799346</v>
      </c>
      <c r="S322" s="48">
        <f t="shared" si="144"/>
        <v>65.940512877820481</v>
      </c>
      <c r="T322" s="48">
        <f t="shared" si="144"/>
        <v>58.39703548767087</v>
      </c>
      <c r="U322" s="48">
        <f t="shared" si="144"/>
        <v>50.686978631937556</v>
      </c>
      <c r="V322" s="48">
        <f t="shared" si="144"/>
        <v>42.811876497014765</v>
      </c>
      <c r="W322" s="48">
        <f t="shared" si="144"/>
        <v>34.773374083000803</v>
      </c>
      <c r="X322" s="48">
        <f t="shared" si="144"/>
        <v>34.283047548746531</v>
      </c>
      <c r="Y322" s="48">
        <f t="shared" si="144"/>
        <v>33.792721014492251</v>
      </c>
      <c r="Z322" s="48">
        <f t="shared" si="144"/>
        <v>33.302394480237972</v>
      </c>
      <c r="AA322" s="48">
        <f t="shared" si="144"/>
        <v>32.812067945983699</v>
      </c>
      <c r="AB322" s="48">
        <f t="shared" si="144"/>
        <v>32.321741411729413</v>
      </c>
      <c r="AC322" s="48">
        <f t="shared" si="144"/>
        <v>31.83141487747514</v>
      </c>
      <c r="AD322" s="48">
        <f t="shared" si="144"/>
        <v>31.341088343220861</v>
      </c>
      <c r="AE322" s="48">
        <f t="shared" si="144"/>
        <v>30.850761808966585</v>
      </c>
      <c r="AF322" s="48">
        <f t="shared" si="144"/>
        <v>30.360435274712305</v>
      </c>
      <c r="AG322" s="48">
        <f t="shared" si="144"/>
        <v>29.870108740458033</v>
      </c>
      <c r="AH322" s="48">
        <f t="shared" si="144"/>
        <v>29.379782206203757</v>
      </c>
      <c r="AI322" s="48">
        <f t="shared" si="144"/>
        <v>28.889455671949474</v>
      </c>
      <c r="AJ322" s="48">
        <f t="shared" si="144"/>
        <v>28.399129137695194</v>
      </c>
      <c r="AK322" s="48">
        <f t="shared" si="144"/>
        <v>27.908802603440922</v>
      </c>
      <c r="AL322" s="48">
        <f t="shared" si="144"/>
        <v>27.418476069186642</v>
      </c>
      <c r="AM322" s="48">
        <f t="shared" si="144"/>
        <v>26.92814953493237</v>
      </c>
      <c r="AN322" s="48">
        <f t="shared" si="144"/>
        <v>26.43782300067809</v>
      </c>
      <c r="AO322" s="48">
        <f t="shared" si="144"/>
        <v>25.947496466423807</v>
      </c>
      <c r="AP322" s="48">
        <f t="shared" si="144"/>
        <v>25.457169932169535</v>
      </c>
      <c r="AQ322" s="48">
        <f t="shared" si="144"/>
        <v>24.966843397915298</v>
      </c>
    </row>
    <row r="323" spans="7:43" ht="14.25" hidden="1" customHeight="1" x14ac:dyDescent="0.15">
      <c r="G323" s="7"/>
      <c r="H323" s="209"/>
      <c r="J323" s="156"/>
      <c r="K323" s="5" t="s">
        <v>90</v>
      </c>
      <c r="L323" s="47" t="s">
        <v>66</v>
      </c>
      <c r="M323" s="46">
        <f t="shared" ref="M323:AQ323" si="145" xml:space="preserve"> ((M$76 * M$351 *M$377 * (M194 * 1 + M291) +M226) * 1000 / (M98 * 8760)) + M258 + 0</f>
        <v>96.513082024551139</v>
      </c>
      <c r="N323" s="46">
        <f t="shared" si="145"/>
        <v>93.597755199553347</v>
      </c>
      <c r="O323" s="46">
        <f t="shared" si="145"/>
        <v>87.233543969302701</v>
      </c>
      <c r="P323" s="46">
        <f t="shared" si="145"/>
        <v>80.888904662477387</v>
      </c>
      <c r="Q323" s="46">
        <f t="shared" si="145"/>
        <v>77.10650664274506</v>
      </c>
      <c r="R323" s="46">
        <f t="shared" si="145"/>
        <v>70.577974375361435</v>
      </c>
      <c r="S323" s="46">
        <f t="shared" si="145"/>
        <v>72.016489610324427</v>
      </c>
      <c r="T323" s="46">
        <f t="shared" si="145"/>
        <v>65.555962542335948</v>
      </c>
      <c r="U323" s="46">
        <f t="shared" si="145"/>
        <v>58.914317776549076</v>
      </c>
      <c r="V323" s="46">
        <f t="shared" si="145"/>
        <v>52.092008407207125</v>
      </c>
      <c r="W323" s="46">
        <f t="shared" si="145"/>
        <v>45.089606058293967</v>
      </c>
      <c r="X323" s="46">
        <f t="shared" si="145"/>
        <v>44.561156466114952</v>
      </c>
      <c r="Y323" s="46">
        <f t="shared" si="145"/>
        <v>44.034068028066294</v>
      </c>
      <c r="Z323" s="46">
        <f t="shared" si="145"/>
        <v>43.508335491922686</v>
      </c>
      <c r="AA323" s="46">
        <f t="shared" si="145"/>
        <v>42.983953632446202</v>
      </c>
      <c r="AB323" s="46">
        <f t="shared" si="145"/>
        <v>42.460917251213104</v>
      </c>
      <c r="AC323" s="46">
        <f t="shared" si="145"/>
        <v>41.939221176442082</v>
      </c>
      <c r="AD323" s="46">
        <f t="shared" si="145"/>
        <v>41.418860262823827</v>
      </c>
      <c r="AE323" s="46">
        <f t="shared" si="145"/>
        <v>40.89982939135178</v>
      </c>
      <c r="AF323" s="46">
        <f t="shared" si="145"/>
        <v>40.382123469154422</v>
      </c>
      <c r="AG323" s="46">
        <f t="shared" si="145"/>
        <v>39.865737429328554</v>
      </c>
      <c r="AH323" s="46">
        <f t="shared" si="145"/>
        <v>39.350666230774046</v>
      </c>
      <c r="AI323" s="46">
        <f t="shared" si="145"/>
        <v>38.83690485802984</v>
      </c>
      <c r="AJ323" s="46">
        <f t="shared" si="145"/>
        <v>38.324448321111085</v>
      </c>
      <c r="AK323" s="46">
        <f t="shared" si="145"/>
        <v>37.813291655347612</v>
      </c>
      <c r="AL323" s="46">
        <f t="shared" si="145"/>
        <v>37.303429921223625</v>
      </c>
      <c r="AM323" s="46">
        <f t="shared" si="145"/>
        <v>36.794858204218556</v>
      </c>
      <c r="AN323" s="46">
        <f t="shared" si="145"/>
        <v>36.28757161464921</v>
      </c>
      <c r="AO323" s="46">
        <f t="shared" si="145"/>
        <v>35.781565287512983</v>
      </c>
      <c r="AP323" s="46">
        <f t="shared" si="145"/>
        <v>35.276834382332432</v>
      </c>
      <c r="AQ323" s="46">
        <f t="shared" si="145"/>
        <v>34.773374083000803</v>
      </c>
    </row>
    <row r="324" spans="7:43" ht="14.25" hidden="1" customHeight="1" thickBot="1" x14ac:dyDescent="0.2">
      <c r="G324" s="7"/>
      <c r="H324" s="209"/>
      <c r="J324" s="156"/>
      <c r="K324" s="14" t="s">
        <v>90</v>
      </c>
      <c r="L324" s="14" t="s">
        <v>62</v>
      </c>
      <c r="M324" s="45">
        <f t="shared" ref="M324:AQ324" si="146" xml:space="preserve"> ((M$77 * M$352 *M$378 * (M195 * 1 + M292) +M227) * 1000 / (M99 * 8760)) + M259 + 0</f>
        <v>96.662404279669332</v>
      </c>
      <c r="N324" s="45">
        <f t="shared" si="146"/>
        <v>93.887378690736483</v>
      </c>
      <c r="O324" s="45">
        <f t="shared" si="146"/>
        <v>92.492770347876416</v>
      </c>
      <c r="P324" s="45">
        <f t="shared" si="146"/>
        <v>91.098162005016377</v>
      </c>
      <c r="Q324" s="45">
        <f t="shared" si="146"/>
        <v>92.780787214423142</v>
      </c>
      <c r="R324" s="45">
        <f t="shared" si="146"/>
        <v>91.336879289500288</v>
      </c>
      <c r="S324" s="45">
        <f t="shared" si="146"/>
        <v>101.17630599623732</v>
      </c>
      <c r="T324" s="45">
        <f t="shared" si="146"/>
        <v>100.89882708850075</v>
      </c>
      <c r="U324" s="45">
        <f t="shared" si="146"/>
        <v>100.57658269403474</v>
      </c>
      <c r="V324" s="45">
        <f t="shared" si="146"/>
        <v>100.20914294679554</v>
      </c>
      <c r="W324" s="45">
        <f t="shared" si="146"/>
        <v>99.796108947785854</v>
      </c>
      <c r="X324" s="45">
        <f t="shared" si="146"/>
        <v>97.016596835483327</v>
      </c>
      <c r="Y324" s="45">
        <f t="shared" si="146"/>
        <v>94.241807105229313</v>
      </c>
      <c r="Z324" s="45">
        <f t="shared" si="146"/>
        <v>91.471727732271205</v>
      </c>
      <c r="AA324" s="45">
        <f t="shared" si="146"/>
        <v>88.706346732647063</v>
      </c>
      <c r="AB324" s="45">
        <f t="shared" si="146"/>
        <v>85.945652163012952</v>
      </c>
      <c r="AC324" s="45">
        <f t="shared" si="146"/>
        <v>83.189632120470819</v>
      </c>
      <c r="AD324" s="45">
        <f t="shared" si="146"/>
        <v>80.438274742397525</v>
      </c>
      <c r="AE324" s="45">
        <f t="shared" si="146"/>
        <v>77.691568206274681</v>
      </c>
      <c r="AF324" s="45">
        <f t="shared" si="146"/>
        <v>74.949500729519244</v>
      </c>
      <c r="AG324" s="45">
        <f t="shared" si="146"/>
        <v>72.212060569315057</v>
      </c>
      <c r="AH324" s="45">
        <f t="shared" si="146"/>
        <v>69.479236022445178</v>
      </c>
      <c r="AI324" s="45">
        <f t="shared" si="146"/>
        <v>66.751015425125189</v>
      </c>
      <c r="AJ324" s="45">
        <f t="shared" si="146"/>
        <v>64.027387152837221</v>
      </c>
      <c r="AK324" s="45">
        <f t="shared" si="146"/>
        <v>61.308339620164787</v>
      </c>
      <c r="AL324" s="45">
        <f t="shared" si="146"/>
        <v>58.593861280628644</v>
      </c>
      <c r="AM324" s="45">
        <f t="shared" si="146"/>
        <v>55.883940626523177</v>
      </c>
      <c r="AN324" s="45">
        <f t="shared" si="146"/>
        <v>53.178566188753969</v>
      </c>
      <c r="AO324" s="45">
        <f t="shared" si="146"/>
        <v>50.477726536675867</v>
      </c>
      <c r="AP324" s="45">
        <f t="shared" si="146"/>
        <v>47.781410277932039</v>
      </c>
      <c r="AQ324" s="45">
        <f t="shared" si="146"/>
        <v>45.089606058293967</v>
      </c>
    </row>
    <row r="325" spans="7:43" ht="14.25" hidden="1" customHeight="1" thickTop="1" x14ac:dyDescent="0.15">
      <c r="G325" s="7"/>
      <c r="H325" s="209"/>
      <c r="J325" s="156"/>
      <c r="K325" s="13" t="s">
        <v>89</v>
      </c>
      <c r="L325" s="13" t="s">
        <v>67</v>
      </c>
      <c r="M325" s="48">
        <f t="shared" ref="M325:AQ325" si="147" xml:space="preserve"> ((M$75 * M$350 *M$376 * (M196 * 1 + M293) +M228) * 1000 / (M100 * 8760)) + M260 + 0</f>
        <v>95.088754812787499</v>
      </c>
      <c r="N325" s="48">
        <f t="shared" si="147"/>
        <v>91.998333327010769</v>
      </c>
      <c r="O325" s="48">
        <f t="shared" si="147"/>
        <v>84.699764152111911</v>
      </c>
      <c r="P325" s="48">
        <f t="shared" si="147"/>
        <v>77.457741276461135</v>
      </c>
      <c r="Q325" s="48">
        <f t="shared" si="147"/>
        <v>72.664873238279299</v>
      </c>
      <c r="R325" s="48">
        <f t="shared" si="147"/>
        <v>65.282260756759925</v>
      </c>
      <c r="S325" s="48">
        <f t="shared" si="147"/>
        <v>65.12224753843266</v>
      </c>
      <c r="T325" s="48">
        <f t="shared" si="147"/>
        <v>57.672378247726449</v>
      </c>
      <c r="U325" s="48">
        <f t="shared" si="147"/>
        <v>50.057996600062033</v>
      </c>
      <c r="V325" s="48">
        <f t="shared" si="147"/>
        <v>42.28061774389333</v>
      </c>
      <c r="W325" s="48">
        <f t="shared" si="147"/>
        <v>34.341866266275041</v>
      </c>
      <c r="X325" s="48">
        <f t="shared" si="147"/>
        <v>33.857624264737488</v>
      </c>
      <c r="Y325" s="48">
        <f t="shared" si="147"/>
        <v>33.373382263199929</v>
      </c>
      <c r="Z325" s="48">
        <f t="shared" si="147"/>
        <v>32.889140261662369</v>
      </c>
      <c r="AA325" s="48">
        <f t="shared" si="147"/>
        <v>32.404898260124817</v>
      </c>
      <c r="AB325" s="48">
        <f t="shared" si="147"/>
        <v>31.920656258587254</v>
      </c>
      <c r="AC325" s="48">
        <f t="shared" si="147"/>
        <v>31.436414257049702</v>
      </c>
      <c r="AD325" s="48">
        <f t="shared" si="147"/>
        <v>30.952172255512142</v>
      </c>
      <c r="AE325" s="48">
        <f t="shared" si="147"/>
        <v>30.467930253974583</v>
      </c>
      <c r="AF325" s="48">
        <f t="shared" si="147"/>
        <v>29.983688252437027</v>
      </c>
      <c r="AG325" s="48">
        <f t="shared" si="147"/>
        <v>29.499446250899471</v>
      </c>
      <c r="AH325" s="48">
        <f t="shared" si="147"/>
        <v>29.015204249361918</v>
      </c>
      <c r="AI325" s="48">
        <f t="shared" si="147"/>
        <v>28.530962247824355</v>
      </c>
      <c r="AJ325" s="48">
        <f t="shared" si="147"/>
        <v>28.046720246286796</v>
      </c>
      <c r="AK325" s="48">
        <f t="shared" si="147"/>
        <v>27.562478244749244</v>
      </c>
      <c r="AL325" s="48">
        <f t="shared" si="147"/>
        <v>27.078236243211688</v>
      </c>
      <c r="AM325" s="48">
        <f t="shared" si="147"/>
        <v>26.593994241674132</v>
      </c>
      <c r="AN325" s="48">
        <f t="shared" si="147"/>
        <v>26.109752240136576</v>
      </c>
      <c r="AO325" s="48">
        <f t="shared" si="147"/>
        <v>25.625510238599013</v>
      </c>
      <c r="AP325" s="48">
        <f t="shared" si="147"/>
        <v>25.141268237061457</v>
      </c>
      <c r="AQ325" s="48">
        <f t="shared" si="147"/>
        <v>24.65702623552394</v>
      </c>
    </row>
    <row r="326" spans="7:43" ht="14.25" hidden="1" customHeight="1" x14ac:dyDescent="0.15">
      <c r="G326" s="7"/>
      <c r="H326" s="209"/>
      <c r="J326" s="156"/>
      <c r="K326" s="5" t="s">
        <v>89</v>
      </c>
      <c r="L326" s="47" t="s">
        <v>66</v>
      </c>
      <c r="M326" s="46">
        <f t="shared" ref="M326:AQ326" si="148" xml:space="preserve"> ((M$76 * M$351 *M$377 * (M197 * 1 + M294) +M229) * 1000 / (M101 * 8760)) + M261 + 0</f>
        <v>95.315437263059707</v>
      </c>
      <c r="N326" s="46">
        <f t="shared" si="148"/>
        <v>92.43628714930928</v>
      </c>
      <c r="O326" s="46">
        <f t="shared" si="148"/>
        <v>86.151050334558022</v>
      </c>
      <c r="P326" s="46">
        <f t="shared" si="148"/>
        <v>79.885142572410146</v>
      </c>
      <c r="Q326" s="46">
        <f t="shared" si="148"/>
        <v>76.14968087549731</v>
      </c>
      <c r="R326" s="46">
        <f t="shared" si="148"/>
        <v>69.702162107074088</v>
      </c>
      <c r="S326" s="46">
        <f t="shared" si="148"/>
        <v>71.122826598911502</v>
      </c>
      <c r="T326" s="46">
        <f t="shared" si="148"/>
        <v>64.742469143551091</v>
      </c>
      <c r="U326" s="46">
        <f t="shared" si="148"/>
        <v>58.183241506039217</v>
      </c>
      <c r="V326" s="46">
        <f t="shared" si="148"/>
        <v>51.445591158107312</v>
      </c>
      <c r="W326" s="46">
        <f t="shared" si="148"/>
        <v>44.530082630374707</v>
      </c>
      <c r="X326" s="46">
        <f t="shared" si="148"/>
        <v>44.008190645439285</v>
      </c>
      <c r="Y326" s="46">
        <f t="shared" si="148"/>
        <v>43.487642923876187</v>
      </c>
      <c r="Z326" s="46">
        <f t="shared" si="148"/>
        <v>42.968434278635776</v>
      </c>
      <c r="AA326" s="46">
        <f t="shared" si="148"/>
        <v>42.450559549320801</v>
      </c>
      <c r="AB326" s="46">
        <f t="shared" si="148"/>
        <v>41.93401360201554</v>
      </c>
      <c r="AC326" s="46">
        <f t="shared" si="148"/>
        <v>41.418791329116083</v>
      </c>
      <c r="AD326" s="46">
        <f t="shared" si="148"/>
        <v>40.904887649161964</v>
      </c>
      <c r="AE326" s="46">
        <f t="shared" si="148"/>
        <v>40.392297506669159</v>
      </c>
      <c r="AF326" s="46">
        <f t="shared" si="148"/>
        <v>39.881015871964294</v>
      </c>
      <c r="AG326" s="46">
        <f t="shared" si="148"/>
        <v>39.37103774102011</v>
      </c>
      <c r="AH326" s="46">
        <f t="shared" si="148"/>
        <v>38.86235813529224</v>
      </c>
      <c r="AI326" s="46">
        <f t="shared" si="148"/>
        <v>38.354972101557166</v>
      </c>
      <c r="AJ326" s="46">
        <f t="shared" si="148"/>
        <v>37.848874711751506</v>
      </c>
      <c r="AK326" s="46">
        <f t="shared" si="148"/>
        <v>37.344061062812401</v>
      </c>
      <c r="AL326" s="46">
        <f t="shared" si="148"/>
        <v>36.840526276519199</v>
      </c>
      <c r="AM326" s="46">
        <f t="shared" si="148"/>
        <v>36.338265499336352</v>
      </c>
      <c r="AN326" s="46">
        <f t="shared" si="148"/>
        <v>35.837273902257429</v>
      </c>
      <c r="AO326" s="46">
        <f t="shared" si="148"/>
        <v>35.337546680650362</v>
      </c>
      <c r="AP326" s="46">
        <f t="shared" si="148"/>
        <v>34.83907905410387</v>
      </c>
      <c r="AQ326" s="46">
        <f t="shared" si="148"/>
        <v>34.341866266275041</v>
      </c>
    </row>
    <row r="327" spans="7:43" ht="14.25" hidden="1" customHeight="1" thickBot="1" x14ac:dyDescent="0.2">
      <c r="G327" s="7"/>
      <c r="H327" s="209"/>
      <c r="J327" s="156"/>
      <c r="K327" s="14" t="s">
        <v>89</v>
      </c>
      <c r="L327" s="14" t="s">
        <v>62</v>
      </c>
      <c r="M327" s="45">
        <f t="shared" ref="M327:AQ327" si="149" xml:space="preserve"> ((M$77 * M$352 *M$378 * (M198 * 1 + M295) +M230) * 1000 / (M102 * 8760)) + M262 + 0</f>
        <v>95.462906556767209</v>
      </c>
      <c r="N327" s="45">
        <f t="shared" si="149"/>
        <v>92.722316660798185</v>
      </c>
      <c r="O327" s="45">
        <f t="shared" si="149"/>
        <v>91.345014214103941</v>
      </c>
      <c r="P327" s="45">
        <f t="shared" si="149"/>
        <v>89.967711767409696</v>
      </c>
      <c r="Q327" s="45">
        <f t="shared" si="149"/>
        <v>91.629457037793415</v>
      </c>
      <c r="R327" s="45">
        <f t="shared" si="149"/>
        <v>90.203466774664022</v>
      </c>
      <c r="S327" s="45">
        <f t="shared" si="149"/>
        <v>99.920794615587127</v>
      </c>
      <c r="T327" s="45">
        <f t="shared" si="149"/>
        <v>99.646758983656326</v>
      </c>
      <c r="U327" s="45">
        <f t="shared" si="149"/>
        <v>99.328513366380477</v>
      </c>
      <c r="V327" s="45">
        <f t="shared" si="149"/>
        <v>98.965633231985606</v>
      </c>
      <c r="W327" s="45">
        <f t="shared" si="149"/>
        <v>98.557724631469625</v>
      </c>
      <c r="X327" s="45">
        <f t="shared" si="149"/>
        <v>95.812703886046833</v>
      </c>
      <c r="Y327" s="45">
        <f t="shared" si="149"/>
        <v>93.07234692195226</v>
      </c>
      <c r="Z327" s="45">
        <f t="shared" si="149"/>
        <v>90.336641863650215</v>
      </c>
      <c r="AA327" s="45">
        <f t="shared" si="149"/>
        <v>87.605576875889483</v>
      </c>
      <c r="AB327" s="45">
        <f t="shared" si="149"/>
        <v>84.879140163532782</v>
      </c>
      <c r="AC327" s="45">
        <f t="shared" si="149"/>
        <v>82.157319971386841</v>
      </c>
      <c r="AD327" s="45">
        <f t="shared" si="149"/>
        <v>79.440104584033563</v>
      </c>
      <c r="AE327" s="45">
        <f t="shared" si="149"/>
        <v>76.727482325661839</v>
      </c>
      <c r="AF327" s="45">
        <f t="shared" si="149"/>
        <v>74.019441559900429</v>
      </c>
      <c r="AG327" s="45">
        <f t="shared" si="149"/>
        <v>71.315970689651465</v>
      </c>
      <c r="AH327" s="45">
        <f t="shared" si="149"/>
        <v>68.617058156924926</v>
      </c>
      <c r="AI327" s="45">
        <f t="shared" si="149"/>
        <v>65.922692442673977</v>
      </c>
      <c r="AJ327" s="45">
        <f t="shared" si="149"/>
        <v>63.232862066631057</v>
      </c>
      <c r="AK327" s="45">
        <f t="shared" si="149"/>
        <v>60.547555587144792</v>
      </c>
      <c r="AL327" s="45">
        <f t="shared" si="149"/>
        <v>57.866761601017856</v>
      </c>
      <c r="AM327" s="45">
        <f t="shared" si="149"/>
        <v>55.190468743345434</v>
      </c>
      <c r="AN327" s="45">
        <f t="shared" si="149"/>
        <v>52.518665687354741</v>
      </c>
      <c r="AO327" s="45">
        <f t="shared" si="149"/>
        <v>49.851341144245147</v>
      </c>
      <c r="AP327" s="45">
        <f t="shared" si="149"/>
        <v>47.188483863029234</v>
      </c>
      <c r="AQ327" s="45">
        <f t="shared" si="149"/>
        <v>44.530082630374707</v>
      </c>
    </row>
    <row r="328" spans="7:43" ht="14.25" hidden="1" customHeight="1" thickTop="1" x14ac:dyDescent="0.15">
      <c r="G328" s="7"/>
      <c r="H328" s="209"/>
      <c r="J328" s="156"/>
      <c r="K328" s="13" t="s">
        <v>88</v>
      </c>
      <c r="L328" s="13" t="s">
        <v>67</v>
      </c>
      <c r="M328" s="48">
        <f t="shared" ref="M328:AQ328" si="150" xml:space="preserve"> ((M$75 * M$350 *M$376 * (M199 * 1 + M296) +M231) * 1000 / (M103 * 8760)) + M263 + 0</f>
        <v>90.064379848516793</v>
      </c>
      <c r="N328" s="48">
        <f t="shared" si="150"/>
        <v>87.137252501702676</v>
      </c>
      <c r="O328" s="48">
        <f t="shared" si="150"/>
        <v>80.22433090742004</v>
      </c>
      <c r="P328" s="48">
        <f t="shared" si="150"/>
        <v>73.364967774224979</v>
      </c>
      <c r="Q328" s="48">
        <f t="shared" si="150"/>
        <v>68.825349094765997</v>
      </c>
      <c r="R328" s="48">
        <f t="shared" si="150"/>
        <v>61.832824940684368</v>
      </c>
      <c r="S328" s="48">
        <f t="shared" si="150"/>
        <v>61.681266627563303</v>
      </c>
      <c r="T328" s="48">
        <f t="shared" si="150"/>
        <v>54.62503943286525</v>
      </c>
      <c r="U328" s="48">
        <f t="shared" si="150"/>
        <v>47.412992515466783</v>
      </c>
      <c r="V328" s="48">
        <f t="shared" si="150"/>
        <v>40.046560965207355</v>
      </c>
      <c r="W328" s="48">
        <f t="shared" si="150"/>
        <v>32.527283527923721</v>
      </c>
      <c r="X328" s="48">
        <f t="shared" si="150"/>
        <v>32.068628288921488</v>
      </c>
      <c r="Y328" s="48">
        <f t="shared" si="150"/>
        <v>31.609973049919244</v>
      </c>
      <c r="Z328" s="48">
        <f t="shared" si="150"/>
        <v>31.151317810917</v>
      </c>
      <c r="AA328" s="48">
        <f t="shared" si="150"/>
        <v>30.692662571914763</v>
      </c>
      <c r="AB328" s="48">
        <f t="shared" si="150"/>
        <v>30.234007332912515</v>
      </c>
      <c r="AC328" s="48">
        <f t="shared" si="150"/>
        <v>29.775352093910275</v>
      </c>
      <c r="AD328" s="48">
        <f t="shared" si="150"/>
        <v>29.316696854908034</v>
      </c>
      <c r="AE328" s="48">
        <f t="shared" si="150"/>
        <v>28.85804161590579</v>
      </c>
      <c r="AF328" s="48">
        <f t="shared" si="150"/>
        <v>28.39938637690355</v>
      </c>
      <c r="AG328" s="48">
        <f t="shared" si="150"/>
        <v>27.940731137901309</v>
      </c>
      <c r="AH328" s="48">
        <f t="shared" si="150"/>
        <v>27.482075898899073</v>
      </c>
      <c r="AI328" s="48">
        <f t="shared" si="150"/>
        <v>27.023420659896825</v>
      </c>
      <c r="AJ328" s="48">
        <f t="shared" si="150"/>
        <v>26.564765420894581</v>
      </c>
      <c r="AK328" s="48">
        <f t="shared" si="150"/>
        <v>26.106110181892344</v>
      </c>
      <c r="AL328" s="48">
        <f t="shared" si="150"/>
        <v>25.647454942890104</v>
      </c>
      <c r="AM328" s="48">
        <f t="shared" si="150"/>
        <v>25.188799703887863</v>
      </c>
      <c r="AN328" s="48">
        <f t="shared" si="150"/>
        <v>24.730144464885623</v>
      </c>
      <c r="AO328" s="48">
        <f t="shared" si="150"/>
        <v>24.271489225883375</v>
      </c>
      <c r="AP328" s="48">
        <f t="shared" si="150"/>
        <v>23.812833986881135</v>
      </c>
      <c r="AQ328" s="48">
        <f t="shared" si="150"/>
        <v>23.354178747878933</v>
      </c>
    </row>
    <row r="329" spans="7:43" ht="14.25" hidden="1" customHeight="1" x14ac:dyDescent="0.15">
      <c r="G329" s="7"/>
      <c r="H329" s="209"/>
      <c r="J329" s="156"/>
      <c r="K329" s="5" t="s">
        <v>88</v>
      </c>
      <c r="L329" s="47" t="s">
        <v>66</v>
      </c>
      <c r="M329" s="46">
        <f t="shared" ref="M329:AQ329" si="151" xml:space="preserve"> ((M$76 * M$351 *M$377 * (M200 * 1 + M297) +M232) * 1000 / (M104 * 8760)) + M264 + 0</f>
        <v>90.27908467188422</v>
      </c>
      <c r="N329" s="46">
        <f t="shared" si="151"/>
        <v>87.552065372953948</v>
      </c>
      <c r="O329" s="46">
        <f t="shared" si="151"/>
        <v>81.598932880724561</v>
      </c>
      <c r="P329" s="46">
        <f t="shared" si="151"/>
        <v>75.664108117302945</v>
      </c>
      <c r="Q329" s="46">
        <f t="shared" si="151"/>
        <v>72.126023705084933</v>
      </c>
      <c r="R329" s="46">
        <f t="shared" si="151"/>
        <v>66.019184041625394</v>
      </c>
      <c r="S329" s="46">
        <f t="shared" si="151"/>
        <v>67.364782337470729</v>
      </c>
      <c r="T329" s="46">
        <f t="shared" si="151"/>
        <v>61.321555264403436</v>
      </c>
      <c r="U329" s="46">
        <f t="shared" si="151"/>
        <v>55.108909293585498</v>
      </c>
      <c r="V329" s="46">
        <f t="shared" si="151"/>
        <v>48.727268252882489</v>
      </c>
      <c r="W329" s="46">
        <f t="shared" si="151"/>
        <v>42.177166843797679</v>
      </c>
      <c r="X329" s="46">
        <f t="shared" si="151"/>
        <v>41.682851001049904</v>
      </c>
      <c r="Y329" s="46">
        <f t="shared" si="151"/>
        <v>41.189808392421341</v>
      </c>
      <c r="Z329" s="46">
        <f t="shared" si="151"/>
        <v>40.698034104939786</v>
      </c>
      <c r="AA329" s="46">
        <f t="shared" si="151"/>
        <v>40.207523250877166</v>
      </c>
      <c r="AB329" s="46">
        <f t="shared" si="151"/>
        <v>39.718270967587664</v>
      </c>
      <c r="AC329" s="46">
        <f t="shared" si="151"/>
        <v>39.23027241734696</v>
      </c>
      <c r="AD329" s="46">
        <f t="shared" si="151"/>
        <v>38.743522787192866</v>
      </c>
      <c r="AE329" s="46">
        <f t="shared" si="151"/>
        <v>38.258017288767</v>
      </c>
      <c r="AF329" s="46">
        <f t="shared" si="151"/>
        <v>37.773751158157864</v>
      </c>
      <c r="AG329" s="46">
        <f t="shared" si="151"/>
        <v>37.290719655744958</v>
      </c>
      <c r="AH329" s="46">
        <f t="shared" si="151"/>
        <v>36.808918066044171</v>
      </c>
      <c r="AI329" s="46">
        <f t="shared" si="151"/>
        <v>36.328341697554357</v>
      </c>
      <c r="AJ329" s="46">
        <f t="shared" si="151"/>
        <v>35.848985882605042</v>
      </c>
      <c r="AK329" s="46">
        <f t="shared" si="151"/>
        <v>35.370845977205278</v>
      </c>
      <c r="AL329" s="46">
        <f t="shared" si="151"/>
        <v>34.893917360893717</v>
      </c>
      <c r="AM329" s="46">
        <f t="shared" si="151"/>
        <v>34.418195436589748</v>
      </c>
      <c r="AN329" s="46">
        <f t="shared" si="151"/>
        <v>33.943675630445831</v>
      </c>
      <c r="AO329" s="46">
        <f t="shared" si="151"/>
        <v>33.470353391700826</v>
      </c>
      <c r="AP329" s="46">
        <f t="shared" si="151"/>
        <v>32.998224192534636</v>
      </c>
      <c r="AQ329" s="46">
        <f t="shared" si="151"/>
        <v>32.527283527923721</v>
      </c>
    </row>
    <row r="330" spans="7:43" ht="14.25" hidden="1" customHeight="1" thickBot="1" x14ac:dyDescent="0.2">
      <c r="G330" s="7"/>
      <c r="H330" s="209"/>
      <c r="J330" s="156"/>
      <c r="K330" s="14" t="s">
        <v>88</v>
      </c>
      <c r="L330" s="14" t="s">
        <v>62</v>
      </c>
      <c r="M330" s="45">
        <f t="shared" ref="M330:AQ330" si="152" xml:space="preserve"> ((M$77 * M$352 *M$378 * (M201 * 1 + M298) +M233) * 1000 / (M105 * 8760)) + M265 + 0</f>
        <v>90.418761866212989</v>
      </c>
      <c r="N330" s="45">
        <f t="shared" si="152"/>
        <v>87.82298143049772</v>
      </c>
      <c r="O330" s="45">
        <f t="shared" si="152"/>
        <v>86.518453981699096</v>
      </c>
      <c r="P330" s="45">
        <f t="shared" si="152"/>
        <v>85.213926532900501</v>
      </c>
      <c r="Q330" s="45">
        <f t="shared" si="152"/>
        <v>86.787867190110461</v>
      </c>
      <c r="R330" s="45">
        <f t="shared" si="152"/>
        <v>85.437224530296163</v>
      </c>
      <c r="S330" s="45">
        <f t="shared" si="152"/>
        <v>94.641100503859462</v>
      </c>
      <c r="T330" s="45">
        <f t="shared" si="152"/>
        <v>94.381544583763173</v>
      </c>
      <c r="U330" s="45">
        <f t="shared" si="152"/>
        <v>94.080114680554431</v>
      </c>
      <c r="V330" s="45">
        <f t="shared" si="152"/>
        <v>93.736408694205494</v>
      </c>
      <c r="W330" s="45">
        <f t="shared" si="152"/>
        <v>93.350053491503786</v>
      </c>
      <c r="X330" s="45">
        <f t="shared" si="152"/>
        <v>90.750076327068669</v>
      </c>
      <c r="Y330" s="45">
        <f t="shared" si="152"/>
        <v>88.154516515388906</v>
      </c>
      <c r="Z330" s="45">
        <f t="shared" si="152"/>
        <v>85.563362808417779</v>
      </c>
      <c r="AA330" s="45">
        <f t="shared" si="152"/>
        <v>82.976603996264416</v>
      </c>
      <c r="AB330" s="45">
        <f t="shared" si="152"/>
        <v>80.394228907032385</v>
      </c>
      <c r="AC330" s="45">
        <f t="shared" si="152"/>
        <v>77.8162264066586</v>
      </c>
      <c r="AD330" s="45">
        <f t="shared" si="152"/>
        <v>75.242585398753548</v>
      </c>
      <c r="AE330" s="45">
        <f t="shared" si="152"/>
        <v>72.673294824441825</v>
      </c>
      <c r="AF330" s="45">
        <f t="shared" si="152"/>
        <v>70.108343662204049</v>
      </c>
      <c r="AG330" s="45">
        <f t="shared" si="152"/>
        <v>67.547720927718942</v>
      </c>
      <c r="AH330" s="45">
        <f t="shared" si="152"/>
        <v>64.991415673706769</v>
      </c>
      <c r="AI330" s="45">
        <f t="shared" si="152"/>
        <v>62.439416989773164</v>
      </c>
      <c r="AJ330" s="45">
        <f t="shared" si="152"/>
        <v>59.891714002254083</v>
      </c>
      <c r="AK330" s="45">
        <f t="shared" si="152"/>
        <v>57.348295874061179</v>
      </c>
      <c r="AL330" s="45">
        <f t="shared" si="152"/>
        <v>54.809151804528305</v>
      </c>
      <c r="AM330" s="45">
        <f t="shared" si="152"/>
        <v>52.274271029258465</v>
      </c>
      <c r="AN330" s="45">
        <f t="shared" si="152"/>
        <v>49.743642819971896</v>
      </c>
      <c r="AO330" s="45">
        <f t="shared" si="152"/>
        <v>47.217256484354564</v>
      </c>
      <c r="AP330" s="45">
        <f t="shared" si="152"/>
        <v>44.695101365907611</v>
      </c>
      <c r="AQ330" s="45">
        <f t="shared" si="152"/>
        <v>42.177166843797679</v>
      </c>
    </row>
    <row r="331" spans="7:43" ht="14.25" hidden="1" customHeight="1" thickTop="1" x14ac:dyDescent="0.15">
      <c r="G331" s="7"/>
      <c r="H331" s="209"/>
      <c r="J331" s="156"/>
      <c r="K331" s="13" t="s">
        <v>87</v>
      </c>
      <c r="L331" s="13" t="s">
        <v>67</v>
      </c>
      <c r="M331" s="48">
        <f t="shared" ref="M331:AQ331" si="153" xml:space="preserve"> ((M$75 * M$350 *M$376 * (M202 * 1 + M299) +M234) * 1000 / (M106 * 8760)) + M266 + 0</f>
        <v>85.108542433999943</v>
      </c>
      <c r="N331" s="48">
        <f t="shared" si="153"/>
        <v>82.342481729145675</v>
      </c>
      <c r="O331" s="48">
        <f t="shared" si="153"/>
        <v>75.809947092927814</v>
      </c>
      <c r="P331" s="48">
        <f t="shared" si="153"/>
        <v>69.328023836767613</v>
      </c>
      <c r="Q331" s="48">
        <f t="shared" si="153"/>
        <v>65.038199938965292</v>
      </c>
      <c r="R331" s="48">
        <f t="shared" si="153"/>
        <v>58.430442913497636</v>
      </c>
      <c r="S331" s="48">
        <f t="shared" si="153"/>
        <v>58.287224172135225</v>
      </c>
      <c r="T331" s="48">
        <f t="shared" si="153"/>
        <v>51.619269397628528</v>
      </c>
      <c r="U331" s="48">
        <f t="shared" si="153"/>
        <v>44.804068958367246</v>
      </c>
      <c r="V331" s="48">
        <f t="shared" si="153"/>
        <v>37.842978977656799</v>
      </c>
      <c r="W331" s="48">
        <f t="shared" si="153"/>
        <v>30.737453531076898</v>
      </c>
      <c r="X331" s="48">
        <f t="shared" si="153"/>
        <v>30.304036025323192</v>
      </c>
      <c r="Y331" s="48">
        <f t="shared" si="153"/>
        <v>29.870618519569483</v>
      </c>
      <c r="Z331" s="48">
        <f t="shared" si="153"/>
        <v>29.437201013815773</v>
      </c>
      <c r="AA331" s="48">
        <f t="shared" si="153"/>
        <v>29.003783508062071</v>
      </c>
      <c r="AB331" s="48">
        <f t="shared" si="153"/>
        <v>28.570366002308358</v>
      </c>
      <c r="AC331" s="48">
        <f t="shared" si="153"/>
        <v>28.136948496554652</v>
      </c>
      <c r="AD331" s="48">
        <f t="shared" si="153"/>
        <v>27.703530990800942</v>
      </c>
      <c r="AE331" s="48">
        <f t="shared" si="153"/>
        <v>27.270113485047236</v>
      </c>
      <c r="AF331" s="48">
        <f t="shared" si="153"/>
        <v>26.836695979293527</v>
      </c>
      <c r="AG331" s="48">
        <f t="shared" si="153"/>
        <v>26.403278473539821</v>
      </c>
      <c r="AH331" s="48">
        <f t="shared" si="153"/>
        <v>25.969860967786119</v>
      </c>
      <c r="AI331" s="48">
        <f t="shared" si="153"/>
        <v>25.536443462032402</v>
      </c>
      <c r="AJ331" s="48">
        <f t="shared" si="153"/>
        <v>25.103025956278696</v>
      </c>
      <c r="AK331" s="48">
        <f t="shared" si="153"/>
        <v>24.66960845052499</v>
      </c>
      <c r="AL331" s="48">
        <f t="shared" si="153"/>
        <v>24.23619094477128</v>
      </c>
      <c r="AM331" s="48">
        <f t="shared" si="153"/>
        <v>23.802773439017578</v>
      </c>
      <c r="AN331" s="48">
        <f t="shared" si="153"/>
        <v>23.369355933263869</v>
      </c>
      <c r="AO331" s="48">
        <f t="shared" si="153"/>
        <v>22.935938427510155</v>
      </c>
      <c r="AP331" s="48">
        <f t="shared" si="153"/>
        <v>22.502520921756449</v>
      </c>
      <c r="AQ331" s="48">
        <f t="shared" si="153"/>
        <v>22.069103416002779</v>
      </c>
    </row>
    <row r="332" spans="7:43" ht="14.25" hidden="1" customHeight="1" x14ac:dyDescent="0.15">
      <c r="G332" s="7"/>
      <c r="H332" s="209"/>
      <c r="J332" s="156"/>
      <c r="K332" s="5" t="s">
        <v>87</v>
      </c>
      <c r="L332" s="47" t="s">
        <v>66</v>
      </c>
      <c r="M332" s="46">
        <f t="shared" ref="M332:AQ332" si="154" xml:space="preserve"> ((M$76 * M$351 *M$377 * (M203 * 1 + M300) +M235) * 1000 / (M107 * 8760)) + M267 + 0</f>
        <v>85.311433017392474</v>
      </c>
      <c r="N332" s="46">
        <f t="shared" si="154"/>
        <v>82.734469315297247</v>
      </c>
      <c r="O332" s="46">
        <f t="shared" si="154"/>
        <v>77.108910907164031</v>
      </c>
      <c r="P332" s="46">
        <f t="shared" si="154"/>
        <v>71.50065283593122</v>
      </c>
      <c r="Q332" s="46">
        <f t="shared" si="154"/>
        <v>68.15725328286932</v>
      </c>
      <c r="R332" s="46">
        <f t="shared" si="154"/>
        <v>62.386445517253634</v>
      </c>
      <c r="S332" s="46">
        <f t="shared" si="154"/>
        <v>63.658001595846429</v>
      </c>
      <c r="T332" s="46">
        <f t="shared" si="154"/>
        <v>57.947306106114318</v>
      </c>
      <c r="U332" s="46">
        <f t="shared" si="154"/>
        <v>52.076514077966188</v>
      </c>
      <c r="V332" s="46">
        <f t="shared" si="154"/>
        <v>46.046026017927964</v>
      </c>
      <c r="W332" s="46">
        <f t="shared" si="154"/>
        <v>39.856347205286006</v>
      </c>
      <c r="X332" s="46">
        <f t="shared" si="154"/>
        <v>39.389231338291104</v>
      </c>
      <c r="Y332" s="46">
        <f t="shared" si="154"/>
        <v>38.923318645073081</v>
      </c>
      <c r="Z332" s="46">
        <f t="shared" si="154"/>
        <v>38.45860448299846</v>
      </c>
      <c r="AA332" s="46">
        <f t="shared" si="154"/>
        <v>37.99508423328885</v>
      </c>
      <c r="AB332" s="46">
        <f t="shared" si="154"/>
        <v>37.532753300867938</v>
      </c>
      <c r="AC332" s="46">
        <f t="shared" si="154"/>
        <v>37.071607114209613</v>
      </c>
      <c r="AD332" s="46">
        <f t="shared" si="154"/>
        <v>36.611641125187305</v>
      </c>
      <c r="AE332" s="46">
        <f t="shared" si="154"/>
        <v>36.152850808924455</v>
      </c>
      <c r="AF332" s="46">
        <f t="shared" si="154"/>
        <v>35.695231663646183</v>
      </c>
      <c r="AG332" s="46">
        <f t="shared" si="154"/>
        <v>35.238779210531952</v>
      </c>
      <c r="AH332" s="46">
        <f t="shared" si="154"/>
        <v>34.783488993569527</v>
      </c>
      <c r="AI332" s="46">
        <f t="shared" si="154"/>
        <v>34.329356579409939</v>
      </c>
      <c r="AJ332" s="46">
        <f t="shared" si="154"/>
        <v>33.87637755722362</v>
      </c>
      <c r="AK332" s="46">
        <f t="shared" si="154"/>
        <v>33.42454753855754</v>
      </c>
      <c r="AL332" s="46">
        <f t="shared" si="154"/>
        <v>32.973862157193537</v>
      </c>
      <c r="AM332" s="46">
        <f t="shared" si="154"/>
        <v>32.524317069007658</v>
      </c>
      <c r="AN332" s="46">
        <f t="shared" si="154"/>
        <v>32.075907951830594</v>
      </c>
      <c r="AO332" s="46">
        <f t="shared" si="154"/>
        <v>31.628630505309115</v>
      </c>
      <c r="AP332" s="46">
        <f t="shared" si="154"/>
        <v>31.182480450768683</v>
      </c>
      <c r="AQ332" s="46">
        <f t="shared" si="154"/>
        <v>30.737453531076898</v>
      </c>
    </row>
    <row r="333" spans="7:43" ht="14.25" hidden="1" customHeight="1" thickBot="1" x14ac:dyDescent="0.2">
      <c r="G333" s="7"/>
      <c r="H333" s="209"/>
      <c r="J333" s="156"/>
      <c r="K333" s="14" t="s">
        <v>87</v>
      </c>
      <c r="L333" s="14" t="s">
        <v>62</v>
      </c>
      <c r="M333" s="45">
        <f t="shared" ref="M333:AQ333" si="155" xml:space="preserve"> ((M$77 * M$352 *M$378 * (M204 * 1 + M301) +M236) * 1000 / (M108 * 8760)) + M268 + 0</f>
        <v>85.44342440444899</v>
      </c>
      <c r="N333" s="45">
        <f t="shared" si="155"/>
        <v>82.990478081674084</v>
      </c>
      <c r="O333" s="45">
        <f t="shared" si="155"/>
        <v>81.757732906288055</v>
      </c>
      <c r="P333" s="45">
        <f t="shared" si="155"/>
        <v>80.524987730902026</v>
      </c>
      <c r="Q333" s="45">
        <f t="shared" si="155"/>
        <v>82.012321518555453</v>
      </c>
      <c r="R333" s="45">
        <f t="shared" si="155"/>
        <v>80.735998644636624</v>
      </c>
      <c r="S333" s="45">
        <f t="shared" si="155"/>
        <v>89.433426752960912</v>
      </c>
      <c r="T333" s="45">
        <f t="shared" si="155"/>
        <v>89.188153026803391</v>
      </c>
      <c r="U333" s="45">
        <f t="shared" si="155"/>
        <v>88.90330945433594</v>
      </c>
      <c r="V333" s="45">
        <f t="shared" si="155"/>
        <v>88.578516061285342</v>
      </c>
      <c r="W333" s="45">
        <f t="shared" si="155"/>
        <v>88.213420246280108</v>
      </c>
      <c r="X333" s="45">
        <f t="shared" si="155"/>
        <v>85.75650812187601</v>
      </c>
      <c r="Y333" s="45">
        <f t="shared" si="155"/>
        <v>83.303770283189081</v>
      </c>
      <c r="Z333" s="45">
        <f t="shared" si="155"/>
        <v>80.855196101101939</v>
      </c>
      <c r="AA333" s="45">
        <f t="shared" si="155"/>
        <v>78.410774982553562</v>
      </c>
      <c r="AB333" s="45">
        <f t="shared" si="155"/>
        <v>75.970496370386684</v>
      </c>
      <c r="AC333" s="45">
        <f t="shared" si="155"/>
        <v>73.534349743195634</v>
      </c>
      <c r="AD333" s="45">
        <f t="shared" si="155"/>
        <v>71.102324615175192</v>
      </c>
      <c r="AE333" s="45">
        <f t="shared" si="155"/>
        <v>68.674410535970168</v>
      </c>
      <c r="AF333" s="45">
        <f t="shared" si="155"/>
        <v>66.250597090525702</v>
      </c>
      <c r="AG333" s="45">
        <f t="shared" si="155"/>
        <v>63.83087389893835</v>
      </c>
      <c r="AH333" s="45">
        <f t="shared" si="155"/>
        <v>61.415230616307831</v>
      </c>
      <c r="AI333" s="45">
        <f t="shared" si="155"/>
        <v>59.003656932589728</v>
      </c>
      <c r="AJ333" s="45">
        <f t="shared" si="155"/>
        <v>56.596142572448748</v>
      </c>
      <c r="AK333" s="45">
        <f t="shared" si="155"/>
        <v>54.192677295112752</v>
      </c>
      <c r="AL333" s="45">
        <f t="shared" si="155"/>
        <v>51.793250894227619</v>
      </c>
      <c r="AM333" s="45">
        <f t="shared" si="155"/>
        <v>49.397853197712685</v>
      </c>
      <c r="AN333" s="45">
        <f t="shared" si="155"/>
        <v>47.00647406761712</v>
      </c>
      <c r="AO333" s="45">
        <f t="shared" si="155"/>
        <v>44.619103399976787</v>
      </c>
      <c r="AP333" s="45">
        <f t="shared" si="155"/>
        <v>42.235731124672022</v>
      </c>
      <c r="AQ333" s="45">
        <f t="shared" si="155"/>
        <v>39.856347205286006</v>
      </c>
    </row>
    <row r="334" spans="7:43" ht="14.25" hidden="1" customHeight="1" thickTop="1" x14ac:dyDescent="0.15">
      <c r="G334" s="7"/>
      <c r="H334" s="209"/>
      <c r="J334" s="156"/>
      <c r="K334" s="13" t="s">
        <v>86</v>
      </c>
      <c r="L334" s="13" t="s">
        <v>67</v>
      </c>
      <c r="M334" s="48">
        <f t="shared" ref="M334:AQ334" si="156" xml:space="preserve"> ((M$75 * M$350 *M$376 * (M205 * 1 + M302) +M237) * 1000 / (M109 * 8760)) + M269 + 0</f>
        <v>79.398774037789153</v>
      </c>
      <c r="N334" s="48">
        <f t="shared" si="156"/>
        <v>76.818283024800138</v>
      </c>
      <c r="O334" s="48">
        <f t="shared" si="156"/>
        <v>70.724003571273869</v>
      </c>
      <c r="P334" s="48">
        <f t="shared" si="156"/>
        <v>64.676940077673791</v>
      </c>
      <c r="Q334" s="48">
        <f t="shared" si="156"/>
        <v>60.674912213224715</v>
      </c>
      <c r="R334" s="48">
        <f t="shared" si="156"/>
        <v>54.510456895844847</v>
      </c>
      <c r="S334" s="48">
        <f t="shared" si="156"/>
        <v>54.37684642434337</v>
      </c>
      <c r="T334" s="48">
        <f t="shared" si="156"/>
        <v>48.156231909110474</v>
      </c>
      <c r="U334" s="48">
        <f t="shared" si="156"/>
        <v>41.798250157528074</v>
      </c>
      <c r="V334" s="48">
        <f t="shared" si="156"/>
        <v>35.304166313197676</v>
      </c>
      <c r="W334" s="48">
        <f t="shared" si="156"/>
        <v>28.675336900565451</v>
      </c>
      <c r="X334" s="48">
        <f t="shared" si="156"/>
        <v>28.270996541546292</v>
      </c>
      <c r="Y334" s="48">
        <f t="shared" si="156"/>
        <v>27.866656182527134</v>
      </c>
      <c r="Z334" s="48">
        <f t="shared" si="156"/>
        <v>27.462315823507975</v>
      </c>
      <c r="AA334" s="48">
        <f t="shared" si="156"/>
        <v>27.05797546448882</v>
      </c>
      <c r="AB334" s="48">
        <f t="shared" si="156"/>
        <v>26.653635105469654</v>
      </c>
      <c r="AC334" s="48">
        <f t="shared" si="156"/>
        <v>26.249294746450499</v>
      </c>
      <c r="AD334" s="48">
        <f t="shared" si="156"/>
        <v>25.84495438743134</v>
      </c>
      <c r="AE334" s="48">
        <f t="shared" si="156"/>
        <v>25.440614028412181</v>
      </c>
      <c r="AF334" s="48">
        <f t="shared" si="156"/>
        <v>25.036273669393022</v>
      </c>
      <c r="AG334" s="48">
        <f t="shared" si="156"/>
        <v>24.631933310373867</v>
      </c>
      <c r="AH334" s="48">
        <f t="shared" si="156"/>
        <v>24.227592951354712</v>
      </c>
      <c r="AI334" s="48">
        <f t="shared" si="156"/>
        <v>23.823252592335546</v>
      </c>
      <c r="AJ334" s="48">
        <f t="shared" si="156"/>
        <v>23.418912233316387</v>
      </c>
      <c r="AK334" s="48">
        <f t="shared" si="156"/>
        <v>23.014571874297232</v>
      </c>
      <c r="AL334" s="48">
        <f t="shared" si="156"/>
        <v>22.610231515278073</v>
      </c>
      <c r="AM334" s="48">
        <f t="shared" si="156"/>
        <v>22.205891156258918</v>
      </c>
      <c r="AN334" s="48">
        <f t="shared" si="156"/>
        <v>21.801550797239756</v>
      </c>
      <c r="AO334" s="48">
        <f t="shared" si="156"/>
        <v>21.397210438220593</v>
      </c>
      <c r="AP334" s="48">
        <f t="shared" si="156"/>
        <v>20.992870079201438</v>
      </c>
      <c r="AQ334" s="48">
        <f t="shared" si="156"/>
        <v>20.588529720182315</v>
      </c>
    </row>
    <row r="335" spans="7:43" ht="14.25" hidden="1" customHeight="1" x14ac:dyDescent="0.15">
      <c r="G335" s="7"/>
      <c r="H335" s="209"/>
      <c r="J335" s="156"/>
      <c r="K335" s="5" t="s">
        <v>86</v>
      </c>
      <c r="L335" s="47" t="s">
        <v>66</v>
      </c>
      <c r="M335" s="46">
        <f t="shared" ref="M335:AQ335" si="157" xml:space="preserve"> ((M$76 * M$351 *M$377 * (M206 * 1 + M303) +M238) * 1000 / (M110 * 8760)) + M270 + 0</f>
        <v>79.588053082224334</v>
      </c>
      <c r="N335" s="46">
        <f t="shared" si="157"/>
        <v>77.183972917828243</v>
      </c>
      <c r="O335" s="46">
        <f t="shared" si="157"/>
        <v>71.935822401913413</v>
      </c>
      <c r="P335" s="46">
        <f t="shared" si="157"/>
        <v>66.703811576575475</v>
      </c>
      <c r="Q335" s="46">
        <f t="shared" si="157"/>
        <v>63.584714268129993</v>
      </c>
      <c r="R335" s="46">
        <f t="shared" si="157"/>
        <v>58.201058894723026</v>
      </c>
      <c r="S335" s="46">
        <f t="shared" si="157"/>
        <v>59.387308721981654</v>
      </c>
      <c r="T335" s="46">
        <f t="shared" si="157"/>
        <v>54.059732807501831</v>
      </c>
      <c r="U335" s="46">
        <f t="shared" si="157"/>
        <v>48.582800923404939</v>
      </c>
      <c r="V335" s="46">
        <f t="shared" si="157"/>
        <v>42.956886707004507</v>
      </c>
      <c r="W335" s="46">
        <f t="shared" si="157"/>
        <v>37.182461539371538</v>
      </c>
      <c r="X335" s="46">
        <f t="shared" si="157"/>
        <v>36.746683577344335</v>
      </c>
      <c r="Y335" s="46">
        <f t="shared" si="157"/>
        <v>36.312028070479755</v>
      </c>
      <c r="Z335" s="46">
        <f t="shared" si="157"/>
        <v>35.878490687609677</v>
      </c>
      <c r="AA335" s="46">
        <f t="shared" si="157"/>
        <v>35.446067119820661</v>
      </c>
      <c r="AB335" s="46">
        <f t="shared" si="157"/>
        <v>35.01475308031123</v>
      </c>
      <c r="AC335" s="46">
        <f t="shared" si="157"/>
        <v>34.584544304250159</v>
      </c>
      <c r="AD335" s="46">
        <f t="shared" si="157"/>
        <v>34.155436548635947</v>
      </c>
      <c r="AE335" s="46">
        <f t="shared" si="157"/>
        <v>33.727425592157303</v>
      </c>
      <c r="AF335" s="46">
        <f t="shared" si="157"/>
        <v>33.300507235054752</v>
      </c>
      <c r="AG335" s="46">
        <f t="shared" si="157"/>
        <v>32.874677298983215</v>
      </c>
      <c r="AH335" s="46">
        <f t="shared" si="157"/>
        <v>32.449931626875752</v>
      </c>
      <c r="AI335" s="46">
        <f t="shared" si="157"/>
        <v>32.026266082808256</v>
      </c>
      <c r="AJ335" s="46">
        <f t="shared" si="157"/>
        <v>31.603676551865203</v>
      </c>
      <c r="AK335" s="46">
        <f t="shared" si="157"/>
        <v>31.182158940006463</v>
      </c>
      <c r="AL335" s="46">
        <f t="shared" si="157"/>
        <v>30.761709173935035</v>
      </c>
      <c r="AM335" s="46">
        <f t="shared" si="157"/>
        <v>30.34232320096589</v>
      </c>
      <c r="AN335" s="46">
        <f t="shared" si="157"/>
        <v>29.923996988895741</v>
      </c>
      <c r="AO335" s="46">
        <f t="shared" si="157"/>
        <v>29.506726525873798</v>
      </c>
      <c r="AP335" s="46">
        <f t="shared" si="157"/>
        <v>29.090507820273551</v>
      </c>
      <c r="AQ335" s="46">
        <f t="shared" si="157"/>
        <v>28.675336900565451</v>
      </c>
    </row>
    <row r="336" spans="7:43" ht="14.25" hidden="1" customHeight="1" thickBot="1" x14ac:dyDescent="0.2">
      <c r="G336" s="7"/>
      <c r="H336" s="209"/>
      <c r="J336" s="156"/>
      <c r="K336" s="14" t="s">
        <v>86</v>
      </c>
      <c r="L336" s="14" t="s">
        <v>62</v>
      </c>
      <c r="M336" s="45">
        <f t="shared" ref="M336:AQ336" si="158" xml:space="preserve"> ((M$77 * M$352 *M$378 * (M207 * 1 + M304) +M239) * 1000 / (M111 * 8760)) + M271 + 0</f>
        <v>79.711189421023263</v>
      </c>
      <c r="N336" s="45">
        <f t="shared" si="158"/>
        <v>77.422806548530019</v>
      </c>
      <c r="O336" s="45">
        <f t="shared" si="158"/>
        <v>76.272763875639058</v>
      </c>
      <c r="P336" s="45">
        <f t="shared" si="158"/>
        <v>75.12272120274811</v>
      </c>
      <c r="Q336" s="45">
        <f t="shared" si="158"/>
        <v>76.51027262763877</v>
      </c>
      <c r="R336" s="45">
        <f t="shared" si="158"/>
        <v>75.319575800183074</v>
      </c>
      <c r="S336" s="45">
        <f t="shared" si="158"/>
        <v>83.433510187183941</v>
      </c>
      <c r="T336" s="45">
        <f t="shared" si="158"/>
        <v>83.204691403503233</v>
      </c>
      <c r="U336" s="45">
        <f t="shared" si="158"/>
        <v>82.93895743838452</v>
      </c>
      <c r="V336" s="45">
        <f t="shared" si="158"/>
        <v>82.635953809297703</v>
      </c>
      <c r="W336" s="45">
        <f t="shared" si="158"/>
        <v>82.295351570219026</v>
      </c>
      <c r="X336" s="45">
        <f t="shared" si="158"/>
        <v>80.003268954099227</v>
      </c>
      <c r="Y336" s="45">
        <f t="shared" si="158"/>
        <v>77.715080578897528</v>
      </c>
      <c r="Z336" s="45">
        <f t="shared" si="158"/>
        <v>75.430776528583593</v>
      </c>
      <c r="AA336" s="45">
        <f t="shared" si="158"/>
        <v>73.150346920764491</v>
      </c>
      <c r="AB336" s="45">
        <f t="shared" si="158"/>
        <v>70.87378190654232</v>
      </c>
      <c r="AC336" s="45">
        <f t="shared" si="158"/>
        <v>68.601071670372264</v>
      </c>
      <c r="AD336" s="45">
        <f t="shared" si="158"/>
        <v>66.332206429921641</v>
      </c>
      <c r="AE336" s="45">
        <f t="shared" si="158"/>
        <v>64.06717643592944</v>
      </c>
      <c r="AF336" s="45">
        <f t="shared" si="158"/>
        <v>61.80597197206685</v>
      </c>
      <c r="AG336" s="45">
        <f t="shared" si="158"/>
        <v>59.548583354798126</v>
      </c>
      <c r="AH336" s="45">
        <f t="shared" si="158"/>
        <v>57.295000933242505</v>
      </c>
      <c r="AI336" s="45">
        <f t="shared" si="158"/>
        <v>55.045215089036581</v>
      </c>
      <c r="AJ336" s="45">
        <f t="shared" si="158"/>
        <v>52.799216236197545</v>
      </c>
      <c r="AK336" s="45">
        <f t="shared" si="158"/>
        <v>50.556994820986965</v>
      </c>
      <c r="AL336" s="45">
        <f t="shared" si="158"/>
        <v>48.318541321775385</v>
      </c>
      <c r="AM336" s="45">
        <f t="shared" si="158"/>
        <v>46.08384624890747</v>
      </c>
      <c r="AN336" s="45">
        <f t="shared" si="158"/>
        <v>43.85290014456799</v>
      </c>
      <c r="AO336" s="45">
        <f t="shared" si="158"/>
        <v>41.62569358264836</v>
      </c>
      <c r="AP336" s="45">
        <f t="shared" si="158"/>
        <v>39.402217168613838</v>
      </c>
      <c r="AQ336" s="45">
        <f t="shared" si="158"/>
        <v>37.182461539371538</v>
      </c>
    </row>
    <row r="337" spans="7:43" ht="14.25" hidden="1" customHeight="1" thickTop="1" x14ac:dyDescent="0.15">
      <c r="G337" s="7"/>
      <c r="H337" s="209"/>
      <c r="J337" s="156"/>
      <c r="K337" s="13" t="s">
        <v>85</v>
      </c>
      <c r="L337" s="13" t="s">
        <v>67</v>
      </c>
      <c r="M337" s="48">
        <f t="shared" ref="M337:AQ337" si="159" xml:space="preserve"> ((M$75 * M$350 *M$376 * (M208 * 1 + M305) +M240) * 1000 / (M112 * 8760)) + M272 + 0</f>
        <v>78.170434676100726</v>
      </c>
      <c r="N337" s="48">
        <f t="shared" si="159"/>
        <v>75.629865169736348</v>
      </c>
      <c r="O337" s="48">
        <f t="shared" si="159"/>
        <v>69.629867314693385</v>
      </c>
      <c r="P337" s="48">
        <f t="shared" si="159"/>
        <v>63.676354964695129</v>
      </c>
      <c r="Q337" s="48">
        <f t="shared" si="159"/>
        <v>59.73624050397364</v>
      </c>
      <c r="R337" s="48">
        <f t="shared" si="159"/>
        <v>53.667152441333798</v>
      </c>
      <c r="S337" s="48">
        <f t="shared" si="159"/>
        <v>53.535608991688363</v>
      </c>
      <c r="T337" s="48">
        <f t="shared" si="159"/>
        <v>47.411230542510019</v>
      </c>
      <c r="U337" s="48">
        <f t="shared" si="159"/>
        <v>41.151609997898504</v>
      </c>
      <c r="V337" s="48">
        <f t="shared" si="159"/>
        <v>34.757992929041222</v>
      </c>
      <c r="W337" s="48">
        <f t="shared" si="159"/>
        <v>28.23171487426216</v>
      </c>
      <c r="X337" s="48">
        <f t="shared" si="159"/>
        <v>27.833629865964994</v>
      </c>
      <c r="Y337" s="48">
        <f t="shared" si="159"/>
        <v>27.435544857667825</v>
      </c>
      <c r="Z337" s="48">
        <f t="shared" si="159"/>
        <v>27.037459849370656</v>
      </c>
      <c r="AA337" s="48">
        <f t="shared" si="159"/>
        <v>26.639374841073494</v>
      </c>
      <c r="AB337" s="48">
        <f t="shared" si="159"/>
        <v>26.241289832776317</v>
      </c>
      <c r="AC337" s="48">
        <f t="shared" si="159"/>
        <v>25.843204824479155</v>
      </c>
      <c r="AD337" s="48">
        <f t="shared" si="159"/>
        <v>25.445119816181986</v>
      </c>
      <c r="AE337" s="48">
        <f t="shared" si="159"/>
        <v>25.047034807884817</v>
      </c>
      <c r="AF337" s="48">
        <f t="shared" si="159"/>
        <v>24.648949799587648</v>
      </c>
      <c r="AG337" s="48">
        <f t="shared" si="159"/>
        <v>24.250864791290482</v>
      </c>
      <c r="AH337" s="48">
        <f t="shared" si="159"/>
        <v>23.85277978299332</v>
      </c>
      <c r="AI337" s="48">
        <f t="shared" si="159"/>
        <v>23.454694774696144</v>
      </c>
      <c r="AJ337" s="48">
        <f t="shared" si="159"/>
        <v>23.056609766398974</v>
      </c>
      <c r="AK337" s="48">
        <f t="shared" si="159"/>
        <v>22.658524758101812</v>
      </c>
      <c r="AL337" s="48">
        <f t="shared" si="159"/>
        <v>22.260439749804643</v>
      </c>
      <c r="AM337" s="48">
        <f t="shared" si="159"/>
        <v>21.862354741507477</v>
      </c>
      <c r="AN337" s="48">
        <f t="shared" si="159"/>
        <v>21.464269733210308</v>
      </c>
      <c r="AO337" s="48">
        <f t="shared" si="159"/>
        <v>21.066184724913136</v>
      </c>
      <c r="AP337" s="48">
        <f t="shared" si="159"/>
        <v>20.66809971661597</v>
      </c>
      <c r="AQ337" s="48">
        <f t="shared" si="159"/>
        <v>20.270014708318836</v>
      </c>
    </row>
    <row r="338" spans="7:43" ht="14.25" hidden="1" customHeight="1" x14ac:dyDescent="0.15">
      <c r="G338" s="7"/>
      <c r="H338" s="209"/>
      <c r="J338" s="156"/>
      <c r="K338" s="5" t="s">
        <v>85</v>
      </c>
      <c r="L338" s="47" t="s">
        <v>66</v>
      </c>
      <c r="M338" s="46">
        <f t="shared" ref="M338:AQ338" si="160" xml:space="preserve"> ((M$76 * M$351 *M$377 * (M209 * 1 + M306) +M241) * 1000 / (M113 * 8760)) + M273 + 0</f>
        <v>78.356785477582036</v>
      </c>
      <c r="N338" s="46">
        <f t="shared" si="160"/>
        <v>75.989897654382247</v>
      </c>
      <c r="O338" s="46">
        <f t="shared" si="160"/>
        <v>70.822938692529661</v>
      </c>
      <c r="P338" s="46">
        <f t="shared" si="160"/>
        <v>65.671869732043234</v>
      </c>
      <c r="Q338" s="46">
        <f t="shared" si="160"/>
        <v>62.601026443175897</v>
      </c>
      <c r="R338" s="46">
        <f t="shared" si="160"/>
        <v>57.300658952800653</v>
      </c>
      <c r="S338" s="46">
        <f t="shared" si="160"/>
        <v>58.468556892725047</v>
      </c>
      <c r="T338" s="46">
        <f t="shared" si="160"/>
        <v>53.223401283564101</v>
      </c>
      <c r="U338" s="46">
        <f t="shared" si="160"/>
        <v>47.831200317495252</v>
      </c>
      <c r="V338" s="46">
        <f t="shared" si="160"/>
        <v>42.292321851473005</v>
      </c>
      <c r="W338" s="46">
        <f t="shared" si="160"/>
        <v>36.607229974063756</v>
      </c>
      <c r="X338" s="46">
        <f t="shared" si="160"/>
        <v>36.178193718444504</v>
      </c>
      <c r="Y338" s="46">
        <f t="shared" si="160"/>
        <v>35.750262553036414</v>
      </c>
      <c r="Z338" s="46">
        <f t="shared" si="160"/>
        <v>35.32343221367671</v>
      </c>
      <c r="AA338" s="46">
        <f t="shared" si="160"/>
        <v>34.897698458113055</v>
      </c>
      <c r="AB338" s="46">
        <f t="shared" si="160"/>
        <v>34.47305706586296</v>
      </c>
      <c r="AC338" s="46">
        <f t="shared" si="160"/>
        <v>34.049503838074308</v>
      </c>
      <c r="AD338" s="46">
        <f t="shared" si="160"/>
        <v>33.627034597386988</v>
      </c>
      <c r="AE338" s="46">
        <f t="shared" si="160"/>
        <v>33.205645187795533</v>
      </c>
      <c r="AF338" s="46">
        <f t="shared" si="160"/>
        <v>32.78533147451288</v>
      </c>
      <c r="AG338" s="46">
        <f t="shared" si="160"/>
        <v>32.366089343835078</v>
      </c>
      <c r="AH338" s="46">
        <f t="shared" si="160"/>
        <v>31.947914703007115</v>
      </c>
      <c r="AI338" s="46">
        <f t="shared" si="160"/>
        <v>31.530803480089727</v>
      </c>
      <c r="AJ338" s="46">
        <f t="shared" si="160"/>
        <v>31.114751623827242</v>
      </c>
      <c r="AK338" s="46">
        <f t="shared" si="160"/>
        <v>30.699755103516388</v>
      </c>
      <c r="AL338" s="46">
        <f t="shared" si="160"/>
        <v>30.285809908876157</v>
      </c>
      <c r="AM338" s="46">
        <f t="shared" si="160"/>
        <v>29.872912049918607</v>
      </c>
      <c r="AN338" s="46">
        <f t="shared" si="160"/>
        <v>29.461057556820681</v>
      </c>
      <c r="AO338" s="46">
        <f t="shared" si="160"/>
        <v>29.050242479796957</v>
      </c>
      <c r="AP338" s="46">
        <f t="shared" si="160"/>
        <v>28.640462888973428</v>
      </c>
      <c r="AQ338" s="46">
        <f t="shared" si="160"/>
        <v>28.23171487426216</v>
      </c>
    </row>
    <row r="339" spans="7:43" ht="14.25" hidden="1" customHeight="1" thickBot="1" x14ac:dyDescent="0.2">
      <c r="G339" s="7"/>
      <c r="H339" s="209"/>
      <c r="J339" s="157"/>
      <c r="K339" s="14" t="s">
        <v>85</v>
      </c>
      <c r="L339" s="14" t="s">
        <v>62</v>
      </c>
      <c r="M339" s="45">
        <f t="shared" ref="M339:AQ339" si="161" xml:space="preserve"> ((M$77 * M$352 *M$378 * (M210 * 1 + M307) +M242) * 1000 / (M114 * 8760)) + M274 + 0</f>
        <v>78.478016834677717</v>
      </c>
      <c r="N339" s="45">
        <f t="shared" si="161"/>
        <v>76.225036407511382</v>
      </c>
      <c r="O339" s="45">
        <f t="shared" si="161"/>
        <v>75.092785478886668</v>
      </c>
      <c r="P339" s="45">
        <f t="shared" si="161"/>
        <v>73.960534550261968</v>
      </c>
      <c r="Q339" s="45">
        <f t="shared" si="161"/>
        <v>75.326619849860194</v>
      </c>
      <c r="R339" s="45">
        <f t="shared" si="161"/>
        <v>74.154343707090447</v>
      </c>
      <c r="S339" s="45">
        <f t="shared" si="161"/>
        <v>82.142751407986992</v>
      </c>
      <c r="T339" s="45">
        <f t="shared" si="161"/>
        <v>81.917472567108859</v>
      </c>
      <c r="U339" s="45">
        <f t="shared" si="161"/>
        <v>81.655849641399115</v>
      </c>
      <c r="V339" s="45">
        <f t="shared" si="161"/>
        <v>81.357533632352428</v>
      </c>
      <c r="W339" s="45">
        <f t="shared" si="161"/>
        <v>81.022200682907126</v>
      </c>
      <c r="X339" s="45">
        <f t="shared" si="161"/>
        <v>78.765577749027287</v>
      </c>
      <c r="Y339" s="45">
        <f t="shared" si="161"/>
        <v>76.512788810180609</v>
      </c>
      <c r="Z339" s="45">
        <f t="shared" si="161"/>
        <v>74.26382410374282</v>
      </c>
      <c r="AA339" s="45">
        <f t="shared" si="161"/>
        <v>72.018673900206593</v>
      </c>
      <c r="AB339" s="45">
        <f t="shared" si="161"/>
        <v>69.777328503041488</v>
      </c>
      <c r="AC339" s="45">
        <f t="shared" si="161"/>
        <v>67.539778248554171</v>
      </c>
      <c r="AD339" s="45">
        <f t="shared" si="161"/>
        <v>65.30601350574959</v>
      </c>
      <c r="AE339" s="45">
        <f t="shared" si="161"/>
        <v>63.076024676192766</v>
      </c>
      <c r="AF339" s="45">
        <f t="shared" si="161"/>
        <v>60.849802193871426</v>
      </c>
      <c r="AG339" s="45">
        <f t="shared" si="161"/>
        <v>58.627336525059057</v>
      </c>
      <c r="AH339" s="45">
        <f t="shared" si="161"/>
        <v>56.40861816817889</v>
      </c>
      <c r="AI339" s="45">
        <f t="shared" si="161"/>
        <v>54.19363765366851</v>
      </c>
      <c r="AJ339" s="45">
        <f t="shared" si="161"/>
        <v>51.982385543845133</v>
      </c>
      <c r="AK339" s="45">
        <f t="shared" si="161"/>
        <v>49.774852432771503</v>
      </c>
      <c r="AL339" s="45">
        <f t="shared" si="161"/>
        <v>47.571028946122617</v>
      </c>
      <c r="AM339" s="45">
        <f t="shared" si="161"/>
        <v>45.370905741052908</v>
      </c>
      <c r="AN339" s="45">
        <f t="shared" si="161"/>
        <v>43.174473506064381</v>
      </c>
      <c r="AO339" s="45">
        <f t="shared" si="161"/>
        <v>40.981722960875118</v>
      </c>
      <c r="AP339" s="45">
        <f t="shared" si="161"/>
        <v>38.792644856288611</v>
      </c>
      <c r="AQ339" s="45">
        <f t="shared" si="161"/>
        <v>36.607229974063756</v>
      </c>
    </row>
    <row r="340" spans="7:43" ht="14.25" hidden="1" customHeight="1" thickTop="1" thickBot="1" x14ac:dyDescent="0.2">
      <c r="G340" s="7"/>
    </row>
    <row r="341" spans="7:43" ht="14.25" hidden="1" customHeight="1" x14ac:dyDescent="0.15">
      <c r="G341" s="7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</row>
    <row r="342" spans="7:43" ht="14.25" hidden="1" customHeight="1" x14ac:dyDescent="0.15">
      <c r="G342" s="7"/>
      <c r="M342" s="12">
        <v>2020</v>
      </c>
      <c r="N342" s="12">
        <v>2021</v>
      </c>
      <c r="O342" s="12">
        <v>2022</v>
      </c>
      <c r="P342" s="12">
        <v>2023</v>
      </c>
      <c r="Q342" s="12">
        <v>2024</v>
      </c>
      <c r="R342" s="12">
        <v>2025</v>
      </c>
      <c r="S342" s="12">
        <v>2026</v>
      </c>
      <c r="T342" s="12">
        <v>2027</v>
      </c>
      <c r="U342" s="12">
        <v>2028</v>
      </c>
      <c r="V342" s="12">
        <v>2029</v>
      </c>
      <c r="W342" s="12">
        <v>2030</v>
      </c>
      <c r="X342" s="12">
        <v>2031</v>
      </c>
      <c r="Y342" s="12">
        <v>2032</v>
      </c>
      <c r="Z342" s="12">
        <v>2033</v>
      </c>
      <c r="AA342" s="12">
        <v>2034</v>
      </c>
      <c r="AB342" s="12">
        <v>2035</v>
      </c>
      <c r="AC342" s="12">
        <v>2036</v>
      </c>
      <c r="AD342" s="12">
        <v>2037</v>
      </c>
      <c r="AE342" s="12">
        <v>2038</v>
      </c>
      <c r="AF342" s="12">
        <v>2039</v>
      </c>
      <c r="AG342" s="12">
        <v>2040</v>
      </c>
      <c r="AH342" s="12">
        <v>2041</v>
      </c>
      <c r="AI342" s="12">
        <v>2042</v>
      </c>
      <c r="AJ342" s="12">
        <v>2043</v>
      </c>
      <c r="AK342" s="12">
        <v>2044</v>
      </c>
      <c r="AL342" s="12">
        <v>2045</v>
      </c>
      <c r="AM342" s="12">
        <v>2046</v>
      </c>
      <c r="AN342" s="12">
        <v>2047</v>
      </c>
      <c r="AO342" s="12">
        <v>2048</v>
      </c>
      <c r="AP342" s="12">
        <v>2049</v>
      </c>
      <c r="AQ342" s="12">
        <v>2050</v>
      </c>
    </row>
    <row r="343" spans="7:43" ht="14.25" hidden="1" customHeight="1" x14ac:dyDescent="0.15">
      <c r="G343" s="7"/>
      <c r="H343" s="210" t="s">
        <v>84</v>
      </c>
      <c r="J343" s="155" t="s">
        <v>83</v>
      </c>
      <c r="K343" s="5" t="s">
        <v>82</v>
      </c>
      <c r="L343" s="5" t="s">
        <v>67</v>
      </c>
      <c r="M343" s="43">
        <v>0.116085097876559</v>
      </c>
      <c r="N343" s="43">
        <v>0.116085097876559</v>
      </c>
      <c r="O343" s="43">
        <v>0.116085097876559</v>
      </c>
      <c r="P343" s="43">
        <v>0.116085097876559</v>
      </c>
      <c r="Q343" s="43">
        <v>0.116085097876559</v>
      </c>
      <c r="R343" s="43">
        <v>0.116085097876559</v>
      </c>
      <c r="S343" s="43">
        <v>0.116085097876559</v>
      </c>
      <c r="T343" s="43">
        <v>0.116085097876559</v>
      </c>
      <c r="U343" s="43">
        <v>0.116085097876559</v>
      </c>
      <c r="V343" s="43">
        <v>0.116085097876559</v>
      </c>
      <c r="W343" s="43">
        <v>0.116085097876559</v>
      </c>
      <c r="X343" s="43">
        <v>0.116085097876559</v>
      </c>
      <c r="Y343" s="43">
        <v>0.116085097876559</v>
      </c>
      <c r="Z343" s="43">
        <v>0.116085097876559</v>
      </c>
      <c r="AA343" s="43">
        <v>0.116085097876559</v>
      </c>
      <c r="AB343" s="43">
        <v>0.116085097876559</v>
      </c>
      <c r="AC343" s="43">
        <v>0.116085097876559</v>
      </c>
      <c r="AD343" s="43">
        <v>0.116085097876559</v>
      </c>
      <c r="AE343" s="43">
        <v>0.116085097876559</v>
      </c>
      <c r="AF343" s="43">
        <v>0.116085097876559</v>
      </c>
      <c r="AG343" s="43">
        <v>0.116085097876559</v>
      </c>
      <c r="AH343" s="43">
        <v>0.116085097876559</v>
      </c>
      <c r="AI343" s="43">
        <v>0.116085097876559</v>
      </c>
      <c r="AJ343" s="43">
        <v>0.116085097876559</v>
      </c>
      <c r="AK343" s="43">
        <v>0.116085097876559</v>
      </c>
      <c r="AL343" s="43">
        <v>0.116085097876559</v>
      </c>
      <c r="AM343" s="43">
        <v>0.116085097876559</v>
      </c>
      <c r="AN343" s="43">
        <v>0.116085097876559</v>
      </c>
      <c r="AO343" s="43">
        <v>0.116085097876559</v>
      </c>
      <c r="AP343" s="43">
        <v>0.116085097876559</v>
      </c>
      <c r="AQ343" s="43">
        <v>0.116085097876559</v>
      </c>
    </row>
    <row r="344" spans="7:43" ht="14.25" hidden="1" customHeight="1" x14ac:dyDescent="0.15">
      <c r="G344" s="7"/>
      <c r="H344" s="210"/>
      <c r="J344" s="156"/>
      <c r="K344" s="5" t="s">
        <v>82</v>
      </c>
      <c r="L344" s="5" t="s">
        <v>66</v>
      </c>
      <c r="M344" s="43">
        <v>0.116085097876559</v>
      </c>
      <c r="N344" s="43">
        <v>0.116085097876559</v>
      </c>
      <c r="O344" s="43">
        <v>0.116085097876559</v>
      </c>
      <c r="P344" s="43">
        <v>0.116085097876559</v>
      </c>
      <c r="Q344" s="43">
        <v>0.116085097876559</v>
      </c>
      <c r="R344" s="43">
        <v>0.116085097876559</v>
      </c>
      <c r="S344" s="43">
        <v>0.116085097876559</v>
      </c>
      <c r="T344" s="43">
        <v>0.116085097876559</v>
      </c>
      <c r="U344" s="43">
        <v>0.116085097876559</v>
      </c>
      <c r="V344" s="43">
        <v>0.116085097876559</v>
      </c>
      <c r="W344" s="43">
        <v>0.116085097876559</v>
      </c>
      <c r="X344" s="43">
        <v>0.116085097876559</v>
      </c>
      <c r="Y344" s="43">
        <v>0.116085097876559</v>
      </c>
      <c r="Z344" s="43">
        <v>0.116085097876559</v>
      </c>
      <c r="AA344" s="43">
        <v>0.116085097876559</v>
      </c>
      <c r="AB344" s="43">
        <v>0.116085097876559</v>
      </c>
      <c r="AC344" s="43">
        <v>0.116085097876559</v>
      </c>
      <c r="AD344" s="43">
        <v>0.116085097876559</v>
      </c>
      <c r="AE344" s="43">
        <v>0.116085097876559</v>
      </c>
      <c r="AF344" s="43">
        <v>0.116085097876559</v>
      </c>
      <c r="AG344" s="43">
        <v>0.116085097876559</v>
      </c>
      <c r="AH344" s="43">
        <v>0.116085097876559</v>
      </c>
      <c r="AI344" s="43">
        <v>0.116085097876559</v>
      </c>
      <c r="AJ344" s="43">
        <v>0.116085097876559</v>
      </c>
      <c r="AK344" s="43">
        <v>0.116085097876559</v>
      </c>
      <c r="AL344" s="43">
        <v>0.116085097876559</v>
      </c>
      <c r="AM344" s="43">
        <v>0.116085097876559</v>
      </c>
      <c r="AN344" s="43">
        <v>0.116085097876559</v>
      </c>
      <c r="AO344" s="43">
        <v>0.116085097876559</v>
      </c>
      <c r="AP344" s="43">
        <v>0.116085097876559</v>
      </c>
      <c r="AQ344" s="43">
        <v>0.116085097876559</v>
      </c>
    </row>
    <row r="345" spans="7:43" ht="14.25" hidden="1" customHeight="1" x14ac:dyDescent="0.15">
      <c r="G345" s="7"/>
      <c r="H345" s="210"/>
      <c r="J345" s="156"/>
      <c r="K345" s="5" t="s">
        <v>82</v>
      </c>
      <c r="L345" s="5" t="s">
        <v>62</v>
      </c>
      <c r="M345" s="43">
        <v>0.116085097876559</v>
      </c>
      <c r="N345" s="43">
        <v>0.116085097876559</v>
      </c>
      <c r="O345" s="43">
        <v>0.116085097876559</v>
      </c>
      <c r="P345" s="43">
        <v>0.116085097876559</v>
      </c>
      <c r="Q345" s="43">
        <v>0.116085097876559</v>
      </c>
      <c r="R345" s="43">
        <v>0.116085097876559</v>
      </c>
      <c r="S345" s="43">
        <v>0.116085097876559</v>
      </c>
      <c r="T345" s="43">
        <v>0.116085097876559</v>
      </c>
      <c r="U345" s="43">
        <v>0.116085097876559</v>
      </c>
      <c r="V345" s="43">
        <v>0.116085097876559</v>
      </c>
      <c r="W345" s="43">
        <v>0.116085097876559</v>
      </c>
      <c r="X345" s="43">
        <v>0.116085097876559</v>
      </c>
      <c r="Y345" s="43">
        <v>0.116085097876559</v>
      </c>
      <c r="Z345" s="43">
        <v>0.116085097876559</v>
      </c>
      <c r="AA345" s="43">
        <v>0.116085097876559</v>
      </c>
      <c r="AB345" s="43">
        <v>0.116085097876559</v>
      </c>
      <c r="AC345" s="43">
        <v>0.116085097876559</v>
      </c>
      <c r="AD345" s="43">
        <v>0.116085097876559</v>
      </c>
      <c r="AE345" s="43">
        <v>0.116085097876559</v>
      </c>
      <c r="AF345" s="43">
        <v>0.116085097876559</v>
      </c>
      <c r="AG345" s="43">
        <v>0.116085097876559</v>
      </c>
      <c r="AH345" s="43">
        <v>0.116085097876559</v>
      </c>
      <c r="AI345" s="43">
        <v>0.116085097876559</v>
      </c>
      <c r="AJ345" s="43">
        <v>0.116085097876559</v>
      </c>
      <c r="AK345" s="43">
        <v>0.116085097876559</v>
      </c>
      <c r="AL345" s="43">
        <v>0.116085097876559</v>
      </c>
      <c r="AM345" s="43">
        <v>0.116085097876559</v>
      </c>
      <c r="AN345" s="43">
        <v>0.116085097876559</v>
      </c>
      <c r="AO345" s="43">
        <v>0.116085097876559</v>
      </c>
      <c r="AP345" s="43">
        <v>0.116085097876559</v>
      </c>
      <c r="AQ345" s="43">
        <v>0.116085097876559</v>
      </c>
    </row>
    <row r="346" spans="7:43" ht="14.25" hidden="1" customHeight="1" x14ac:dyDescent="0.15">
      <c r="G346" s="7"/>
      <c r="H346" s="210"/>
      <c r="J346" s="156"/>
      <c r="K346" s="5" t="s">
        <v>81</v>
      </c>
      <c r="L346" s="5" t="s">
        <v>68</v>
      </c>
      <c r="M346" s="42">
        <f>IF($S$34="Market",'[2]Tax Credits'!C14,'[2]Tax Credits'!C3)</f>
        <v>0.30000001192092896</v>
      </c>
      <c r="N346" s="42">
        <f>IF($S$34="Market",'[2]Tax Credits'!D14,'[2]Tax Credits'!D3)</f>
        <v>0.30000001192092896</v>
      </c>
      <c r="O346" s="42">
        <f>IF($S$34="Market",'[2]Tax Credits'!E14,'[2]Tax Credits'!E3)</f>
        <v>0.30000001192092896</v>
      </c>
      <c r="P346" s="42">
        <f>IF($S$34="Market",'[2]Tax Credits'!F14,'[2]Tax Credits'!F3)</f>
        <v>0.30000001192092896</v>
      </c>
      <c r="Q346" s="42">
        <f>IF($S$34="Market",'[2]Tax Credits'!G14,'[2]Tax Credits'!G3)</f>
        <v>0.26</v>
      </c>
      <c r="R346" s="42">
        <f>IF($S$34="Market",'[2]Tax Credits'!H14,'[2]Tax Credits'!H3)</f>
        <v>0.26</v>
      </c>
      <c r="S346" s="42">
        <f>IF($S$34="Market",'[2]Tax Credits'!I14,'[2]Tax Credits'!I3)</f>
        <v>0.1</v>
      </c>
      <c r="T346" s="42">
        <f>IF($S$34="Market",'[2]Tax Credits'!J14,'[2]Tax Credits'!J3)</f>
        <v>0.1</v>
      </c>
      <c r="U346" s="42">
        <f>IF($S$34="Market",'[2]Tax Credits'!K14,'[2]Tax Credits'!K3)</f>
        <v>0.1</v>
      </c>
      <c r="V346" s="42">
        <f>IF($S$34="Market",'[2]Tax Credits'!L14,'[2]Tax Credits'!L3)</f>
        <v>0.1</v>
      </c>
      <c r="W346" s="42">
        <f>IF($S$34="Market",'[2]Tax Credits'!M14,'[2]Tax Credits'!M3)</f>
        <v>0.1</v>
      </c>
      <c r="X346" s="42">
        <f>IF($S$34="Market",'[2]Tax Credits'!N14,'[2]Tax Credits'!N3)</f>
        <v>0.1</v>
      </c>
      <c r="Y346" s="42">
        <f>IF($S$34="Market",'[2]Tax Credits'!O14,'[2]Tax Credits'!O3)</f>
        <v>0.1</v>
      </c>
      <c r="Z346" s="42">
        <f>IF($S$34="Market",'[2]Tax Credits'!P14,'[2]Tax Credits'!P3)</f>
        <v>0.1</v>
      </c>
      <c r="AA346" s="42">
        <f>IF($S$34="Market",'[2]Tax Credits'!Q14,'[2]Tax Credits'!Q3)</f>
        <v>0.1</v>
      </c>
      <c r="AB346" s="42">
        <f>IF($S$34="Market",'[2]Tax Credits'!R14,'[2]Tax Credits'!R3)</f>
        <v>0.1</v>
      </c>
      <c r="AC346" s="42">
        <f>IF($S$34="Market",'[2]Tax Credits'!S14,'[2]Tax Credits'!S3)</f>
        <v>0.1</v>
      </c>
      <c r="AD346" s="42">
        <f>IF($S$34="Market",'[2]Tax Credits'!T14,'[2]Tax Credits'!T3)</f>
        <v>0.1</v>
      </c>
      <c r="AE346" s="42">
        <f>IF($S$34="Market",'[2]Tax Credits'!U14,'[2]Tax Credits'!U3)</f>
        <v>0.1</v>
      </c>
      <c r="AF346" s="42">
        <f>IF($S$34="Market",'[2]Tax Credits'!V14,'[2]Tax Credits'!V3)</f>
        <v>0.1</v>
      </c>
      <c r="AG346" s="42">
        <f>IF($S$34="Market",'[2]Tax Credits'!W14,'[2]Tax Credits'!W3)</f>
        <v>0.1</v>
      </c>
      <c r="AH346" s="42">
        <f>IF($S$34="Market",'[2]Tax Credits'!X14,'[2]Tax Credits'!X3)</f>
        <v>0.1</v>
      </c>
      <c r="AI346" s="42">
        <f>IF($S$34="Market",'[2]Tax Credits'!Y14,'[2]Tax Credits'!Y3)</f>
        <v>0.1</v>
      </c>
      <c r="AJ346" s="42">
        <f>IF($S$34="Market",'[2]Tax Credits'!Z14,'[2]Tax Credits'!Z3)</f>
        <v>0.1</v>
      </c>
      <c r="AK346" s="42">
        <f>IF($S$34="Market",'[2]Tax Credits'!AA14,'[2]Tax Credits'!AA3)</f>
        <v>0.1</v>
      </c>
      <c r="AL346" s="42">
        <f>IF($S$34="Market",'[2]Tax Credits'!AB14,'[2]Tax Credits'!AB3)</f>
        <v>0.1</v>
      </c>
      <c r="AM346" s="42">
        <f>IF($S$34="Market",'[2]Tax Credits'!AC14,'[2]Tax Credits'!AC3)</f>
        <v>0.1</v>
      </c>
      <c r="AN346" s="42">
        <f>IF($S$34="Market",'[2]Tax Credits'!AD14,'[2]Tax Credits'!AD3)</f>
        <v>0.1</v>
      </c>
      <c r="AO346" s="42">
        <f>IF($S$34="Market",'[2]Tax Credits'!AE14,'[2]Tax Credits'!AE3)</f>
        <v>0.1</v>
      </c>
      <c r="AP346" s="42">
        <f>IF($S$34="Market",'[2]Tax Credits'!AF14,'[2]Tax Credits'!AF3)</f>
        <v>0.1</v>
      </c>
      <c r="AQ346" s="42">
        <f>IF($S$34="Market",'[2]Tax Credits'!AG14,'[2]Tax Credits'!AG3)</f>
        <v>0.1</v>
      </c>
    </row>
    <row r="347" spans="7:43" ht="14.25" hidden="1" customHeight="1" x14ac:dyDescent="0.15">
      <c r="G347" s="7"/>
      <c r="H347" s="210"/>
      <c r="J347" s="156"/>
      <c r="K347" s="5" t="s">
        <v>80</v>
      </c>
      <c r="L347" s="5" t="s">
        <v>67</v>
      </c>
      <c r="M347" s="41">
        <f t="shared" ref="M347:AQ347" si="162">SUMPRODUCT($I$354:$I$359,M354:M359)</f>
        <v>0.85977827001126383</v>
      </c>
      <c r="N347" s="41">
        <f t="shared" si="162"/>
        <v>0.85977827001126383</v>
      </c>
      <c r="O347" s="41">
        <f t="shared" si="162"/>
        <v>0.85977827001126383</v>
      </c>
      <c r="P347" s="41">
        <f t="shared" si="162"/>
        <v>0.85977827001126383</v>
      </c>
      <c r="Q347" s="41">
        <f t="shared" si="162"/>
        <v>0.86355136559190959</v>
      </c>
      <c r="R347" s="41">
        <f t="shared" si="162"/>
        <v>0.86355136559190959</v>
      </c>
      <c r="S347" s="41">
        <f t="shared" si="162"/>
        <v>0.87662550032479247</v>
      </c>
      <c r="T347" s="41">
        <f t="shared" si="162"/>
        <v>0.87388482020613945</v>
      </c>
      <c r="U347" s="41">
        <f t="shared" si="162"/>
        <v>0.87118255672249489</v>
      </c>
      <c r="V347" s="41">
        <f t="shared" si="162"/>
        <v>0.86851824034386882</v>
      </c>
      <c r="W347" s="41">
        <f t="shared" si="162"/>
        <v>0.86589141075319465</v>
      </c>
      <c r="X347" s="41">
        <f t="shared" si="162"/>
        <v>0.86589141075319465</v>
      </c>
      <c r="Y347" s="41">
        <f t="shared" si="162"/>
        <v>0.86589141075319465</v>
      </c>
      <c r="Z347" s="41">
        <f t="shared" si="162"/>
        <v>0.86589141075319465</v>
      </c>
      <c r="AA347" s="41">
        <f t="shared" si="162"/>
        <v>0.86589141075319465</v>
      </c>
      <c r="AB347" s="41">
        <f t="shared" si="162"/>
        <v>0.86589141075319465</v>
      </c>
      <c r="AC347" s="41">
        <f t="shared" si="162"/>
        <v>0.86589141075319465</v>
      </c>
      <c r="AD347" s="41">
        <f t="shared" si="162"/>
        <v>0.86589141075319465</v>
      </c>
      <c r="AE347" s="41">
        <f t="shared" si="162"/>
        <v>0.86589141075319465</v>
      </c>
      <c r="AF347" s="41">
        <f t="shared" si="162"/>
        <v>0.86589141075319465</v>
      </c>
      <c r="AG347" s="41">
        <f t="shared" si="162"/>
        <v>0.86589141075319465</v>
      </c>
      <c r="AH347" s="41">
        <f t="shared" si="162"/>
        <v>0.86589141075319465</v>
      </c>
      <c r="AI347" s="41">
        <f t="shared" si="162"/>
        <v>0.86589141075319465</v>
      </c>
      <c r="AJ347" s="41">
        <f t="shared" si="162"/>
        <v>0.86589141075319465</v>
      </c>
      <c r="AK347" s="41">
        <f t="shared" si="162"/>
        <v>0.86589141075319465</v>
      </c>
      <c r="AL347" s="41">
        <f t="shared" si="162"/>
        <v>0.86589141075319465</v>
      </c>
      <c r="AM347" s="41">
        <f t="shared" si="162"/>
        <v>0.86589141075319465</v>
      </c>
      <c r="AN347" s="41">
        <f t="shared" si="162"/>
        <v>0.86589141075319465</v>
      </c>
      <c r="AO347" s="41">
        <f t="shared" si="162"/>
        <v>0.86589141075319465</v>
      </c>
      <c r="AP347" s="41">
        <f t="shared" si="162"/>
        <v>0.86589141075319465</v>
      </c>
      <c r="AQ347" s="41">
        <f t="shared" si="162"/>
        <v>0.86589141075319465</v>
      </c>
    </row>
    <row r="348" spans="7:43" ht="14.25" hidden="1" customHeight="1" x14ac:dyDescent="0.15">
      <c r="G348" s="7"/>
      <c r="H348" s="210"/>
      <c r="J348" s="156"/>
      <c r="K348" s="5" t="s">
        <v>80</v>
      </c>
      <c r="L348" s="5" t="s">
        <v>66</v>
      </c>
      <c r="M348" s="41">
        <f t="shared" ref="M348:AQ348" si="163">SUMPRODUCT($I$354:$I$359,M361:M366)</f>
        <v>0.85977827001126383</v>
      </c>
      <c r="N348" s="41">
        <f t="shared" si="163"/>
        <v>0.85977827001126383</v>
      </c>
      <c r="O348" s="41">
        <f t="shared" si="163"/>
        <v>0.85977827001126383</v>
      </c>
      <c r="P348" s="41">
        <f t="shared" si="163"/>
        <v>0.85977827001126383</v>
      </c>
      <c r="Q348" s="41">
        <f t="shared" si="163"/>
        <v>0.86355136559190959</v>
      </c>
      <c r="R348" s="41">
        <f t="shared" si="163"/>
        <v>0.86355136559190959</v>
      </c>
      <c r="S348" s="41">
        <f t="shared" si="163"/>
        <v>0.87662550032479247</v>
      </c>
      <c r="T348" s="41">
        <f t="shared" si="163"/>
        <v>0.87388482020613945</v>
      </c>
      <c r="U348" s="41">
        <f t="shared" si="163"/>
        <v>0.87118255672249489</v>
      </c>
      <c r="V348" s="41">
        <f t="shared" si="163"/>
        <v>0.86851824034386882</v>
      </c>
      <c r="W348" s="41">
        <f t="shared" si="163"/>
        <v>0.86589141075319465</v>
      </c>
      <c r="X348" s="41">
        <f t="shared" si="163"/>
        <v>0.86589141075319465</v>
      </c>
      <c r="Y348" s="41">
        <f t="shared" si="163"/>
        <v>0.86589141075319465</v>
      </c>
      <c r="Z348" s="41">
        <f t="shared" si="163"/>
        <v>0.86589141075319465</v>
      </c>
      <c r="AA348" s="41">
        <f t="shared" si="163"/>
        <v>0.86589141075319465</v>
      </c>
      <c r="AB348" s="41">
        <f t="shared" si="163"/>
        <v>0.86589141075319465</v>
      </c>
      <c r="AC348" s="41">
        <f t="shared" si="163"/>
        <v>0.86589141075319465</v>
      </c>
      <c r="AD348" s="41">
        <f t="shared" si="163"/>
        <v>0.86589141075319465</v>
      </c>
      <c r="AE348" s="41">
        <f t="shared" si="163"/>
        <v>0.86589141075319465</v>
      </c>
      <c r="AF348" s="41">
        <f t="shared" si="163"/>
        <v>0.86589141075319465</v>
      </c>
      <c r="AG348" s="41">
        <f t="shared" si="163"/>
        <v>0.86589141075319465</v>
      </c>
      <c r="AH348" s="41">
        <f t="shared" si="163"/>
        <v>0.86589141075319465</v>
      </c>
      <c r="AI348" s="41">
        <f t="shared" si="163"/>
        <v>0.86589141075319465</v>
      </c>
      <c r="AJ348" s="41">
        <f t="shared" si="163"/>
        <v>0.86589141075319465</v>
      </c>
      <c r="AK348" s="41">
        <f t="shared" si="163"/>
        <v>0.86589141075319465</v>
      </c>
      <c r="AL348" s="41">
        <f t="shared" si="163"/>
        <v>0.86589141075319465</v>
      </c>
      <c r="AM348" s="41">
        <f t="shared" si="163"/>
        <v>0.86589141075319465</v>
      </c>
      <c r="AN348" s="41">
        <f t="shared" si="163"/>
        <v>0.86589141075319465</v>
      </c>
      <c r="AO348" s="41">
        <f t="shared" si="163"/>
        <v>0.86589141075319465</v>
      </c>
      <c r="AP348" s="41">
        <f t="shared" si="163"/>
        <v>0.86589141075319465</v>
      </c>
      <c r="AQ348" s="41">
        <f t="shared" si="163"/>
        <v>0.86589141075319465</v>
      </c>
    </row>
    <row r="349" spans="7:43" ht="14.25" hidden="1" customHeight="1" x14ac:dyDescent="0.15">
      <c r="G349" s="7"/>
      <c r="H349" s="210"/>
      <c r="J349" s="156"/>
      <c r="K349" s="5" t="s">
        <v>80</v>
      </c>
      <c r="L349" s="5" t="s">
        <v>62</v>
      </c>
      <c r="M349" s="41">
        <f t="shared" ref="M349:AQ349" si="164">SUMPRODUCT($I$354:$I$359,M368:M373)</f>
        <v>0.85977827001126383</v>
      </c>
      <c r="N349" s="41">
        <f t="shared" si="164"/>
        <v>0.85977827001126383</v>
      </c>
      <c r="O349" s="41">
        <f t="shared" si="164"/>
        <v>0.85977827001126383</v>
      </c>
      <c r="P349" s="41">
        <f t="shared" si="164"/>
        <v>0.85977827001126383</v>
      </c>
      <c r="Q349" s="41">
        <f t="shared" si="164"/>
        <v>0.86355136559190959</v>
      </c>
      <c r="R349" s="41">
        <f t="shared" si="164"/>
        <v>0.86355136559190959</v>
      </c>
      <c r="S349" s="41">
        <f t="shared" si="164"/>
        <v>0.87662550032479247</v>
      </c>
      <c r="T349" s="41">
        <f t="shared" si="164"/>
        <v>0.87388482020613945</v>
      </c>
      <c r="U349" s="41">
        <f t="shared" si="164"/>
        <v>0.87118255672249489</v>
      </c>
      <c r="V349" s="41">
        <f t="shared" si="164"/>
        <v>0.86851824034386882</v>
      </c>
      <c r="W349" s="41">
        <f t="shared" si="164"/>
        <v>0.86589141075319465</v>
      </c>
      <c r="X349" s="41">
        <f t="shared" si="164"/>
        <v>0.86589141075319465</v>
      </c>
      <c r="Y349" s="41">
        <f t="shared" si="164"/>
        <v>0.86589141075319465</v>
      </c>
      <c r="Z349" s="41">
        <f t="shared" si="164"/>
        <v>0.86589141075319465</v>
      </c>
      <c r="AA349" s="41">
        <f t="shared" si="164"/>
        <v>0.86589141075319465</v>
      </c>
      <c r="AB349" s="41">
        <f t="shared" si="164"/>
        <v>0.86589141075319465</v>
      </c>
      <c r="AC349" s="41">
        <f t="shared" si="164"/>
        <v>0.86589141075319465</v>
      </c>
      <c r="AD349" s="41">
        <f t="shared" si="164"/>
        <v>0.86589141075319465</v>
      </c>
      <c r="AE349" s="41">
        <f t="shared" si="164"/>
        <v>0.86589141075319465</v>
      </c>
      <c r="AF349" s="41">
        <f t="shared" si="164"/>
        <v>0.86589141075319465</v>
      </c>
      <c r="AG349" s="41">
        <f t="shared" si="164"/>
        <v>0.86589141075319465</v>
      </c>
      <c r="AH349" s="41">
        <f t="shared" si="164"/>
        <v>0.86589141075319465</v>
      </c>
      <c r="AI349" s="41">
        <f t="shared" si="164"/>
        <v>0.86589141075319465</v>
      </c>
      <c r="AJ349" s="41">
        <f t="shared" si="164"/>
        <v>0.86589141075319465</v>
      </c>
      <c r="AK349" s="41">
        <f t="shared" si="164"/>
        <v>0.86589141075319465</v>
      </c>
      <c r="AL349" s="41">
        <f t="shared" si="164"/>
        <v>0.86589141075319465</v>
      </c>
      <c r="AM349" s="41">
        <f t="shared" si="164"/>
        <v>0.86589141075319465</v>
      </c>
      <c r="AN349" s="41">
        <f t="shared" si="164"/>
        <v>0.86589141075319465</v>
      </c>
      <c r="AO349" s="41">
        <f t="shared" si="164"/>
        <v>0.86589141075319465</v>
      </c>
      <c r="AP349" s="41">
        <f t="shared" si="164"/>
        <v>0.86589141075319465</v>
      </c>
      <c r="AQ349" s="41">
        <f t="shared" si="164"/>
        <v>0.86589141075319465</v>
      </c>
    </row>
    <row r="350" spans="7:43" ht="14.25" hidden="1" customHeight="1" x14ac:dyDescent="0.15">
      <c r="G350" s="7"/>
      <c r="H350" s="210"/>
      <c r="J350" s="156"/>
      <c r="K350" s="5" t="s">
        <v>79</v>
      </c>
      <c r="L350" s="5" t="s">
        <v>67</v>
      </c>
      <c r="M350" s="41">
        <f t="shared" ref="M350:AQ350" si="165">(1-M$65*M347*(1-M$346/2)-M$346)/(1-M$65)</f>
        <v>0.68932009386264304</v>
      </c>
      <c r="N350" s="41">
        <f t="shared" si="165"/>
        <v>0.68932009386264304</v>
      </c>
      <c r="O350" s="41">
        <f t="shared" si="165"/>
        <v>0.68932009386264304</v>
      </c>
      <c r="P350" s="41">
        <f t="shared" si="165"/>
        <v>0.68932009386264304</v>
      </c>
      <c r="Q350" s="41">
        <f t="shared" si="165"/>
        <v>0.73608676850535815</v>
      </c>
      <c r="R350" s="41">
        <f t="shared" si="165"/>
        <v>0.73608676850535815</v>
      </c>
      <c r="S350" s="41">
        <f t="shared" si="165"/>
        <v>0.92329486453754184</v>
      </c>
      <c r="T350" s="41">
        <f t="shared" si="165"/>
        <v>0.92419734031105938</v>
      </c>
      <c r="U350" s="41">
        <f t="shared" si="165"/>
        <v>0.92508716590984164</v>
      </c>
      <c r="V350" s="41">
        <f t="shared" si="165"/>
        <v>0.92596449594494179</v>
      </c>
      <c r="W350" s="41">
        <f t="shared" si="165"/>
        <v>0.92682948199369963</v>
      </c>
      <c r="X350" s="41">
        <f t="shared" si="165"/>
        <v>0.92682948199369963</v>
      </c>
      <c r="Y350" s="41">
        <f t="shared" si="165"/>
        <v>0.92682948199369963</v>
      </c>
      <c r="Z350" s="41">
        <f t="shared" si="165"/>
        <v>0.92682948199369963</v>
      </c>
      <c r="AA350" s="41">
        <f t="shared" si="165"/>
        <v>0.92682948199369963</v>
      </c>
      <c r="AB350" s="41">
        <f t="shared" si="165"/>
        <v>0.92682948199369963</v>
      </c>
      <c r="AC350" s="41">
        <f t="shared" si="165"/>
        <v>0.92682948199369963</v>
      </c>
      <c r="AD350" s="41">
        <f t="shared" si="165"/>
        <v>0.92682948199369963</v>
      </c>
      <c r="AE350" s="41">
        <f t="shared" si="165"/>
        <v>0.92682948199369963</v>
      </c>
      <c r="AF350" s="41">
        <f t="shared" si="165"/>
        <v>0.92682948199369963</v>
      </c>
      <c r="AG350" s="41">
        <f t="shared" si="165"/>
        <v>0.92682948199369963</v>
      </c>
      <c r="AH350" s="41">
        <f t="shared" si="165"/>
        <v>0.92682948199369963</v>
      </c>
      <c r="AI350" s="41">
        <f t="shared" si="165"/>
        <v>0.92682948199369963</v>
      </c>
      <c r="AJ350" s="41">
        <f t="shared" si="165"/>
        <v>0.92682948199369963</v>
      </c>
      <c r="AK350" s="41">
        <f t="shared" si="165"/>
        <v>0.92682948199369963</v>
      </c>
      <c r="AL350" s="41">
        <f t="shared" si="165"/>
        <v>0.92682948199369963</v>
      </c>
      <c r="AM350" s="41">
        <f t="shared" si="165"/>
        <v>0.92682948199369963</v>
      </c>
      <c r="AN350" s="41">
        <f t="shared" si="165"/>
        <v>0.92682948199369963</v>
      </c>
      <c r="AO350" s="41">
        <f t="shared" si="165"/>
        <v>0.92682948199369963</v>
      </c>
      <c r="AP350" s="41">
        <f t="shared" si="165"/>
        <v>0.92682948199369963</v>
      </c>
      <c r="AQ350" s="41">
        <f t="shared" si="165"/>
        <v>0.92682948199369963</v>
      </c>
    </row>
    <row r="351" spans="7:43" ht="14.25" hidden="1" customHeight="1" x14ac:dyDescent="0.15">
      <c r="G351" s="7"/>
      <c r="H351" s="210"/>
      <c r="J351" s="156"/>
      <c r="K351" s="5" t="s">
        <v>79</v>
      </c>
      <c r="L351" s="5" t="s">
        <v>66</v>
      </c>
      <c r="M351" s="41">
        <f t="shared" ref="M351:AQ351" si="166">(1-M$65*M348*(1-M$346/2)-M$346)/(1-M$65)</f>
        <v>0.68932009386264304</v>
      </c>
      <c r="N351" s="41">
        <f t="shared" si="166"/>
        <v>0.68932009386264304</v>
      </c>
      <c r="O351" s="41">
        <f t="shared" si="166"/>
        <v>0.68932009386264304</v>
      </c>
      <c r="P351" s="41">
        <f t="shared" si="166"/>
        <v>0.68932009386264304</v>
      </c>
      <c r="Q351" s="41">
        <f t="shared" si="166"/>
        <v>0.73608676850535815</v>
      </c>
      <c r="R351" s="41">
        <f t="shared" si="166"/>
        <v>0.73608676850535815</v>
      </c>
      <c r="S351" s="41">
        <f t="shared" si="166"/>
        <v>0.92329486453754184</v>
      </c>
      <c r="T351" s="41">
        <f t="shared" si="166"/>
        <v>0.92419734031105938</v>
      </c>
      <c r="U351" s="41">
        <f t="shared" si="166"/>
        <v>0.92508716590984164</v>
      </c>
      <c r="V351" s="41">
        <f t="shared" si="166"/>
        <v>0.92596449594494179</v>
      </c>
      <c r="W351" s="41">
        <f t="shared" si="166"/>
        <v>0.92682948199369963</v>
      </c>
      <c r="X351" s="41">
        <f t="shared" si="166"/>
        <v>0.92682948199369963</v>
      </c>
      <c r="Y351" s="41">
        <f t="shared" si="166"/>
        <v>0.92682948199369963</v>
      </c>
      <c r="Z351" s="41">
        <f t="shared" si="166"/>
        <v>0.92682948199369963</v>
      </c>
      <c r="AA351" s="41">
        <f t="shared" si="166"/>
        <v>0.92682948199369963</v>
      </c>
      <c r="AB351" s="41">
        <f t="shared" si="166"/>
        <v>0.92682948199369963</v>
      </c>
      <c r="AC351" s="41">
        <f t="shared" si="166"/>
        <v>0.92682948199369963</v>
      </c>
      <c r="AD351" s="41">
        <f t="shared" si="166"/>
        <v>0.92682948199369963</v>
      </c>
      <c r="AE351" s="41">
        <f t="shared" si="166"/>
        <v>0.92682948199369963</v>
      </c>
      <c r="AF351" s="41">
        <f t="shared" si="166"/>
        <v>0.92682948199369963</v>
      </c>
      <c r="AG351" s="41">
        <f t="shared" si="166"/>
        <v>0.92682948199369963</v>
      </c>
      <c r="AH351" s="41">
        <f t="shared" si="166"/>
        <v>0.92682948199369963</v>
      </c>
      <c r="AI351" s="41">
        <f t="shared" si="166"/>
        <v>0.92682948199369963</v>
      </c>
      <c r="AJ351" s="41">
        <f t="shared" si="166"/>
        <v>0.92682948199369963</v>
      </c>
      <c r="AK351" s="41">
        <f t="shared" si="166"/>
        <v>0.92682948199369963</v>
      </c>
      <c r="AL351" s="41">
        <f t="shared" si="166"/>
        <v>0.92682948199369963</v>
      </c>
      <c r="AM351" s="41">
        <f t="shared" si="166"/>
        <v>0.92682948199369963</v>
      </c>
      <c r="AN351" s="41">
        <f t="shared" si="166"/>
        <v>0.92682948199369963</v>
      </c>
      <c r="AO351" s="41">
        <f t="shared" si="166"/>
        <v>0.92682948199369963</v>
      </c>
      <c r="AP351" s="41">
        <f t="shared" si="166"/>
        <v>0.92682948199369963</v>
      </c>
      <c r="AQ351" s="41">
        <f t="shared" si="166"/>
        <v>0.92682948199369963</v>
      </c>
    </row>
    <row r="352" spans="7:43" ht="14.25" hidden="1" customHeight="1" x14ac:dyDescent="0.15">
      <c r="G352" s="7"/>
      <c r="H352" s="210"/>
      <c r="J352" s="156"/>
      <c r="K352" s="5" t="s">
        <v>79</v>
      </c>
      <c r="L352" s="5" t="s">
        <v>62</v>
      </c>
      <c r="M352" s="41">
        <f t="shared" ref="M352:AQ352" si="167">(1-M$65*M349*(1-M$346/2)-M$346)/(1-M$65)</f>
        <v>0.68932009386264304</v>
      </c>
      <c r="N352" s="41">
        <f t="shared" si="167"/>
        <v>0.68932009386264304</v>
      </c>
      <c r="O352" s="41">
        <f t="shared" si="167"/>
        <v>0.68932009386264304</v>
      </c>
      <c r="P352" s="41">
        <f t="shared" si="167"/>
        <v>0.68932009386264304</v>
      </c>
      <c r="Q352" s="41">
        <f t="shared" si="167"/>
        <v>0.73608676850535815</v>
      </c>
      <c r="R352" s="41">
        <f t="shared" si="167"/>
        <v>0.73608676850535815</v>
      </c>
      <c r="S352" s="41">
        <f t="shared" si="167"/>
        <v>0.92329486453754184</v>
      </c>
      <c r="T352" s="41">
        <f t="shared" si="167"/>
        <v>0.92419734031105938</v>
      </c>
      <c r="U352" s="41">
        <f t="shared" si="167"/>
        <v>0.92508716590984164</v>
      </c>
      <c r="V352" s="41">
        <f t="shared" si="167"/>
        <v>0.92596449594494179</v>
      </c>
      <c r="W352" s="41">
        <f t="shared" si="167"/>
        <v>0.92682948199369963</v>
      </c>
      <c r="X352" s="41">
        <f t="shared" si="167"/>
        <v>0.92682948199369963</v>
      </c>
      <c r="Y352" s="41">
        <f t="shared" si="167"/>
        <v>0.92682948199369963</v>
      </c>
      <c r="Z352" s="41">
        <f t="shared" si="167"/>
        <v>0.92682948199369963</v>
      </c>
      <c r="AA352" s="41">
        <f t="shared" si="167"/>
        <v>0.92682948199369963</v>
      </c>
      <c r="AB352" s="41">
        <f t="shared" si="167"/>
        <v>0.92682948199369963</v>
      </c>
      <c r="AC352" s="41">
        <f t="shared" si="167"/>
        <v>0.92682948199369963</v>
      </c>
      <c r="AD352" s="41">
        <f t="shared" si="167"/>
        <v>0.92682948199369963</v>
      </c>
      <c r="AE352" s="41">
        <f t="shared" si="167"/>
        <v>0.92682948199369963</v>
      </c>
      <c r="AF352" s="41">
        <f t="shared" si="167"/>
        <v>0.92682948199369963</v>
      </c>
      <c r="AG352" s="41">
        <f t="shared" si="167"/>
        <v>0.92682948199369963</v>
      </c>
      <c r="AH352" s="41">
        <f t="shared" si="167"/>
        <v>0.92682948199369963</v>
      </c>
      <c r="AI352" s="41">
        <f t="shared" si="167"/>
        <v>0.92682948199369963</v>
      </c>
      <c r="AJ352" s="41">
        <f t="shared" si="167"/>
        <v>0.92682948199369963</v>
      </c>
      <c r="AK352" s="41">
        <f t="shared" si="167"/>
        <v>0.92682948199369963</v>
      </c>
      <c r="AL352" s="41">
        <f t="shared" si="167"/>
        <v>0.92682948199369963</v>
      </c>
      <c r="AM352" s="41">
        <f t="shared" si="167"/>
        <v>0.92682948199369963</v>
      </c>
      <c r="AN352" s="41">
        <f t="shared" si="167"/>
        <v>0.92682948199369963</v>
      </c>
      <c r="AO352" s="41">
        <f t="shared" si="167"/>
        <v>0.92682948199369963</v>
      </c>
      <c r="AP352" s="41">
        <f t="shared" si="167"/>
        <v>0.92682948199369963</v>
      </c>
      <c r="AQ352" s="41">
        <f t="shared" si="167"/>
        <v>0.92682948199369963</v>
      </c>
    </row>
    <row r="353" spans="7:43" ht="14.25" hidden="1" customHeight="1" x14ac:dyDescent="0.15">
      <c r="G353" s="7"/>
      <c r="H353" s="32"/>
      <c r="I353" s="40" t="s">
        <v>78</v>
      </c>
      <c r="J353" s="38"/>
      <c r="K353" s="39" t="s">
        <v>77</v>
      </c>
      <c r="L353" s="39"/>
      <c r="M353" s="12">
        <v>2020</v>
      </c>
      <c r="N353" s="12">
        <v>2021</v>
      </c>
      <c r="O353" s="12">
        <v>2022</v>
      </c>
      <c r="P353" s="12">
        <v>2023</v>
      </c>
      <c r="Q353" s="12">
        <v>2024</v>
      </c>
      <c r="R353" s="12">
        <v>2025</v>
      </c>
      <c r="S353" s="12">
        <v>2026</v>
      </c>
      <c r="T353" s="12">
        <v>2027</v>
      </c>
      <c r="U353" s="12">
        <v>2028</v>
      </c>
      <c r="V353" s="12">
        <v>2029</v>
      </c>
      <c r="W353" s="12">
        <v>2030</v>
      </c>
      <c r="X353" s="12">
        <v>2031</v>
      </c>
      <c r="Y353" s="12">
        <v>2032</v>
      </c>
      <c r="Z353" s="12">
        <v>2033</v>
      </c>
      <c r="AA353" s="12">
        <v>2034</v>
      </c>
      <c r="AB353" s="12">
        <v>2035</v>
      </c>
      <c r="AC353" s="12">
        <v>2036</v>
      </c>
      <c r="AD353" s="12">
        <v>2037</v>
      </c>
      <c r="AE353" s="12">
        <v>2038</v>
      </c>
      <c r="AF353" s="12">
        <v>2039</v>
      </c>
      <c r="AG353" s="12">
        <v>2040</v>
      </c>
      <c r="AH353" s="12">
        <v>2041</v>
      </c>
      <c r="AI353" s="12">
        <v>2042</v>
      </c>
      <c r="AJ353" s="12">
        <v>2043</v>
      </c>
      <c r="AK353" s="12">
        <v>2044</v>
      </c>
      <c r="AL353" s="12">
        <v>2045</v>
      </c>
      <c r="AM353" s="12">
        <v>2046</v>
      </c>
      <c r="AN353" s="12">
        <v>2047</v>
      </c>
      <c r="AO353" s="12">
        <v>2048</v>
      </c>
      <c r="AP353" s="12">
        <v>2049</v>
      </c>
      <c r="AQ353" s="12">
        <v>2050</v>
      </c>
    </row>
    <row r="354" spans="7:43" ht="14.25" hidden="1" customHeight="1" x14ac:dyDescent="0.15">
      <c r="G354" s="7"/>
      <c r="H354" s="32"/>
      <c r="I354" s="40">
        <v>0.2</v>
      </c>
      <c r="J354" s="211" t="s">
        <v>76</v>
      </c>
      <c r="K354" s="36">
        <v>1</v>
      </c>
      <c r="L354" s="36"/>
      <c r="M354" s="35">
        <f t="shared" ref="M354:V359" si="168">1/((1+M$69)*(1+M$48))^$K354</f>
        <v>0.94634391399165085</v>
      </c>
      <c r="N354" s="35">
        <f t="shared" si="168"/>
        <v>0.94634391399165085</v>
      </c>
      <c r="O354" s="35">
        <f t="shared" si="168"/>
        <v>0.94634391399165085</v>
      </c>
      <c r="P354" s="35">
        <f t="shared" si="168"/>
        <v>0.94634391399165085</v>
      </c>
      <c r="Q354" s="35">
        <f t="shared" si="168"/>
        <v>0.94788949906920861</v>
      </c>
      <c r="R354" s="35">
        <f t="shared" si="168"/>
        <v>0.94788949906920861</v>
      </c>
      <c r="S354" s="35">
        <f t="shared" si="168"/>
        <v>0.95319777067984268</v>
      </c>
      <c r="T354" s="35">
        <f t="shared" si="168"/>
        <v>0.95209104256500143</v>
      </c>
      <c r="U354" s="35">
        <f t="shared" si="168"/>
        <v>0.95099671596048219</v>
      </c>
      <c r="V354" s="35">
        <f t="shared" si="168"/>
        <v>0.94991471424040597</v>
      </c>
      <c r="W354" s="35">
        <f t="shared" ref="W354:AF359" si="169">1/((1+W$69)*(1+W$48))^$K354</f>
        <v>0.94884496189181577</v>
      </c>
      <c r="X354" s="35">
        <f t="shared" si="169"/>
        <v>0.94884496189181577</v>
      </c>
      <c r="Y354" s="35">
        <f t="shared" si="169"/>
        <v>0.94884496189181577</v>
      </c>
      <c r="Z354" s="35">
        <f t="shared" si="169"/>
        <v>0.94884496189181577</v>
      </c>
      <c r="AA354" s="35">
        <f t="shared" si="169"/>
        <v>0.94884496189181577</v>
      </c>
      <c r="AB354" s="35">
        <f t="shared" si="169"/>
        <v>0.94884496189181577</v>
      </c>
      <c r="AC354" s="35">
        <f t="shared" si="169"/>
        <v>0.94884496189181577</v>
      </c>
      <c r="AD354" s="35">
        <f t="shared" si="169"/>
        <v>0.94884496189181577</v>
      </c>
      <c r="AE354" s="35">
        <f t="shared" si="169"/>
        <v>0.94884496189181577</v>
      </c>
      <c r="AF354" s="35">
        <f t="shared" si="169"/>
        <v>0.94884496189181577</v>
      </c>
      <c r="AG354" s="35">
        <f t="shared" ref="AG354:AQ359" si="170">1/((1+AG$69)*(1+AG$48))^$K354</f>
        <v>0.94884496189181577</v>
      </c>
      <c r="AH354" s="35">
        <f t="shared" si="170"/>
        <v>0.94884496189181577</v>
      </c>
      <c r="AI354" s="35">
        <f t="shared" si="170"/>
        <v>0.94884496189181577</v>
      </c>
      <c r="AJ354" s="35">
        <f t="shared" si="170"/>
        <v>0.94884496189181577</v>
      </c>
      <c r="AK354" s="35">
        <f t="shared" si="170"/>
        <v>0.94884496189181577</v>
      </c>
      <c r="AL354" s="35">
        <f t="shared" si="170"/>
        <v>0.94884496189181577</v>
      </c>
      <c r="AM354" s="35">
        <f t="shared" si="170"/>
        <v>0.94884496189181577</v>
      </c>
      <c r="AN354" s="35">
        <f t="shared" si="170"/>
        <v>0.94884496189181577</v>
      </c>
      <c r="AO354" s="35">
        <f t="shared" si="170"/>
        <v>0.94884496189181577</v>
      </c>
      <c r="AP354" s="35">
        <f t="shared" si="170"/>
        <v>0.94884496189181577</v>
      </c>
      <c r="AQ354" s="35">
        <f t="shared" si="170"/>
        <v>0.94884496189181577</v>
      </c>
    </row>
    <row r="355" spans="7:43" ht="14.25" hidden="1" customHeight="1" x14ac:dyDescent="0.15">
      <c r="G355" s="7"/>
      <c r="H355" s="32"/>
      <c r="I355" s="40">
        <v>0.32</v>
      </c>
      <c r="J355" s="211"/>
      <c r="K355" s="36">
        <v>2</v>
      </c>
      <c r="L355" s="36"/>
      <c r="M355" s="35">
        <f t="shared" si="168"/>
        <v>0.89556680354903706</v>
      </c>
      <c r="N355" s="35">
        <f t="shared" si="168"/>
        <v>0.89556680354903706</v>
      </c>
      <c r="O355" s="35">
        <f t="shared" si="168"/>
        <v>0.89556680354903706</v>
      </c>
      <c r="P355" s="35">
        <f t="shared" si="168"/>
        <v>0.89556680354903706</v>
      </c>
      <c r="Q355" s="35">
        <f t="shared" si="168"/>
        <v>0.89849450244567519</v>
      </c>
      <c r="R355" s="35">
        <f t="shared" si="168"/>
        <v>0.89849450244567519</v>
      </c>
      <c r="S355" s="35">
        <f t="shared" si="168"/>
        <v>0.90858599002902207</v>
      </c>
      <c r="T355" s="35">
        <f t="shared" si="168"/>
        <v>0.90647735333251134</v>
      </c>
      <c r="U355" s="35">
        <f t="shared" si="168"/>
        <v>0.90439475376762213</v>
      </c>
      <c r="V355" s="35">
        <f t="shared" si="168"/>
        <v>0.90233796433043223</v>
      </c>
      <c r="W355" s="35">
        <f t="shared" si="169"/>
        <v>0.90030676170748136</v>
      </c>
      <c r="X355" s="35">
        <f t="shared" si="169"/>
        <v>0.90030676170748136</v>
      </c>
      <c r="Y355" s="35">
        <f t="shared" si="169"/>
        <v>0.90030676170748136</v>
      </c>
      <c r="Z355" s="35">
        <f t="shared" si="169"/>
        <v>0.90030676170748136</v>
      </c>
      <c r="AA355" s="35">
        <f t="shared" si="169"/>
        <v>0.90030676170748136</v>
      </c>
      <c r="AB355" s="35">
        <f t="shared" si="169"/>
        <v>0.90030676170748136</v>
      </c>
      <c r="AC355" s="35">
        <f t="shared" si="169"/>
        <v>0.90030676170748136</v>
      </c>
      <c r="AD355" s="35">
        <f t="shared" si="169"/>
        <v>0.90030676170748136</v>
      </c>
      <c r="AE355" s="35">
        <f t="shared" si="169"/>
        <v>0.90030676170748136</v>
      </c>
      <c r="AF355" s="35">
        <f t="shared" si="169"/>
        <v>0.90030676170748136</v>
      </c>
      <c r="AG355" s="35">
        <f t="shared" si="170"/>
        <v>0.90030676170748136</v>
      </c>
      <c r="AH355" s="35">
        <f t="shared" si="170"/>
        <v>0.90030676170748136</v>
      </c>
      <c r="AI355" s="35">
        <f t="shared" si="170"/>
        <v>0.90030676170748136</v>
      </c>
      <c r="AJ355" s="35">
        <f t="shared" si="170"/>
        <v>0.90030676170748136</v>
      </c>
      <c r="AK355" s="35">
        <f t="shared" si="170"/>
        <v>0.90030676170748136</v>
      </c>
      <c r="AL355" s="35">
        <f t="shared" si="170"/>
        <v>0.90030676170748136</v>
      </c>
      <c r="AM355" s="35">
        <f t="shared" si="170"/>
        <v>0.90030676170748136</v>
      </c>
      <c r="AN355" s="35">
        <f t="shared" si="170"/>
        <v>0.90030676170748136</v>
      </c>
      <c r="AO355" s="35">
        <f t="shared" si="170"/>
        <v>0.90030676170748136</v>
      </c>
      <c r="AP355" s="35">
        <f t="shared" si="170"/>
        <v>0.90030676170748136</v>
      </c>
      <c r="AQ355" s="35">
        <f t="shared" si="170"/>
        <v>0.90030676170748136</v>
      </c>
    </row>
    <row r="356" spans="7:43" ht="14.25" hidden="1" customHeight="1" x14ac:dyDescent="0.15">
      <c r="G356" s="7"/>
      <c r="H356" s="32"/>
      <c r="I356" s="40">
        <v>0.192</v>
      </c>
      <c r="J356" s="211"/>
      <c r="K356" s="36">
        <v>3</v>
      </c>
      <c r="L356" s="36"/>
      <c r="M356" s="35">
        <f t="shared" si="168"/>
        <v>0.84751419411158757</v>
      </c>
      <c r="N356" s="35">
        <f t="shared" si="168"/>
        <v>0.84751419411158757</v>
      </c>
      <c r="O356" s="35">
        <f t="shared" si="168"/>
        <v>0.84751419411158757</v>
      </c>
      <c r="P356" s="35">
        <f t="shared" si="168"/>
        <v>0.84751419411158757</v>
      </c>
      <c r="Q356" s="35">
        <f t="shared" si="168"/>
        <v>0.851673503839669</v>
      </c>
      <c r="R356" s="35">
        <f t="shared" si="168"/>
        <v>0.851673503839669</v>
      </c>
      <c r="S356" s="35">
        <f t="shared" si="168"/>
        <v>0.86606214016660155</v>
      </c>
      <c r="T356" s="35">
        <f t="shared" si="168"/>
        <v>0.86304896839591405</v>
      </c>
      <c r="U356" s="35">
        <f t="shared" si="168"/>
        <v>0.86007644076489753</v>
      </c>
      <c r="V356" s="35">
        <f t="shared" si="168"/>
        <v>0.85714410953521214</v>
      </c>
      <c r="W356" s="35">
        <f t="shared" si="169"/>
        <v>0.85425153500327911</v>
      </c>
      <c r="X356" s="35">
        <f t="shared" si="169"/>
        <v>0.85425153500327911</v>
      </c>
      <c r="Y356" s="35">
        <f t="shared" si="169"/>
        <v>0.85425153500327911</v>
      </c>
      <c r="Z356" s="35">
        <f t="shared" si="169"/>
        <v>0.85425153500327911</v>
      </c>
      <c r="AA356" s="35">
        <f t="shared" si="169"/>
        <v>0.85425153500327911</v>
      </c>
      <c r="AB356" s="35">
        <f t="shared" si="169"/>
        <v>0.85425153500327911</v>
      </c>
      <c r="AC356" s="35">
        <f t="shared" si="169"/>
        <v>0.85425153500327911</v>
      </c>
      <c r="AD356" s="35">
        <f t="shared" si="169"/>
        <v>0.85425153500327911</v>
      </c>
      <c r="AE356" s="35">
        <f t="shared" si="169"/>
        <v>0.85425153500327911</v>
      </c>
      <c r="AF356" s="35">
        <f t="shared" si="169"/>
        <v>0.85425153500327911</v>
      </c>
      <c r="AG356" s="35">
        <f t="shared" si="170"/>
        <v>0.85425153500327911</v>
      </c>
      <c r="AH356" s="35">
        <f t="shared" si="170"/>
        <v>0.85425153500327911</v>
      </c>
      <c r="AI356" s="35">
        <f t="shared" si="170"/>
        <v>0.85425153500327911</v>
      </c>
      <c r="AJ356" s="35">
        <f t="shared" si="170"/>
        <v>0.85425153500327911</v>
      </c>
      <c r="AK356" s="35">
        <f t="shared" si="170"/>
        <v>0.85425153500327911</v>
      </c>
      <c r="AL356" s="35">
        <f t="shared" si="170"/>
        <v>0.85425153500327911</v>
      </c>
      <c r="AM356" s="35">
        <f t="shared" si="170"/>
        <v>0.85425153500327911</v>
      </c>
      <c r="AN356" s="35">
        <f t="shared" si="170"/>
        <v>0.85425153500327911</v>
      </c>
      <c r="AO356" s="35">
        <f t="shared" si="170"/>
        <v>0.85425153500327911</v>
      </c>
      <c r="AP356" s="35">
        <f t="shared" si="170"/>
        <v>0.85425153500327911</v>
      </c>
      <c r="AQ356" s="35">
        <f t="shared" si="170"/>
        <v>0.85425153500327911</v>
      </c>
    </row>
    <row r="357" spans="7:43" ht="14.25" hidden="1" customHeight="1" x14ac:dyDescent="0.15">
      <c r="G357" s="7"/>
      <c r="H357" s="32"/>
      <c r="I357" s="40">
        <v>0.1152</v>
      </c>
      <c r="J357" s="211"/>
      <c r="K357" s="36">
        <v>4</v>
      </c>
      <c r="L357" s="36"/>
      <c r="M357" s="35">
        <f t="shared" si="168"/>
        <v>0.80203989961903954</v>
      </c>
      <c r="N357" s="35">
        <f t="shared" si="168"/>
        <v>0.80203989961903954</v>
      </c>
      <c r="O357" s="35">
        <f t="shared" si="168"/>
        <v>0.80203989961903954</v>
      </c>
      <c r="P357" s="35">
        <f t="shared" si="168"/>
        <v>0.80203989961903954</v>
      </c>
      <c r="Q357" s="35">
        <f t="shared" si="168"/>
        <v>0.80729237092510153</v>
      </c>
      <c r="R357" s="35">
        <f t="shared" si="168"/>
        <v>0.80729237092510153</v>
      </c>
      <c r="S357" s="35">
        <f t="shared" si="168"/>
        <v>0.82552850127701816</v>
      </c>
      <c r="T357" s="35">
        <f t="shared" si="168"/>
        <v>0.8217011921047146</v>
      </c>
      <c r="U357" s="35">
        <f t="shared" si="168"/>
        <v>0.81792987064239786</v>
      </c>
      <c r="V357" s="35">
        <f t="shared" si="168"/>
        <v>0.81421380187198844</v>
      </c>
      <c r="W357" s="35">
        <f t="shared" si="169"/>
        <v>0.81055226517621159</v>
      </c>
      <c r="X357" s="35">
        <f t="shared" si="169"/>
        <v>0.81055226517621159</v>
      </c>
      <c r="Y357" s="35">
        <f t="shared" si="169"/>
        <v>0.81055226517621159</v>
      </c>
      <c r="Z357" s="35">
        <f t="shared" si="169"/>
        <v>0.81055226517621159</v>
      </c>
      <c r="AA357" s="35">
        <f t="shared" si="169"/>
        <v>0.81055226517621159</v>
      </c>
      <c r="AB357" s="35">
        <f t="shared" si="169"/>
        <v>0.81055226517621159</v>
      </c>
      <c r="AC357" s="35">
        <f t="shared" si="169"/>
        <v>0.81055226517621159</v>
      </c>
      <c r="AD357" s="35">
        <f t="shared" si="169"/>
        <v>0.81055226517621159</v>
      </c>
      <c r="AE357" s="35">
        <f t="shared" si="169"/>
        <v>0.81055226517621159</v>
      </c>
      <c r="AF357" s="35">
        <f t="shared" si="169"/>
        <v>0.81055226517621159</v>
      </c>
      <c r="AG357" s="35">
        <f t="shared" si="170"/>
        <v>0.81055226517621159</v>
      </c>
      <c r="AH357" s="35">
        <f t="shared" si="170"/>
        <v>0.81055226517621159</v>
      </c>
      <c r="AI357" s="35">
        <f t="shared" si="170"/>
        <v>0.81055226517621159</v>
      </c>
      <c r="AJ357" s="35">
        <f t="shared" si="170"/>
        <v>0.81055226517621159</v>
      </c>
      <c r="AK357" s="35">
        <f t="shared" si="170"/>
        <v>0.81055226517621159</v>
      </c>
      <c r="AL357" s="35">
        <f t="shared" si="170"/>
        <v>0.81055226517621159</v>
      </c>
      <c r="AM357" s="35">
        <f t="shared" si="170"/>
        <v>0.81055226517621159</v>
      </c>
      <c r="AN357" s="35">
        <f t="shared" si="170"/>
        <v>0.81055226517621159</v>
      </c>
      <c r="AO357" s="35">
        <f t="shared" si="170"/>
        <v>0.81055226517621159</v>
      </c>
      <c r="AP357" s="35">
        <f t="shared" si="170"/>
        <v>0.81055226517621159</v>
      </c>
      <c r="AQ357" s="35">
        <f t="shared" si="170"/>
        <v>0.81055226517621159</v>
      </c>
    </row>
    <row r="358" spans="7:43" ht="14.25" hidden="1" customHeight="1" x14ac:dyDescent="0.15">
      <c r="G358" s="7"/>
      <c r="H358" s="32"/>
      <c r="I358" s="40">
        <v>0.1152</v>
      </c>
      <c r="J358" s="211"/>
      <c r="K358" s="36">
        <v>5</v>
      </c>
      <c r="L358" s="36"/>
      <c r="M358" s="35">
        <f t="shared" si="168"/>
        <v>0.75900557778295263</v>
      </c>
      <c r="N358" s="35">
        <f t="shared" si="168"/>
        <v>0.75900557778295263</v>
      </c>
      <c r="O358" s="35">
        <f t="shared" si="168"/>
        <v>0.75900557778295263</v>
      </c>
      <c r="P358" s="35">
        <f t="shared" si="168"/>
        <v>0.75900557778295263</v>
      </c>
      <c r="Q358" s="35">
        <f t="shared" si="168"/>
        <v>0.76522396107858837</v>
      </c>
      <c r="R358" s="35">
        <f t="shared" si="168"/>
        <v>0.76522396107858837</v>
      </c>
      <c r="S358" s="35">
        <f t="shared" si="168"/>
        <v>0.78689192704992539</v>
      </c>
      <c r="T358" s="35">
        <f t="shared" si="168"/>
        <v>0.78233434466788221</v>
      </c>
      <c r="U358" s="35">
        <f t="shared" si="168"/>
        <v>0.77784862086690232</v>
      </c>
      <c r="V358" s="35">
        <f t="shared" si="168"/>
        <v>0.77343367093582449</v>
      </c>
      <c r="W358" s="35">
        <f t="shared" si="169"/>
        <v>0.76908843316244746</v>
      </c>
      <c r="X358" s="35">
        <f t="shared" si="169"/>
        <v>0.76908843316244746</v>
      </c>
      <c r="Y358" s="35">
        <f t="shared" si="169"/>
        <v>0.76908843316244746</v>
      </c>
      <c r="Z358" s="35">
        <f t="shared" si="169"/>
        <v>0.76908843316244746</v>
      </c>
      <c r="AA358" s="35">
        <f t="shared" si="169"/>
        <v>0.76908843316244746</v>
      </c>
      <c r="AB358" s="35">
        <f t="shared" si="169"/>
        <v>0.76908843316244746</v>
      </c>
      <c r="AC358" s="35">
        <f t="shared" si="169"/>
        <v>0.76908843316244746</v>
      </c>
      <c r="AD358" s="35">
        <f t="shared" si="169"/>
        <v>0.76908843316244746</v>
      </c>
      <c r="AE358" s="35">
        <f t="shared" si="169"/>
        <v>0.76908843316244746</v>
      </c>
      <c r="AF358" s="35">
        <f t="shared" si="169"/>
        <v>0.76908843316244746</v>
      </c>
      <c r="AG358" s="35">
        <f t="shared" si="170"/>
        <v>0.76908843316244746</v>
      </c>
      <c r="AH358" s="35">
        <f t="shared" si="170"/>
        <v>0.76908843316244746</v>
      </c>
      <c r="AI358" s="35">
        <f t="shared" si="170"/>
        <v>0.76908843316244746</v>
      </c>
      <c r="AJ358" s="35">
        <f t="shared" si="170"/>
        <v>0.76908843316244746</v>
      </c>
      <c r="AK358" s="35">
        <f t="shared" si="170"/>
        <v>0.76908843316244746</v>
      </c>
      <c r="AL358" s="35">
        <f t="shared" si="170"/>
        <v>0.76908843316244746</v>
      </c>
      <c r="AM358" s="35">
        <f t="shared" si="170"/>
        <v>0.76908843316244746</v>
      </c>
      <c r="AN358" s="35">
        <f t="shared" si="170"/>
        <v>0.76908843316244746</v>
      </c>
      <c r="AO358" s="35">
        <f t="shared" si="170"/>
        <v>0.76908843316244746</v>
      </c>
      <c r="AP358" s="35">
        <f t="shared" si="170"/>
        <v>0.76908843316244746</v>
      </c>
      <c r="AQ358" s="35">
        <f t="shared" si="170"/>
        <v>0.76908843316244746</v>
      </c>
    </row>
    <row r="359" spans="7:43" ht="14.25" hidden="1" customHeight="1" x14ac:dyDescent="0.15">
      <c r="G359" s="7"/>
      <c r="H359" s="32"/>
      <c r="I359" s="40">
        <v>5.7599999999999998E-2</v>
      </c>
      <c r="J359" s="211"/>
      <c r="K359" s="36">
        <v>6</v>
      </c>
      <c r="L359" s="36"/>
      <c r="M359" s="35">
        <f t="shared" si="168"/>
        <v>0.71828030922061381</v>
      </c>
      <c r="N359" s="35">
        <f t="shared" si="168"/>
        <v>0.71828030922061381</v>
      </c>
      <c r="O359" s="35">
        <f t="shared" si="168"/>
        <v>0.71828030922061381</v>
      </c>
      <c r="P359" s="35">
        <f t="shared" si="168"/>
        <v>0.71828030922061381</v>
      </c>
      <c r="Q359" s="35">
        <f t="shared" si="168"/>
        <v>0.72534775714253863</v>
      </c>
      <c r="R359" s="35">
        <f t="shared" si="168"/>
        <v>0.72534775714253863</v>
      </c>
      <c r="S359" s="35">
        <f t="shared" si="168"/>
        <v>0.7500636306299544</v>
      </c>
      <c r="T359" s="35">
        <f t="shared" si="168"/>
        <v>0.74485352184925124</v>
      </c>
      <c r="U359" s="35">
        <f t="shared" si="168"/>
        <v>0.73973148395881438</v>
      </c>
      <c r="V359" s="35">
        <f t="shared" si="168"/>
        <v>0.73469602451091198</v>
      </c>
      <c r="W359" s="35">
        <f t="shared" si="169"/>
        <v>0.72974568505545878</v>
      </c>
      <c r="X359" s="35">
        <f t="shared" si="169"/>
        <v>0.72974568505545878</v>
      </c>
      <c r="Y359" s="35">
        <f t="shared" si="169"/>
        <v>0.72974568505545878</v>
      </c>
      <c r="Z359" s="35">
        <f t="shared" si="169"/>
        <v>0.72974568505545878</v>
      </c>
      <c r="AA359" s="35">
        <f t="shared" si="169"/>
        <v>0.72974568505545878</v>
      </c>
      <c r="AB359" s="35">
        <f t="shared" si="169"/>
        <v>0.72974568505545878</v>
      </c>
      <c r="AC359" s="35">
        <f t="shared" si="169"/>
        <v>0.72974568505545878</v>
      </c>
      <c r="AD359" s="35">
        <f t="shared" si="169"/>
        <v>0.72974568505545878</v>
      </c>
      <c r="AE359" s="35">
        <f t="shared" si="169"/>
        <v>0.72974568505545878</v>
      </c>
      <c r="AF359" s="35">
        <f t="shared" si="169"/>
        <v>0.72974568505545878</v>
      </c>
      <c r="AG359" s="35">
        <f t="shared" si="170"/>
        <v>0.72974568505545878</v>
      </c>
      <c r="AH359" s="35">
        <f t="shared" si="170"/>
        <v>0.72974568505545878</v>
      </c>
      <c r="AI359" s="35">
        <f t="shared" si="170"/>
        <v>0.72974568505545878</v>
      </c>
      <c r="AJ359" s="35">
        <f t="shared" si="170"/>
        <v>0.72974568505545878</v>
      </c>
      <c r="AK359" s="35">
        <f t="shared" si="170"/>
        <v>0.72974568505545878</v>
      </c>
      <c r="AL359" s="35">
        <f t="shared" si="170"/>
        <v>0.72974568505545878</v>
      </c>
      <c r="AM359" s="35">
        <f t="shared" si="170"/>
        <v>0.72974568505545878</v>
      </c>
      <c r="AN359" s="35">
        <f t="shared" si="170"/>
        <v>0.72974568505545878</v>
      </c>
      <c r="AO359" s="35">
        <f t="shared" si="170"/>
        <v>0.72974568505545878</v>
      </c>
      <c r="AP359" s="35">
        <f t="shared" si="170"/>
        <v>0.72974568505545878</v>
      </c>
      <c r="AQ359" s="35">
        <f t="shared" si="170"/>
        <v>0.72974568505545878</v>
      </c>
    </row>
    <row r="360" spans="7:43" ht="14.25" hidden="1" customHeight="1" x14ac:dyDescent="0.15">
      <c r="G360" s="7"/>
      <c r="H360" s="32"/>
      <c r="I360" s="40"/>
      <c r="J360" s="211"/>
      <c r="K360" s="39" t="s">
        <v>75</v>
      </c>
      <c r="L360" s="39"/>
      <c r="M360" s="12">
        <v>2020</v>
      </c>
      <c r="N360" s="12">
        <v>2021</v>
      </c>
      <c r="O360" s="12">
        <v>2022</v>
      </c>
      <c r="P360" s="12">
        <v>2023</v>
      </c>
      <c r="Q360" s="12">
        <v>2024</v>
      </c>
      <c r="R360" s="12">
        <v>2025</v>
      </c>
      <c r="S360" s="12">
        <v>2026</v>
      </c>
      <c r="T360" s="12">
        <v>2027</v>
      </c>
      <c r="U360" s="12">
        <v>2028</v>
      </c>
      <c r="V360" s="12">
        <v>2029</v>
      </c>
      <c r="W360" s="12">
        <v>2030</v>
      </c>
      <c r="X360" s="12">
        <v>2031</v>
      </c>
      <c r="Y360" s="12">
        <v>2032</v>
      </c>
      <c r="Z360" s="12">
        <v>2033</v>
      </c>
      <c r="AA360" s="12">
        <v>2034</v>
      </c>
      <c r="AB360" s="12">
        <v>2035</v>
      </c>
      <c r="AC360" s="12">
        <v>2036</v>
      </c>
      <c r="AD360" s="12">
        <v>2037</v>
      </c>
      <c r="AE360" s="12">
        <v>2038</v>
      </c>
      <c r="AF360" s="12">
        <v>2039</v>
      </c>
      <c r="AG360" s="12">
        <v>2040</v>
      </c>
      <c r="AH360" s="12">
        <v>2041</v>
      </c>
      <c r="AI360" s="12">
        <v>2042</v>
      </c>
      <c r="AJ360" s="12">
        <v>2043</v>
      </c>
      <c r="AK360" s="12">
        <v>2044</v>
      </c>
      <c r="AL360" s="12">
        <v>2045</v>
      </c>
      <c r="AM360" s="12">
        <v>2046</v>
      </c>
      <c r="AN360" s="12">
        <v>2047</v>
      </c>
      <c r="AO360" s="12">
        <v>2048</v>
      </c>
      <c r="AP360" s="12">
        <v>2049</v>
      </c>
      <c r="AQ360" s="12">
        <v>2050</v>
      </c>
    </row>
    <row r="361" spans="7:43" ht="14.25" hidden="1" customHeight="1" x14ac:dyDescent="0.15">
      <c r="G361" s="7"/>
      <c r="H361" s="32"/>
      <c r="J361" s="211"/>
      <c r="K361" s="36">
        <v>1</v>
      </c>
      <c r="L361" s="36"/>
      <c r="M361" s="35">
        <f t="shared" ref="M361:V366" si="171">1/((1+M$70)*(1+M$48))^$K361</f>
        <v>0.94634391399165085</v>
      </c>
      <c r="N361" s="35">
        <f t="shared" si="171"/>
        <v>0.94634391399165085</v>
      </c>
      <c r="O361" s="35">
        <f t="shared" si="171"/>
        <v>0.94634391399165085</v>
      </c>
      <c r="P361" s="35">
        <f t="shared" si="171"/>
        <v>0.94634391399165085</v>
      </c>
      <c r="Q361" s="35">
        <f t="shared" si="171"/>
        <v>0.94788949906920861</v>
      </c>
      <c r="R361" s="35">
        <f t="shared" si="171"/>
        <v>0.94788949906920861</v>
      </c>
      <c r="S361" s="35">
        <f t="shared" si="171"/>
        <v>0.95319777067984268</v>
      </c>
      <c r="T361" s="35">
        <f t="shared" si="171"/>
        <v>0.95209104256500143</v>
      </c>
      <c r="U361" s="35">
        <f t="shared" si="171"/>
        <v>0.95099671596048219</v>
      </c>
      <c r="V361" s="35">
        <f t="shared" si="171"/>
        <v>0.94991471424040597</v>
      </c>
      <c r="W361" s="35">
        <f t="shared" ref="W361:AF366" si="172">1/((1+W$70)*(1+W$48))^$K361</f>
        <v>0.94884496189181577</v>
      </c>
      <c r="X361" s="35">
        <f t="shared" si="172"/>
        <v>0.94884496189181577</v>
      </c>
      <c r="Y361" s="35">
        <f t="shared" si="172"/>
        <v>0.94884496189181577</v>
      </c>
      <c r="Z361" s="35">
        <f t="shared" si="172"/>
        <v>0.94884496189181577</v>
      </c>
      <c r="AA361" s="35">
        <f t="shared" si="172"/>
        <v>0.94884496189181577</v>
      </c>
      <c r="AB361" s="35">
        <f t="shared" si="172"/>
        <v>0.94884496189181577</v>
      </c>
      <c r="AC361" s="35">
        <f t="shared" si="172"/>
        <v>0.94884496189181577</v>
      </c>
      <c r="AD361" s="35">
        <f t="shared" si="172"/>
        <v>0.94884496189181577</v>
      </c>
      <c r="AE361" s="35">
        <f t="shared" si="172"/>
        <v>0.94884496189181577</v>
      </c>
      <c r="AF361" s="35">
        <f t="shared" si="172"/>
        <v>0.94884496189181577</v>
      </c>
      <c r="AG361" s="35">
        <f t="shared" ref="AG361:AQ366" si="173">1/((1+AG$70)*(1+AG$48))^$K361</f>
        <v>0.94884496189181577</v>
      </c>
      <c r="AH361" s="35">
        <f t="shared" si="173"/>
        <v>0.94884496189181577</v>
      </c>
      <c r="AI361" s="35">
        <f t="shared" si="173"/>
        <v>0.94884496189181577</v>
      </c>
      <c r="AJ361" s="35">
        <f t="shared" si="173"/>
        <v>0.94884496189181577</v>
      </c>
      <c r="AK361" s="35">
        <f t="shared" si="173"/>
        <v>0.94884496189181577</v>
      </c>
      <c r="AL361" s="35">
        <f t="shared" si="173"/>
        <v>0.94884496189181577</v>
      </c>
      <c r="AM361" s="35">
        <f t="shared" si="173"/>
        <v>0.94884496189181577</v>
      </c>
      <c r="AN361" s="35">
        <f t="shared" si="173"/>
        <v>0.94884496189181577</v>
      </c>
      <c r="AO361" s="35">
        <f t="shared" si="173"/>
        <v>0.94884496189181577</v>
      </c>
      <c r="AP361" s="35">
        <f t="shared" si="173"/>
        <v>0.94884496189181577</v>
      </c>
      <c r="AQ361" s="35">
        <f t="shared" si="173"/>
        <v>0.94884496189181577</v>
      </c>
    </row>
    <row r="362" spans="7:43" ht="14.25" hidden="1" customHeight="1" x14ac:dyDescent="0.15">
      <c r="G362" s="7"/>
      <c r="H362" s="32"/>
      <c r="J362" s="211"/>
      <c r="K362" s="36">
        <v>2</v>
      </c>
      <c r="L362" s="36"/>
      <c r="M362" s="35">
        <f t="shared" si="171"/>
        <v>0.89556680354903706</v>
      </c>
      <c r="N362" s="35">
        <f t="shared" si="171"/>
        <v>0.89556680354903706</v>
      </c>
      <c r="O362" s="35">
        <f t="shared" si="171"/>
        <v>0.89556680354903706</v>
      </c>
      <c r="P362" s="35">
        <f t="shared" si="171"/>
        <v>0.89556680354903706</v>
      </c>
      <c r="Q362" s="35">
        <f t="shared" si="171"/>
        <v>0.89849450244567519</v>
      </c>
      <c r="R362" s="35">
        <f t="shared" si="171"/>
        <v>0.89849450244567519</v>
      </c>
      <c r="S362" s="35">
        <f t="shared" si="171"/>
        <v>0.90858599002902207</v>
      </c>
      <c r="T362" s="35">
        <f t="shared" si="171"/>
        <v>0.90647735333251134</v>
      </c>
      <c r="U362" s="35">
        <f t="shared" si="171"/>
        <v>0.90439475376762213</v>
      </c>
      <c r="V362" s="35">
        <f t="shared" si="171"/>
        <v>0.90233796433043223</v>
      </c>
      <c r="W362" s="35">
        <f t="shared" si="172"/>
        <v>0.90030676170748136</v>
      </c>
      <c r="X362" s="35">
        <f t="shared" si="172"/>
        <v>0.90030676170748136</v>
      </c>
      <c r="Y362" s="35">
        <f t="shared" si="172"/>
        <v>0.90030676170748136</v>
      </c>
      <c r="Z362" s="35">
        <f t="shared" si="172"/>
        <v>0.90030676170748136</v>
      </c>
      <c r="AA362" s="35">
        <f t="shared" si="172"/>
        <v>0.90030676170748136</v>
      </c>
      <c r="AB362" s="35">
        <f t="shared" si="172"/>
        <v>0.90030676170748136</v>
      </c>
      <c r="AC362" s="35">
        <f t="shared" si="172"/>
        <v>0.90030676170748136</v>
      </c>
      <c r="AD362" s="35">
        <f t="shared" si="172"/>
        <v>0.90030676170748136</v>
      </c>
      <c r="AE362" s="35">
        <f t="shared" si="172"/>
        <v>0.90030676170748136</v>
      </c>
      <c r="AF362" s="35">
        <f t="shared" si="172"/>
        <v>0.90030676170748136</v>
      </c>
      <c r="AG362" s="35">
        <f t="shared" si="173"/>
        <v>0.90030676170748136</v>
      </c>
      <c r="AH362" s="35">
        <f t="shared" si="173"/>
        <v>0.90030676170748136</v>
      </c>
      <c r="AI362" s="35">
        <f t="shared" si="173"/>
        <v>0.90030676170748136</v>
      </c>
      <c r="AJ362" s="35">
        <f t="shared" si="173"/>
        <v>0.90030676170748136</v>
      </c>
      <c r="AK362" s="35">
        <f t="shared" si="173"/>
        <v>0.90030676170748136</v>
      </c>
      <c r="AL362" s="35">
        <f t="shared" si="173"/>
        <v>0.90030676170748136</v>
      </c>
      <c r="AM362" s="35">
        <f t="shared" si="173"/>
        <v>0.90030676170748136</v>
      </c>
      <c r="AN362" s="35">
        <f t="shared" si="173"/>
        <v>0.90030676170748136</v>
      </c>
      <c r="AO362" s="35">
        <f t="shared" si="173"/>
        <v>0.90030676170748136</v>
      </c>
      <c r="AP362" s="35">
        <f t="shared" si="173"/>
        <v>0.90030676170748136</v>
      </c>
      <c r="AQ362" s="35">
        <f t="shared" si="173"/>
        <v>0.90030676170748136</v>
      </c>
    </row>
    <row r="363" spans="7:43" ht="14.25" hidden="1" customHeight="1" x14ac:dyDescent="0.15">
      <c r="G363" s="7"/>
      <c r="H363" s="32"/>
      <c r="J363" s="211"/>
      <c r="K363" s="36">
        <v>3</v>
      </c>
      <c r="L363" s="36"/>
      <c r="M363" s="35">
        <f t="shared" si="171"/>
        <v>0.84751419411158757</v>
      </c>
      <c r="N363" s="35">
        <f t="shared" si="171"/>
        <v>0.84751419411158757</v>
      </c>
      <c r="O363" s="35">
        <f t="shared" si="171"/>
        <v>0.84751419411158757</v>
      </c>
      <c r="P363" s="35">
        <f t="shared" si="171"/>
        <v>0.84751419411158757</v>
      </c>
      <c r="Q363" s="35">
        <f t="shared" si="171"/>
        <v>0.851673503839669</v>
      </c>
      <c r="R363" s="35">
        <f t="shared" si="171"/>
        <v>0.851673503839669</v>
      </c>
      <c r="S363" s="35">
        <f t="shared" si="171"/>
        <v>0.86606214016660155</v>
      </c>
      <c r="T363" s="35">
        <f t="shared" si="171"/>
        <v>0.86304896839591405</v>
      </c>
      <c r="U363" s="35">
        <f t="shared" si="171"/>
        <v>0.86007644076489753</v>
      </c>
      <c r="V363" s="35">
        <f t="shared" si="171"/>
        <v>0.85714410953521214</v>
      </c>
      <c r="W363" s="35">
        <f t="shared" si="172"/>
        <v>0.85425153500327911</v>
      </c>
      <c r="X363" s="35">
        <f t="shared" si="172"/>
        <v>0.85425153500327911</v>
      </c>
      <c r="Y363" s="35">
        <f t="shared" si="172"/>
        <v>0.85425153500327911</v>
      </c>
      <c r="Z363" s="35">
        <f t="shared" si="172"/>
        <v>0.85425153500327911</v>
      </c>
      <c r="AA363" s="35">
        <f t="shared" si="172"/>
        <v>0.85425153500327911</v>
      </c>
      <c r="AB363" s="35">
        <f t="shared" si="172"/>
        <v>0.85425153500327911</v>
      </c>
      <c r="AC363" s="35">
        <f t="shared" si="172"/>
        <v>0.85425153500327911</v>
      </c>
      <c r="AD363" s="35">
        <f t="shared" si="172"/>
        <v>0.85425153500327911</v>
      </c>
      <c r="AE363" s="35">
        <f t="shared" si="172"/>
        <v>0.85425153500327911</v>
      </c>
      <c r="AF363" s="35">
        <f t="shared" si="172"/>
        <v>0.85425153500327911</v>
      </c>
      <c r="AG363" s="35">
        <f t="shared" si="173"/>
        <v>0.85425153500327911</v>
      </c>
      <c r="AH363" s="35">
        <f t="shared" si="173"/>
        <v>0.85425153500327911</v>
      </c>
      <c r="AI363" s="35">
        <f t="shared" si="173"/>
        <v>0.85425153500327911</v>
      </c>
      <c r="AJ363" s="35">
        <f t="shared" si="173"/>
        <v>0.85425153500327911</v>
      </c>
      <c r="AK363" s="35">
        <f t="shared" si="173"/>
        <v>0.85425153500327911</v>
      </c>
      <c r="AL363" s="35">
        <f t="shared" si="173"/>
        <v>0.85425153500327911</v>
      </c>
      <c r="AM363" s="35">
        <f t="shared" si="173"/>
        <v>0.85425153500327911</v>
      </c>
      <c r="AN363" s="35">
        <f t="shared" si="173"/>
        <v>0.85425153500327911</v>
      </c>
      <c r="AO363" s="35">
        <f t="shared" si="173"/>
        <v>0.85425153500327911</v>
      </c>
      <c r="AP363" s="35">
        <f t="shared" si="173"/>
        <v>0.85425153500327911</v>
      </c>
      <c r="AQ363" s="35">
        <f t="shared" si="173"/>
        <v>0.85425153500327911</v>
      </c>
    </row>
    <row r="364" spans="7:43" ht="14.25" hidden="1" customHeight="1" x14ac:dyDescent="0.15">
      <c r="G364" s="7"/>
      <c r="H364" s="32"/>
      <c r="J364" s="211"/>
      <c r="K364" s="36">
        <v>4</v>
      </c>
      <c r="L364" s="36"/>
      <c r="M364" s="35">
        <f t="shared" si="171"/>
        <v>0.80203989961903954</v>
      </c>
      <c r="N364" s="35">
        <f t="shared" si="171"/>
        <v>0.80203989961903954</v>
      </c>
      <c r="O364" s="35">
        <f t="shared" si="171"/>
        <v>0.80203989961903954</v>
      </c>
      <c r="P364" s="35">
        <f t="shared" si="171"/>
        <v>0.80203989961903954</v>
      </c>
      <c r="Q364" s="35">
        <f t="shared" si="171"/>
        <v>0.80729237092510153</v>
      </c>
      <c r="R364" s="35">
        <f t="shared" si="171"/>
        <v>0.80729237092510153</v>
      </c>
      <c r="S364" s="35">
        <f t="shared" si="171"/>
        <v>0.82552850127701816</v>
      </c>
      <c r="T364" s="35">
        <f t="shared" si="171"/>
        <v>0.8217011921047146</v>
      </c>
      <c r="U364" s="35">
        <f t="shared" si="171"/>
        <v>0.81792987064239786</v>
      </c>
      <c r="V364" s="35">
        <f t="shared" si="171"/>
        <v>0.81421380187198844</v>
      </c>
      <c r="W364" s="35">
        <f t="shared" si="172"/>
        <v>0.81055226517621159</v>
      </c>
      <c r="X364" s="35">
        <f t="shared" si="172"/>
        <v>0.81055226517621159</v>
      </c>
      <c r="Y364" s="35">
        <f t="shared" si="172"/>
        <v>0.81055226517621159</v>
      </c>
      <c r="Z364" s="35">
        <f t="shared" si="172"/>
        <v>0.81055226517621159</v>
      </c>
      <c r="AA364" s="35">
        <f t="shared" si="172"/>
        <v>0.81055226517621159</v>
      </c>
      <c r="AB364" s="35">
        <f t="shared" si="172"/>
        <v>0.81055226517621159</v>
      </c>
      <c r="AC364" s="35">
        <f t="shared" si="172"/>
        <v>0.81055226517621159</v>
      </c>
      <c r="AD364" s="35">
        <f t="shared" si="172"/>
        <v>0.81055226517621159</v>
      </c>
      <c r="AE364" s="35">
        <f t="shared" si="172"/>
        <v>0.81055226517621159</v>
      </c>
      <c r="AF364" s="35">
        <f t="shared" si="172"/>
        <v>0.81055226517621159</v>
      </c>
      <c r="AG364" s="35">
        <f t="shared" si="173"/>
        <v>0.81055226517621159</v>
      </c>
      <c r="AH364" s="35">
        <f t="shared" si="173"/>
        <v>0.81055226517621159</v>
      </c>
      <c r="AI364" s="35">
        <f t="shared" si="173"/>
        <v>0.81055226517621159</v>
      </c>
      <c r="AJ364" s="35">
        <f t="shared" si="173"/>
        <v>0.81055226517621159</v>
      </c>
      <c r="AK364" s="35">
        <f t="shared" si="173"/>
        <v>0.81055226517621159</v>
      </c>
      <c r="AL364" s="35">
        <f t="shared" si="173"/>
        <v>0.81055226517621159</v>
      </c>
      <c r="AM364" s="35">
        <f t="shared" si="173"/>
        <v>0.81055226517621159</v>
      </c>
      <c r="AN364" s="35">
        <f t="shared" si="173"/>
        <v>0.81055226517621159</v>
      </c>
      <c r="AO364" s="35">
        <f t="shared" si="173"/>
        <v>0.81055226517621159</v>
      </c>
      <c r="AP364" s="35">
        <f t="shared" si="173"/>
        <v>0.81055226517621159</v>
      </c>
      <c r="AQ364" s="35">
        <f t="shared" si="173"/>
        <v>0.81055226517621159</v>
      </c>
    </row>
    <row r="365" spans="7:43" ht="14.25" hidden="1" customHeight="1" x14ac:dyDescent="0.15">
      <c r="G365" s="7"/>
      <c r="H365" s="32"/>
      <c r="J365" s="211"/>
      <c r="K365" s="36">
        <v>5</v>
      </c>
      <c r="L365" s="36"/>
      <c r="M365" s="35">
        <f t="shared" si="171"/>
        <v>0.75900557778295263</v>
      </c>
      <c r="N365" s="35">
        <f t="shared" si="171"/>
        <v>0.75900557778295263</v>
      </c>
      <c r="O365" s="35">
        <f t="shared" si="171"/>
        <v>0.75900557778295263</v>
      </c>
      <c r="P365" s="35">
        <f t="shared" si="171"/>
        <v>0.75900557778295263</v>
      </c>
      <c r="Q365" s="35">
        <f t="shared" si="171"/>
        <v>0.76522396107858837</v>
      </c>
      <c r="R365" s="35">
        <f t="shared" si="171"/>
        <v>0.76522396107858837</v>
      </c>
      <c r="S365" s="35">
        <f t="shared" si="171"/>
        <v>0.78689192704992539</v>
      </c>
      <c r="T365" s="35">
        <f t="shared" si="171"/>
        <v>0.78233434466788221</v>
      </c>
      <c r="U365" s="35">
        <f t="shared" si="171"/>
        <v>0.77784862086690232</v>
      </c>
      <c r="V365" s="35">
        <f t="shared" si="171"/>
        <v>0.77343367093582449</v>
      </c>
      <c r="W365" s="35">
        <f t="shared" si="172"/>
        <v>0.76908843316244746</v>
      </c>
      <c r="X365" s="35">
        <f t="shared" si="172"/>
        <v>0.76908843316244746</v>
      </c>
      <c r="Y365" s="35">
        <f t="shared" si="172"/>
        <v>0.76908843316244746</v>
      </c>
      <c r="Z365" s="35">
        <f t="shared" si="172"/>
        <v>0.76908843316244746</v>
      </c>
      <c r="AA365" s="35">
        <f t="shared" si="172"/>
        <v>0.76908843316244746</v>
      </c>
      <c r="AB365" s="35">
        <f t="shared" si="172"/>
        <v>0.76908843316244746</v>
      </c>
      <c r="AC365" s="35">
        <f t="shared" si="172"/>
        <v>0.76908843316244746</v>
      </c>
      <c r="AD365" s="35">
        <f t="shared" si="172"/>
        <v>0.76908843316244746</v>
      </c>
      <c r="AE365" s="35">
        <f t="shared" si="172"/>
        <v>0.76908843316244746</v>
      </c>
      <c r="AF365" s="35">
        <f t="shared" si="172"/>
        <v>0.76908843316244746</v>
      </c>
      <c r="AG365" s="35">
        <f t="shared" si="173"/>
        <v>0.76908843316244746</v>
      </c>
      <c r="AH365" s="35">
        <f t="shared" si="173"/>
        <v>0.76908843316244746</v>
      </c>
      <c r="AI365" s="35">
        <f t="shared" si="173"/>
        <v>0.76908843316244746</v>
      </c>
      <c r="AJ365" s="35">
        <f t="shared" si="173"/>
        <v>0.76908843316244746</v>
      </c>
      <c r="AK365" s="35">
        <f t="shared" si="173"/>
        <v>0.76908843316244746</v>
      </c>
      <c r="AL365" s="35">
        <f t="shared" si="173"/>
        <v>0.76908843316244746</v>
      </c>
      <c r="AM365" s="35">
        <f t="shared" si="173"/>
        <v>0.76908843316244746</v>
      </c>
      <c r="AN365" s="35">
        <f t="shared" si="173"/>
        <v>0.76908843316244746</v>
      </c>
      <c r="AO365" s="35">
        <f t="shared" si="173"/>
        <v>0.76908843316244746</v>
      </c>
      <c r="AP365" s="35">
        <f t="shared" si="173"/>
        <v>0.76908843316244746</v>
      </c>
      <c r="AQ365" s="35">
        <f t="shared" si="173"/>
        <v>0.76908843316244746</v>
      </c>
    </row>
    <row r="366" spans="7:43" ht="14.25" hidden="1" customHeight="1" x14ac:dyDescent="0.15">
      <c r="G366" s="7"/>
      <c r="H366" s="32"/>
      <c r="J366" s="211"/>
      <c r="K366" s="36">
        <v>6</v>
      </c>
      <c r="L366" s="36"/>
      <c r="M366" s="35">
        <f t="shared" si="171"/>
        <v>0.71828030922061381</v>
      </c>
      <c r="N366" s="35">
        <f t="shared" si="171"/>
        <v>0.71828030922061381</v>
      </c>
      <c r="O366" s="35">
        <f t="shared" si="171"/>
        <v>0.71828030922061381</v>
      </c>
      <c r="P366" s="35">
        <f t="shared" si="171"/>
        <v>0.71828030922061381</v>
      </c>
      <c r="Q366" s="35">
        <f t="shared" si="171"/>
        <v>0.72534775714253863</v>
      </c>
      <c r="R366" s="35">
        <f t="shared" si="171"/>
        <v>0.72534775714253863</v>
      </c>
      <c r="S366" s="35">
        <f t="shared" si="171"/>
        <v>0.7500636306299544</v>
      </c>
      <c r="T366" s="35">
        <f t="shared" si="171"/>
        <v>0.74485352184925124</v>
      </c>
      <c r="U366" s="35">
        <f t="shared" si="171"/>
        <v>0.73973148395881438</v>
      </c>
      <c r="V366" s="35">
        <f t="shared" si="171"/>
        <v>0.73469602451091198</v>
      </c>
      <c r="W366" s="35">
        <f t="shared" si="172"/>
        <v>0.72974568505545878</v>
      </c>
      <c r="X366" s="35">
        <f t="shared" si="172"/>
        <v>0.72974568505545878</v>
      </c>
      <c r="Y366" s="35">
        <f t="shared" si="172"/>
        <v>0.72974568505545878</v>
      </c>
      <c r="Z366" s="35">
        <f t="shared" si="172"/>
        <v>0.72974568505545878</v>
      </c>
      <c r="AA366" s="35">
        <f t="shared" si="172"/>
        <v>0.72974568505545878</v>
      </c>
      <c r="AB366" s="35">
        <f t="shared" si="172"/>
        <v>0.72974568505545878</v>
      </c>
      <c r="AC366" s="35">
        <f t="shared" si="172"/>
        <v>0.72974568505545878</v>
      </c>
      <c r="AD366" s="35">
        <f t="shared" si="172"/>
        <v>0.72974568505545878</v>
      </c>
      <c r="AE366" s="35">
        <f t="shared" si="172"/>
        <v>0.72974568505545878</v>
      </c>
      <c r="AF366" s="35">
        <f t="shared" si="172"/>
        <v>0.72974568505545878</v>
      </c>
      <c r="AG366" s="35">
        <f t="shared" si="173"/>
        <v>0.72974568505545878</v>
      </c>
      <c r="AH366" s="35">
        <f t="shared" si="173"/>
        <v>0.72974568505545878</v>
      </c>
      <c r="AI366" s="35">
        <f t="shared" si="173"/>
        <v>0.72974568505545878</v>
      </c>
      <c r="AJ366" s="35">
        <f t="shared" si="173"/>
        <v>0.72974568505545878</v>
      </c>
      <c r="AK366" s="35">
        <f t="shared" si="173"/>
        <v>0.72974568505545878</v>
      </c>
      <c r="AL366" s="35">
        <f t="shared" si="173"/>
        <v>0.72974568505545878</v>
      </c>
      <c r="AM366" s="35">
        <f t="shared" si="173"/>
        <v>0.72974568505545878</v>
      </c>
      <c r="AN366" s="35">
        <f t="shared" si="173"/>
        <v>0.72974568505545878</v>
      </c>
      <c r="AO366" s="35">
        <f t="shared" si="173"/>
        <v>0.72974568505545878</v>
      </c>
      <c r="AP366" s="35">
        <f t="shared" si="173"/>
        <v>0.72974568505545878</v>
      </c>
      <c r="AQ366" s="35">
        <f t="shared" si="173"/>
        <v>0.72974568505545878</v>
      </c>
    </row>
    <row r="367" spans="7:43" ht="14.25" hidden="1" customHeight="1" x14ac:dyDescent="0.15">
      <c r="G367" s="7"/>
      <c r="H367" s="32"/>
      <c r="J367" s="211"/>
      <c r="K367" s="36" t="s">
        <v>74</v>
      </c>
      <c r="L367" s="36"/>
      <c r="M367" s="12">
        <v>2020</v>
      </c>
      <c r="N367" s="12">
        <v>2021</v>
      </c>
      <c r="O367" s="12">
        <v>2022</v>
      </c>
      <c r="P367" s="12">
        <v>2023</v>
      </c>
      <c r="Q367" s="12">
        <v>2024</v>
      </c>
      <c r="R367" s="12">
        <v>2025</v>
      </c>
      <c r="S367" s="12">
        <v>2026</v>
      </c>
      <c r="T367" s="12">
        <v>2027</v>
      </c>
      <c r="U367" s="12">
        <v>2028</v>
      </c>
      <c r="V367" s="12">
        <v>2029</v>
      </c>
      <c r="W367" s="12">
        <v>2030</v>
      </c>
      <c r="X367" s="12">
        <v>2031</v>
      </c>
      <c r="Y367" s="12">
        <v>2032</v>
      </c>
      <c r="Z367" s="12">
        <v>2033</v>
      </c>
      <c r="AA367" s="12">
        <v>2034</v>
      </c>
      <c r="AB367" s="12">
        <v>2035</v>
      </c>
      <c r="AC367" s="12">
        <v>2036</v>
      </c>
      <c r="AD367" s="12">
        <v>2037</v>
      </c>
      <c r="AE367" s="12">
        <v>2038</v>
      </c>
      <c r="AF367" s="12">
        <v>2039</v>
      </c>
      <c r="AG367" s="12">
        <v>2040</v>
      </c>
      <c r="AH367" s="12">
        <v>2041</v>
      </c>
      <c r="AI367" s="12">
        <v>2042</v>
      </c>
      <c r="AJ367" s="12">
        <v>2043</v>
      </c>
      <c r="AK367" s="12">
        <v>2044</v>
      </c>
      <c r="AL367" s="12">
        <v>2045</v>
      </c>
      <c r="AM367" s="12">
        <v>2046</v>
      </c>
      <c r="AN367" s="12">
        <v>2047</v>
      </c>
      <c r="AO367" s="12">
        <v>2048</v>
      </c>
      <c r="AP367" s="12">
        <v>2049</v>
      </c>
      <c r="AQ367" s="12">
        <v>2050</v>
      </c>
    </row>
    <row r="368" spans="7:43" ht="14.25" hidden="1" customHeight="1" x14ac:dyDescent="0.15">
      <c r="G368" s="7"/>
      <c r="H368" s="32"/>
      <c r="J368" s="211"/>
      <c r="K368" s="36">
        <v>1</v>
      </c>
      <c r="L368" s="36"/>
      <c r="M368" s="35">
        <f t="shared" ref="M368:V373" si="174">1/((1+M$71)*(1+M$48))^$K368</f>
        <v>0.94634391399165085</v>
      </c>
      <c r="N368" s="35">
        <f t="shared" si="174"/>
        <v>0.94634391399165085</v>
      </c>
      <c r="O368" s="35">
        <f t="shared" si="174"/>
        <v>0.94634391399165085</v>
      </c>
      <c r="P368" s="35">
        <f t="shared" si="174"/>
        <v>0.94634391399165085</v>
      </c>
      <c r="Q368" s="35">
        <f t="shared" si="174"/>
        <v>0.94788949906920861</v>
      </c>
      <c r="R368" s="35">
        <f t="shared" si="174"/>
        <v>0.94788949906920861</v>
      </c>
      <c r="S368" s="35">
        <f t="shared" si="174"/>
        <v>0.95319777067984268</v>
      </c>
      <c r="T368" s="35">
        <f t="shared" si="174"/>
        <v>0.95209104256500143</v>
      </c>
      <c r="U368" s="35">
        <f t="shared" si="174"/>
        <v>0.95099671596048219</v>
      </c>
      <c r="V368" s="35">
        <f t="shared" si="174"/>
        <v>0.94991471424040597</v>
      </c>
      <c r="W368" s="35">
        <f t="shared" ref="W368:AF373" si="175">1/((1+W$71)*(1+W$48))^$K368</f>
        <v>0.94884496189181577</v>
      </c>
      <c r="X368" s="35">
        <f t="shared" si="175"/>
        <v>0.94884496189181577</v>
      </c>
      <c r="Y368" s="35">
        <f t="shared" si="175"/>
        <v>0.94884496189181577</v>
      </c>
      <c r="Z368" s="35">
        <f t="shared" si="175"/>
        <v>0.94884496189181577</v>
      </c>
      <c r="AA368" s="35">
        <f t="shared" si="175"/>
        <v>0.94884496189181577</v>
      </c>
      <c r="AB368" s="35">
        <f t="shared" si="175"/>
        <v>0.94884496189181577</v>
      </c>
      <c r="AC368" s="35">
        <f t="shared" si="175"/>
        <v>0.94884496189181577</v>
      </c>
      <c r="AD368" s="35">
        <f t="shared" si="175"/>
        <v>0.94884496189181577</v>
      </c>
      <c r="AE368" s="35">
        <f t="shared" si="175"/>
        <v>0.94884496189181577</v>
      </c>
      <c r="AF368" s="35">
        <f t="shared" si="175"/>
        <v>0.94884496189181577</v>
      </c>
      <c r="AG368" s="35">
        <f t="shared" ref="AG368:AQ373" si="176">1/((1+AG$71)*(1+AG$48))^$K368</f>
        <v>0.94884496189181577</v>
      </c>
      <c r="AH368" s="35">
        <f t="shared" si="176"/>
        <v>0.94884496189181577</v>
      </c>
      <c r="AI368" s="35">
        <f t="shared" si="176"/>
        <v>0.94884496189181577</v>
      </c>
      <c r="AJ368" s="35">
        <f t="shared" si="176"/>
        <v>0.94884496189181577</v>
      </c>
      <c r="AK368" s="35">
        <f t="shared" si="176"/>
        <v>0.94884496189181577</v>
      </c>
      <c r="AL368" s="35">
        <f t="shared" si="176"/>
        <v>0.94884496189181577</v>
      </c>
      <c r="AM368" s="35">
        <f t="shared" si="176"/>
        <v>0.94884496189181577</v>
      </c>
      <c r="AN368" s="35">
        <f t="shared" si="176"/>
        <v>0.94884496189181577</v>
      </c>
      <c r="AO368" s="35">
        <f t="shared" si="176"/>
        <v>0.94884496189181577</v>
      </c>
      <c r="AP368" s="35">
        <f t="shared" si="176"/>
        <v>0.94884496189181577</v>
      </c>
      <c r="AQ368" s="35">
        <f t="shared" si="176"/>
        <v>0.94884496189181577</v>
      </c>
    </row>
    <row r="369" spans="6:43" ht="14.25" hidden="1" customHeight="1" x14ac:dyDescent="0.15">
      <c r="G369" s="7"/>
      <c r="H369" s="32"/>
      <c r="J369" s="211"/>
      <c r="K369" s="36">
        <v>2</v>
      </c>
      <c r="L369" s="36"/>
      <c r="M369" s="35">
        <f t="shared" si="174"/>
        <v>0.89556680354903706</v>
      </c>
      <c r="N369" s="35">
        <f t="shared" si="174"/>
        <v>0.89556680354903706</v>
      </c>
      <c r="O369" s="35">
        <f t="shared" si="174"/>
        <v>0.89556680354903706</v>
      </c>
      <c r="P369" s="35">
        <f t="shared" si="174"/>
        <v>0.89556680354903706</v>
      </c>
      <c r="Q369" s="35">
        <f t="shared" si="174"/>
        <v>0.89849450244567519</v>
      </c>
      <c r="R369" s="35">
        <f t="shared" si="174"/>
        <v>0.89849450244567519</v>
      </c>
      <c r="S369" s="35">
        <f t="shared" si="174"/>
        <v>0.90858599002902207</v>
      </c>
      <c r="T369" s="35">
        <f t="shared" si="174"/>
        <v>0.90647735333251134</v>
      </c>
      <c r="U369" s="35">
        <f t="shared" si="174"/>
        <v>0.90439475376762213</v>
      </c>
      <c r="V369" s="35">
        <f t="shared" si="174"/>
        <v>0.90233796433043223</v>
      </c>
      <c r="W369" s="35">
        <f t="shared" si="175"/>
        <v>0.90030676170748136</v>
      </c>
      <c r="X369" s="35">
        <f t="shared" si="175"/>
        <v>0.90030676170748136</v>
      </c>
      <c r="Y369" s="35">
        <f t="shared" si="175"/>
        <v>0.90030676170748136</v>
      </c>
      <c r="Z369" s="35">
        <f t="shared" si="175"/>
        <v>0.90030676170748136</v>
      </c>
      <c r="AA369" s="35">
        <f t="shared" si="175"/>
        <v>0.90030676170748136</v>
      </c>
      <c r="AB369" s="35">
        <f t="shared" si="175"/>
        <v>0.90030676170748136</v>
      </c>
      <c r="AC369" s="35">
        <f t="shared" si="175"/>
        <v>0.90030676170748136</v>
      </c>
      <c r="AD369" s="35">
        <f t="shared" si="175"/>
        <v>0.90030676170748136</v>
      </c>
      <c r="AE369" s="35">
        <f t="shared" si="175"/>
        <v>0.90030676170748136</v>
      </c>
      <c r="AF369" s="35">
        <f t="shared" si="175"/>
        <v>0.90030676170748136</v>
      </c>
      <c r="AG369" s="35">
        <f t="shared" si="176"/>
        <v>0.90030676170748136</v>
      </c>
      <c r="AH369" s="35">
        <f t="shared" si="176"/>
        <v>0.90030676170748136</v>
      </c>
      <c r="AI369" s="35">
        <f t="shared" si="176"/>
        <v>0.90030676170748136</v>
      </c>
      <c r="AJ369" s="35">
        <f t="shared" si="176"/>
        <v>0.90030676170748136</v>
      </c>
      <c r="AK369" s="35">
        <f t="shared" si="176"/>
        <v>0.90030676170748136</v>
      </c>
      <c r="AL369" s="35">
        <f t="shared" si="176"/>
        <v>0.90030676170748136</v>
      </c>
      <c r="AM369" s="35">
        <f t="shared" si="176"/>
        <v>0.90030676170748136</v>
      </c>
      <c r="AN369" s="35">
        <f t="shared" si="176"/>
        <v>0.90030676170748136</v>
      </c>
      <c r="AO369" s="35">
        <f t="shared" si="176"/>
        <v>0.90030676170748136</v>
      </c>
      <c r="AP369" s="35">
        <f t="shared" si="176"/>
        <v>0.90030676170748136</v>
      </c>
      <c r="AQ369" s="35">
        <f t="shared" si="176"/>
        <v>0.90030676170748136</v>
      </c>
    </row>
    <row r="370" spans="6:43" ht="14.25" hidden="1" customHeight="1" x14ac:dyDescent="0.15">
      <c r="G370" s="7"/>
      <c r="H370" s="32"/>
      <c r="J370" s="211"/>
      <c r="K370" s="36">
        <v>3</v>
      </c>
      <c r="L370" s="36"/>
      <c r="M370" s="35">
        <f t="shared" si="174"/>
        <v>0.84751419411158757</v>
      </c>
      <c r="N370" s="35">
        <f t="shared" si="174"/>
        <v>0.84751419411158757</v>
      </c>
      <c r="O370" s="35">
        <f t="shared" si="174"/>
        <v>0.84751419411158757</v>
      </c>
      <c r="P370" s="35">
        <f t="shared" si="174"/>
        <v>0.84751419411158757</v>
      </c>
      <c r="Q370" s="35">
        <f t="shared" si="174"/>
        <v>0.851673503839669</v>
      </c>
      <c r="R370" s="35">
        <f t="shared" si="174"/>
        <v>0.851673503839669</v>
      </c>
      <c r="S370" s="35">
        <f t="shared" si="174"/>
        <v>0.86606214016660155</v>
      </c>
      <c r="T370" s="35">
        <f t="shared" si="174"/>
        <v>0.86304896839591405</v>
      </c>
      <c r="U370" s="35">
        <f t="shared" si="174"/>
        <v>0.86007644076489753</v>
      </c>
      <c r="V370" s="35">
        <f t="shared" si="174"/>
        <v>0.85714410953521214</v>
      </c>
      <c r="W370" s="35">
        <f t="shared" si="175"/>
        <v>0.85425153500327911</v>
      </c>
      <c r="X370" s="35">
        <f t="shared" si="175"/>
        <v>0.85425153500327911</v>
      </c>
      <c r="Y370" s="35">
        <f t="shared" si="175"/>
        <v>0.85425153500327911</v>
      </c>
      <c r="Z370" s="35">
        <f t="shared" si="175"/>
        <v>0.85425153500327911</v>
      </c>
      <c r="AA370" s="35">
        <f t="shared" si="175"/>
        <v>0.85425153500327911</v>
      </c>
      <c r="AB370" s="35">
        <f t="shared" si="175"/>
        <v>0.85425153500327911</v>
      </c>
      <c r="AC370" s="35">
        <f t="shared" si="175"/>
        <v>0.85425153500327911</v>
      </c>
      <c r="AD370" s="35">
        <f t="shared" si="175"/>
        <v>0.85425153500327911</v>
      </c>
      <c r="AE370" s="35">
        <f t="shared" si="175"/>
        <v>0.85425153500327911</v>
      </c>
      <c r="AF370" s="35">
        <f t="shared" si="175"/>
        <v>0.85425153500327911</v>
      </c>
      <c r="AG370" s="35">
        <f t="shared" si="176"/>
        <v>0.85425153500327911</v>
      </c>
      <c r="AH370" s="35">
        <f t="shared" si="176"/>
        <v>0.85425153500327911</v>
      </c>
      <c r="AI370" s="35">
        <f t="shared" si="176"/>
        <v>0.85425153500327911</v>
      </c>
      <c r="AJ370" s="35">
        <f t="shared" si="176"/>
        <v>0.85425153500327911</v>
      </c>
      <c r="AK370" s="35">
        <f t="shared" si="176"/>
        <v>0.85425153500327911</v>
      </c>
      <c r="AL370" s="35">
        <f t="shared" si="176"/>
        <v>0.85425153500327911</v>
      </c>
      <c r="AM370" s="35">
        <f t="shared" si="176"/>
        <v>0.85425153500327911</v>
      </c>
      <c r="AN370" s="35">
        <f t="shared" si="176"/>
        <v>0.85425153500327911</v>
      </c>
      <c r="AO370" s="35">
        <f t="shared" si="176"/>
        <v>0.85425153500327911</v>
      </c>
      <c r="AP370" s="35">
        <f t="shared" si="176"/>
        <v>0.85425153500327911</v>
      </c>
      <c r="AQ370" s="35">
        <f t="shared" si="176"/>
        <v>0.85425153500327911</v>
      </c>
    </row>
    <row r="371" spans="6:43" ht="14.25" hidden="1" customHeight="1" x14ac:dyDescent="0.15">
      <c r="G371" s="7"/>
      <c r="H371" s="32"/>
      <c r="J371" s="211"/>
      <c r="K371" s="36">
        <v>4</v>
      </c>
      <c r="L371" s="36"/>
      <c r="M371" s="35">
        <f t="shared" si="174"/>
        <v>0.80203989961903954</v>
      </c>
      <c r="N371" s="35">
        <f t="shared" si="174"/>
        <v>0.80203989961903954</v>
      </c>
      <c r="O371" s="35">
        <f t="shared" si="174"/>
        <v>0.80203989961903954</v>
      </c>
      <c r="P371" s="35">
        <f t="shared" si="174"/>
        <v>0.80203989961903954</v>
      </c>
      <c r="Q371" s="35">
        <f t="shared" si="174"/>
        <v>0.80729237092510153</v>
      </c>
      <c r="R371" s="35">
        <f t="shared" si="174"/>
        <v>0.80729237092510153</v>
      </c>
      <c r="S371" s="35">
        <f t="shared" si="174"/>
        <v>0.82552850127701816</v>
      </c>
      <c r="T371" s="35">
        <f t="shared" si="174"/>
        <v>0.8217011921047146</v>
      </c>
      <c r="U371" s="35">
        <f t="shared" si="174"/>
        <v>0.81792987064239786</v>
      </c>
      <c r="V371" s="35">
        <f t="shared" si="174"/>
        <v>0.81421380187198844</v>
      </c>
      <c r="W371" s="35">
        <f t="shared" si="175"/>
        <v>0.81055226517621159</v>
      </c>
      <c r="X371" s="35">
        <f t="shared" si="175"/>
        <v>0.81055226517621159</v>
      </c>
      <c r="Y371" s="35">
        <f t="shared" si="175"/>
        <v>0.81055226517621159</v>
      </c>
      <c r="Z371" s="35">
        <f t="shared" si="175"/>
        <v>0.81055226517621159</v>
      </c>
      <c r="AA371" s="35">
        <f t="shared" si="175"/>
        <v>0.81055226517621159</v>
      </c>
      <c r="AB371" s="35">
        <f t="shared" si="175"/>
        <v>0.81055226517621159</v>
      </c>
      <c r="AC371" s="35">
        <f t="shared" si="175"/>
        <v>0.81055226517621159</v>
      </c>
      <c r="AD371" s="35">
        <f t="shared" si="175"/>
        <v>0.81055226517621159</v>
      </c>
      <c r="AE371" s="35">
        <f t="shared" si="175"/>
        <v>0.81055226517621159</v>
      </c>
      <c r="AF371" s="35">
        <f t="shared" si="175"/>
        <v>0.81055226517621159</v>
      </c>
      <c r="AG371" s="35">
        <f t="shared" si="176"/>
        <v>0.81055226517621159</v>
      </c>
      <c r="AH371" s="35">
        <f t="shared" si="176"/>
        <v>0.81055226517621159</v>
      </c>
      <c r="AI371" s="35">
        <f t="shared" si="176"/>
        <v>0.81055226517621159</v>
      </c>
      <c r="AJ371" s="35">
        <f t="shared" si="176"/>
        <v>0.81055226517621159</v>
      </c>
      <c r="AK371" s="35">
        <f t="shared" si="176"/>
        <v>0.81055226517621159</v>
      </c>
      <c r="AL371" s="35">
        <f t="shared" si="176"/>
        <v>0.81055226517621159</v>
      </c>
      <c r="AM371" s="35">
        <f t="shared" si="176"/>
        <v>0.81055226517621159</v>
      </c>
      <c r="AN371" s="35">
        <f t="shared" si="176"/>
        <v>0.81055226517621159</v>
      </c>
      <c r="AO371" s="35">
        <f t="shared" si="176"/>
        <v>0.81055226517621159</v>
      </c>
      <c r="AP371" s="35">
        <f t="shared" si="176"/>
        <v>0.81055226517621159</v>
      </c>
      <c r="AQ371" s="35">
        <f t="shared" si="176"/>
        <v>0.81055226517621159</v>
      </c>
    </row>
    <row r="372" spans="6:43" ht="14.25" hidden="1" customHeight="1" x14ac:dyDescent="0.15">
      <c r="G372" s="7"/>
      <c r="H372" s="32"/>
      <c r="J372" s="211"/>
      <c r="K372" s="36">
        <v>5</v>
      </c>
      <c r="L372" s="36"/>
      <c r="M372" s="35">
        <f t="shared" si="174"/>
        <v>0.75900557778295263</v>
      </c>
      <c r="N372" s="35">
        <f t="shared" si="174"/>
        <v>0.75900557778295263</v>
      </c>
      <c r="O372" s="35">
        <f t="shared" si="174"/>
        <v>0.75900557778295263</v>
      </c>
      <c r="P372" s="35">
        <f t="shared" si="174"/>
        <v>0.75900557778295263</v>
      </c>
      <c r="Q372" s="35">
        <f t="shared" si="174"/>
        <v>0.76522396107858837</v>
      </c>
      <c r="R372" s="35">
        <f t="shared" si="174"/>
        <v>0.76522396107858837</v>
      </c>
      <c r="S372" s="35">
        <f t="shared" si="174"/>
        <v>0.78689192704992539</v>
      </c>
      <c r="T372" s="35">
        <f t="shared" si="174"/>
        <v>0.78233434466788221</v>
      </c>
      <c r="U372" s="35">
        <f t="shared" si="174"/>
        <v>0.77784862086690232</v>
      </c>
      <c r="V372" s="35">
        <f t="shared" si="174"/>
        <v>0.77343367093582449</v>
      </c>
      <c r="W372" s="35">
        <f t="shared" si="175"/>
        <v>0.76908843316244746</v>
      </c>
      <c r="X372" s="35">
        <f t="shared" si="175"/>
        <v>0.76908843316244746</v>
      </c>
      <c r="Y372" s="35">
        <f t="shared" si="175"/>
        <v>0.76908843316244746</v>
      </c>
      <c r="Z372" s="35">
        <f t="shared" si="175"/>
        <v>0.76908843316244746</v>
      </c>
      <c r="AA372" s="35">
        <f t="shared" si="175"/>
        <v>0.76908843316244746</v>
      </c>
      <c r="AB372" s="35">
        <f t="shared" si="175"/>
        <v>0.76908843316244746</v>
      </c>
      <c r="AC372" s="35">
        <f t="shared" si="175"/>
        <v>0.76908843316244746</v>
      </c>
      <c r="AD372" s="35">
        <f t="shared" si="175"/>
        <v>0.76908843316244746</v>
      </c>
      <c r="AE372" s="35">
        <f t="shared" si="175"/>
        <v>0.76908843316244746</v>
      </c>
      <c r="AF372" s="35">
        <f t="shared" si="175"/>
        <v>0.76908843316244746</v>
      </c>
      <c r="AG372" s="35">
        <f t="shared" si="176"/>
        <v>0.76908843316244746</v>
      </c>
      <c r="AH372" s="35">
        <f t="shared" si="176"/>
        <v>0.76908843316244746</v>
      </c>
      <c r="AI372" s="35">
        <f t="shared" si="176"/>
        <v>0.76908843316244746</v>
      </c>
      <c r="AJ372" s="35">
        <f t="shared" si="176"/>
        <v>0.76908843316244746</v>
      </c>
      <c r="AK372" s="35">
        <f t="shared" si="176"/>
        <v>0.76908843316244746</v>
      </c>
      <c r="AL372" s="35">
        <f t="shared" si="176"/>
        <v>0.76908843316244746</v>
      </c>
      <c r="AM372" s="35">
        <f t="shared" si="176"/>
        <v>0.76908843316244746</v>
      </c>
      <c r="AN372" s="35">
        <f t="shared" si="176"/>
        <v>0.76908843316244746</v>
      </c>
      <c r="AO372" s="35">
        <f t="shared" si="176"/>
        <v>0.76908843316244746</v>
      </c>
      <c r="AP372" s="35">
        <f t="shared" si="176"/>
        <v>0.76908843316244746</v>
      </c>
      <c r="AQ372" s="35">
        <f t="shared" si="176"/>
        <v>0.76908843316244746</v>
      </c>
    </row>
    <row r="373" spans="6:43" ht="14.25" hidden="1" customHeight="1" x14ac:dyDescent="0.15">
      <c r="G373" s="37"/>
      <c r="H373" s="32"/>
      <c r="I373" s="29"/>
      <c r="J373" s="212"/>
      <c r="K373" s="36">
        <v>6</v>
      </c>
      <c r="L373" s="36"/>
      <c r="M373" s="35">
        <f t="shared" si="174"/>
        <v>0.71828030922061381</v>
      </c>
      <c r="N373" s="35">
        <f t="shared" si="174"/>
        <v>0.71828030922061381</v>
      </c>
      <c r="O373" s="35">
        <f t="shared" si="174"/>
        <v>0.71828030922061381</v>
      </c>
      <c r="P373" s="35">
        <f t="shared" si="174"/>
        <v>0.71828030922061381</v>
      </c>
      <c r="Q373" s="35">
        <f t="shared" si="174"/>
        <v>0.72534775714253863</v>
      </c>
      <c r="R373" s="35">
        <f t="shared" si="174"/>
        <v>0.72534775714253863</v>
      </c>
      <c r="S373" s="35">
        <f t="shared" si="174"/>
        <v>0.7500636306299544</v>
      </c>
      <c r="T373" s="35">
        <f t="shared" si="174"/>
        <v>0.74485352184925124</v>
      </c>
      <c r="U373" s="35">
        <f t="shared" si="174"/>
        <v>0.73973148395881438</v>
      </c>
      <c r="V373" s="35">
        <f t="shared" si="174"/>
        <v>0.73469602451091198</v>
      </c>
      <c r="W373" s="35">
        <f t="shared" si="175"/>
        <v>0.72974568505545878</v>
      </c>
      <c r="X373" s="35">
        <f t="shared" si="175"/>
        <v>0.72974568505545878</v>
      </c>
      <c r="Y373" s="35">
        <f t="shared" si="175"/>
        <v>0.72974568505545878</v>
      </c>
      <c r="Z373" s="35">
        <f t="shared" si="175"/>
        <v>0.72974568505545878</v>
      </c>
      <c r="AA373" s="35">
        <f t="shared" si="175"/>
        <v>0.72974568505545878</v>
      </c>
      <c r="AB373" s="35">
        <f t="shared" si="175"/>
        <v>0.72974568505545878</v>
      </c>
      <c r="AC373" s="35">
        <f t="shared" si="175"/>
        <v>0.72974568505545878</v>
      </c>
      <c r="AD373" s="35">
        <f t="shared" si="175"/>
        <v>0.72974568505545878</v>
      </c>
      <c r="AE373" s="35">
        <f t="shared" si="175"/>
        <v>0.72974568505545878</v>
      </c>
      <c r="AF373" s="35">
        <f t="shared" si="175"/>
        <v>0.72974568505545878</v>
      </c>
      <c r="AG373" s="35">
        <f t="shared" si="176"/>
        <v>0.72974568505545878</v>
      </c>
      <c r="AH373" s="35">
        <f t="shared" si="176"/>
        <v>0.72974568505545878</v>
      </c>
      <c r="AI373" s="35">
        <f t="shared" si="176"/>
        <v>0.72974568505545878</v>
      </c>
      <c r="AJ373" s="35">
        <f t="shared" si="176"/>
        <v>0.72974568505545878</v>
      </c>
      <c r="AK373" s="35">
        <f t="shared" si="176"/>
        <v>0.72974568505545878</v>
      </c>
      <c r="AL373" s="35">
        <f t="shared" si="176"/>
        <v>0.72974568505545878</v>
      </c>
      <c r="AM373" s="35">
        <f t="shared" si="176"/>
        <v>0.72974568505545878</v>
      </c>
      <c r="AN373" s="35">
        <f t="shared" si="176"/>
        <v>0.72974568505545878</v>
      </c>
      <c r="AO373" s="35">
        <f t="shared" si="176"/>
        <v>0.72974568505545878</v>
      </c>
      <c r="AP373" s="35">
        <f t="shared" si="176"/>
        <v>0.72974568505545878</v>
      </c>
      <c r="AQ373" s="35">
        <f t="shared" si="176"/>
        <v>0.72974568505545878</v>
      </c>
    </row>
    <row r="374" spans="6:43" ht="14.25" hidden="1" customHeight="1" x14ac:dyDescent="0.15">
      <c r="G374" s="7"/>
    </row>
    <row r="375" spans="6:43" ht="15.75" hidden="1" customHeight="1" thickBot="1" x14ac:dyDescent="0.2">
      <c r="G375" s="7"/>
      <c r="M375" s="12">
        <v>2020</v>
      </c>
      <c r="N375" s="12">
        <v>2021</v>
      </c>
      <c r="O375" s="12">
        <v>2022</v>
      </c>
      <c r="P375" s="12">
        <v>2023</v>
      </c>
      <c r="Q375" s="12">
        <v>2024</v>
      </c>
      <c r="R375" s="12">
        <v>2025</v>
      </c>
      <c r="S375" s="12">
        <v>2026</v>
      </c>
      <c r="T375" s="12">
        <v>2027</v>
      </c>
      <c r="U375" s="12">
        <v>2028</v>
      </c>
      <c r="V375" s="12">
        <v>2029</v>
      </c>
      <c r="W375" s="12">
        <v>2030</v>
      </c>
      <c r="X375" s="12">
        <v>2031</v>
      </c>
      <c r="Y375" s="12">
        <v>2032</v>
      </c>
      <c r="Z375" s="12">
        <v>2033</v>
      </c>
      <c r="AA375" s="12">
        <v>2034</v>
      </c>
      <c r="AB375" s="12">
        <v>2035</v>
      </c>
      <c r="AC375" s="12">
        <v>2036</v>
      </c>
      <c r="AD375" s="12">
        <v>2037</v>
      </c>
      <c r="AE375" s="12">
        <v>2038</v>
      </c>
      <c r="AF375" s="12">
        <v>2039</v>
      </c>
      <c r="AG375" s="12">
        <v>2040</v>
      </c>
      <c r="AH375" s="12">
        <v>2041</v>
      </c>
      <c r="AI375" s="12">
        <v>2042</v>
      </c>
      <c r="AJ375" s="12">
        <v>2043</v>
      </c>
      <c r="AK375" s="12">
        <v>2044</v>
      </c>
      <c r="AL375" s="12">
        <v>2045</v>
      </c>
      <c r="AM375" s="12">
        <v>2046</v>
      </c>
      <c r="AN375" s="12">
        <v>2047</v>
      </c>
      <c r="AO375" s="12">
        <v>2048</v>
      </c>
      <c r="AP375" s="12">
        <v>2049</v>
      </c>
      <c r="AQ375" s="12">
        <v>2050</v>
      </c>
    </row>
    <row r="376" spans="6:43" ht="14.25" hidden="1" customHeight="1" thickTop="1" thickBot="1" x14ac:dyDescent="0.2">
      <c r="F376" s="33"/>
      <c r="H376" s="32"/>
      <c r="J376" s="155" t="s">
        <v>73</v>
      </c>
      <c r="K376" s="5" t="s">
        <v>72</v>
      </c>
      <c r="L376" s="5" t="s">
        <v>67</v>
      </c>
      <c r="M376" s="30">
        <v>1</v>
      </c>
      <c r="N376" s="30">
        <v>1</v>
      </c>
      <c r="O376" s="30">
        <v>1</v>
      </c>
      <c r="P376" s="30">
        <v>1</v>
      </c>
      <c r="Q376" s="30">
        <v>1</v>
      </c>
      <c r="R376" s="30">
        <v>1</v>
      </c>
      <c r="S376" s="30">
        <v>1</v>
      </c>
      <c r="T376" s="30">
        <v>1</v>
      </c>
      <c r="U376" s="30">
        <v>1</v>
      </c>
      <c r="V376" s="30">
        <v>1</v>
      </c>
      <c r="W376" s="30">
        <v>1</v>
      </c>
      <c r="X376" s="30">
        <v>1</v>
      </c>
      <c r="Y376" s="30">
        <v>1</v>
      </c>
      <c r="Z376" s="30">
        <v>1</v>
      </c>
      <c r="AA376" s="30">
        <v>1</v>
      </c>
      <c r="AB376" s="30">
        <v>1</v>
      </c>
      <c r="AC376" s="30">
        <v>1</v>
      </c>
      <c r="AD376" s="30">
        <v>1</v>
      </c>
      <c r="AE376" s="30">
        <v>1</v>
      </c>
      <c r="AF376" s="30">
        <v>1</v>
      </c>
      <c r="AG376" s="30">
        <v>1</v>
      </c>
      <c r="AH376" s="30">
        <v>1</v>
      </c>
      <c r="AI376" s="30">
        <v>1</v>
      </c>
      <c r="AJ376" s="30">
        <v>1</v>
      </c>
      <c r="AK376" s="30">
        <v>1</v>
      </c>
      <c r="AL376" s="30">
        <v>1</v>
      </c>
      <c r="AM376" s="30">
        <v>1</v>
      </c>
      <c r="AN376" s="30">
        <v>1</v>
      </c>
      <c r="AO376" s="30">
        <v>1</v>
      </c>
      <c r="AP376" s="30">
        <v>1</v>
      </c>
      <c r="AQ376" s="30">
        <v>1</v>
      </c>
    </row>
    <row r="377" spans="6:43" ht="14.25" hidden="1" customHeight="1" thickTop="1" thickBot="1" x14ac:dyDescent="0.2">
      <c r="F377" s="33"/>
      <c r="H377" s="32"/>
      <c r="J377" s="156"/>
      <c r="K377" s="5" t="s">
        <v>72</v>
      </c>
      <c r="L377" s="5" t="s">
        <v>66</v>
      </c>
      <c r="M377" s="30">
        <v>1</v>
      </c>
      <c r="N377" s="30">
        <v>1</v>
      </c>
      <c r="O377" s="30">
        <v>1</v>
      </c>
      <c r="P377" s="30">
        <v>1</v>
      </c>
      <c r="Q377" s="30">
        <v>1</v>
      </c>
      <c r="R377" s="30">
        <v>1</v>
      </c>
      <c r="S377" s="30">
        <v>1</v>
      </c>
      <c r="T377" s="30">
        <v>1</v>
      </c>
      <c r="U377" s="30">
        <v>1</v>
      </c>
      <c r="V377" s="30">
        <v>1</v>
      </c>
      <c r="W377" s="30">
        <v>1</v>
      </c>
      <c r="X377" s="30">
        <v>1</v>
      </c>
      <c r="Y377" s="30">
        <v>1</v>
      </c>
      <c r="Z377" s="30">
        <v>1</v>
      </c>
      <c r="AA377" s="30">
        <v>1</v>
      </c>
      <c r="AB377" s="30">
        <v>1</v>
      </c>
      <c r="AC377" s="30">
        <v>1</v>
      </c>
      <c r="AD377" s="30">
        <v>1</v>
      </c>
      <c r="AE377" s="30">
        <v>1</v>
      </c>
      <c r="AF377" s="30">
        <v>1</v>
      </c>
      <c r="AG377" s="30">
        <v>1</v>
      </c>
      <c r="AH377" s="30">
        <v>1</v>
      </c>
      <c r="AI377" s="30">
        <v>1</v>
      </c>
      <c r="AJ377" s="30">
        <v>1</v>
      </c>
      <c r="AK377" s="30">
        <v>1</v>
      </c>
      <c r="AL377" s="30">
        <v>1</v>
      </c>
      <c r="AM377" s="30">
        <v>1</v>
      </c>
      <c r="AN377" s="30">
        <v>1</v>
      </c>
      <c r="AO377" s="30">
        <v>1</v>
      </c>
      <c r="AP377" s="30">
        <v>1</v>
      </c>
      <c r="AQ377" s="30">
        <v>1</v>
      </c>
    </row>
    <row r="378" spans="6:43" ht="14.25" hidden="1" customHeight="1" thickTop="1" x14ac:dyDescent="0.15">
      <c r="F378" s="33"/>
      <c r="H378" s="32"/>
      <c r="J378" s="156"/>
      <c r="K378" s="5" t="s">
        <v>72</v>
      </c>
      <c r="L378" s="5" t="s">
        <v>62</v>
      </c>
      <c r="M378" s="30">
        <v>1</v>
      </c>
      <c r="N378" s="30">
        <v>1</v>
      </c>
      <c r="O378" s="30">
        <v>1</v>
      </c>
      <c r="P378" s="30">
        <v>1</v>
      </c>
      <c r="Q378" s="30">
        <v>1</v>
      </c>
      <c r="R378" s="30">
        <v>1</v>
      </c>
      <c r="S378" s="30">
        <v>1</v>
      </c>
      <c r="T378" s="30">
        <v>1</v>
      </c>
      <c r="U378" s="30">
        <v>1</v>
      </c>
      <c r="V378" s="30">
        <v>1</v>
      </c>
      <c r="W378" s="30">
        <v>1</v>
      </c>
      <c r="X378" s="30">
        <v>1</v>
      </c>
      <c r="Y378" s="30">
        <v>1</v>
      </c>
      <c r="Z378" s="30">
        <v>1</v>
      </c>
      <c r="AA378" s="30">
        <v>1</v>
      </c>
      <c r="AB378" s="30">
        <v>1</v>
      </c>
      <c r="AC378" s="30">
        <v>1</v>
      </c>
      <c r="AD378" s="30">
        <v>1</v>
      </c>
      <c r="AE378" s="30">
        <v>1</v>
      </c>
      <c r="AF378" s="30">
        <v>1</v>
      </c>
      <c r="AG378" s="30">
        <v>1</v>
      </c>
      <c r="AH378" s="30">
        <v>1</v>
      </c>
      <c r="AI378" s="30">
        <v>1</v>
      </c>
      <c r="AJ378" s="30">
        <v>1</v>
      </c>
      <c r="AK378" s="30">
        <v>1</v>
      </c>
      <c r="AL378" s="30">
        <v>1</v>
      </c>
      <c r="AM378" s="30">
        <v>1</v>
      </c>
      <c r="AN378" s="30">
        <v>1</v>
      </c>
      <c r="AO378" s="30">
        <v>1</v>
      </c>
      <c r="AP378" s="30">
        <v>1</v>
      </c>
      <c r="AQ378" s="30">
        <v>1</v>
      </c>
    </row>
    <row r="379" spans="6:43" ht="14.25" hidden="1" customHeight="1" thickBot="1" x14ac:dyDescent="0.2">
      <c r="F379" s="33"/>
      <c r="H379" s="32"/>
      <c r="J379" s="34"/>
    </row>
    <row r="380" spans="6:43" ht="14.25" hidden="1" customHeight="1" thickTop="1" thickBot="1" x14ac:dyDescent="0.2">
      <c r="F380" s="33"/>
      <c r="H380" s="32"/>
      <c r="J380" s="31"/>
      <c r="K380" s="5" t="s">
        <v>71</v>
      </c>
      <c r="L380" s="5" t="s">
        <v>68</v>
      </c>
      <c r="M380" s="30">
        <f t="shared" ref="M380:AQ380" si="177">1+((1+M$55)^($J42+0.5)-1)</f>
        <v>1.0173494974687902</v>
      </c>
      <c r="N380" s="30">
        <f t="shared" si="177"/>
        <v>1.0173494974687902</v>
      </c>
      <c r="O380" s="30">
        <f t="shared" si="177"/>
        <v>1.0173494974687902</v>
      </c>
      <c r="P380" s="30">
        <f t="shared" si="177"/>
        <v>1.0173494974687902</v>
      </c>
      <c r="Q380" s="30">
        <f t="shared" si="177"/>
        <v>1.0173494974687902</v>
      </c>
      <c r="R380" s="30">
        <f t="shared" si="177"/>
        <v>1.0173494974687902</v>
      </c>
      <c r="S380" s="30">
        <f t="shared" si="177"/>
        <v>1.0183319694480772</v>
      </c>
      <c r="T380" s="30">
        <f t="shared" si="177"/>
        <v>1.0193134944657605</v>
      </c>
      <c r="U380" s="30">
        <f t="shared" si="177"/>
        <v>1.0202940752547767</v>
      </c>
      <c r="V380" s="30">
        <f t="shared" si="177"/>
        <v>1.0212737145349429</v>
      </c>
      <c r="W380" s="30">
        <f t="shared" si="177"/>
        <v>1.0222524150130436</v>
      </c>
      <c r="X380" s="30">
        <f t="shared" si="177"/>
        <v>1.0222524150130436</v>
      </c>
      <c r="Y380" s="30">
        <f t="shared" si="177"/>
        <v>1.0222524150130436</v>
      </c>
      <c r="Z380" s="30">
        <f t="shared" si="177"/>
        <v>1.0222524150130436</v>
      </c>
      <c r="AA380" s="30">
        <f t="shared" si="177"/>
        <v>1.0222524150130436</v>
      </c>
      <c r="AB380" s="30">
        <f t="shared" si="177"/>
        <v>1.0222524150130436</v>
      </c>
      <c r="AC380" s="30">
        <f t="shared" si="177"/>
        <v>1.0222524150130436</v>
      </c>
      <c r="AD380" s="30">
        <f t="shared" si="177"/>
        <v>1.0222524150130436</v>
      </c>
      <c r="AE380" s="30">
        <f t="shared" si="177"/>
        <v>1.0222524150130436</v>
      </c>
      <c r="AF380" s="30">
        <f t="shared" si="177"/>
        <v>1.0222524150130436</v>
      </c>
      <c r="AG380" s="30">
        <f t="shared" si="177"/>
        <v>1.0222524150130436</v>
      </c>
      <c r="AH380" s="30">
        <f t="shared" si="177"/>
        <v>1.0222524150130436</v>
      </c>
      <c r="AI380" s="30">
        <f t="shared" si="177"/>
        <v>1.0222524150130436</v>
      </c>
      <c r="AJ380" s="30">
        <f t="shared" si="177"/>
        <v>1.0222524150130436</v>
      </c>
      <c r="AK380" s="30">
        <f t="shared" si="177"/>
        <v>1.0222524150130436</v>
      </c>
      <c r="AL380" s="30">
        <f t="shared" si="177"/>
        <v>1.0222524150130436</v>
      </c>
      <c r="AM380" s="30">
        <f t="shared" si="177"/>
        <v>1.0222524150130436</v>
      </c>
      <c r="AN380" s="30">
        <f t="shared" si="177"/>
        <v>1.0222524150130436</v>
      </c>
      <c r="AO380" s="30">
        <f t="shared" si="177"/>
        <v>1.0222524150130436</v>
      </c>
      <c r="AP380" s="30">
        <f t="shared" si="177"/>
        <v>1.0222524150130436</v>
      </c>
      <c r="AQ380" s="30">
        <f t="shared" si="177"/>
        <v>1.0222524150130436</v>
      </c>
    </row>
    <row r="381" spans="6:43" ht="14.25" hidden="1" customHeight="1" thickTop="1" thickBot="1" x14ac:dyDescent="0.2">
      <c r="F381" s="33"/>
      <c r="H381" s="32"/>
      <c r="J381" s="31"/>
      <c r="K381" s="5" t="s">
        <v>70</v>
      </c>
      <c r="L381" s="5" t="s">
        <v>68</v>
      </c>
      <c r="M381" s="30">
        <f t="shared" ref="M381:AQ381" si="178">1+((1+M$55)^($J43+0.5)-1)</f>
        <v>1.0529567298801978</v>
      </c>
      <c r="N381" s="30">
        <f t="shared" si="178"/>
        <v>1.0529567298801978</v>
      </c>
      <c r="O381" s="30">
        <f t="shared" si="178"/>
        <v>1.0529567298801978</v>
      </c>
      <c r="P381" s="30">
        <f t="shared" si="178"/>
        <v>1.0529567298801978</v>
      </c>
      <c r="Q381" s="30">
        <f t="shared" si="178"/>
        <v>1.0529567298801978</v>
      </c>
      <c r="R381" s="30">
        <f t="shared" si="178"/>
        <v>1.0529567298801978</v>
      </c>
      <c r="S381" s="30">
        <f t="shared" si="178"/>
        <v>1.0560102523176562</v>
      </c>
      <c r="T381" s="30">
        <f t="shared" si="178"/>
        <v>1.0590667207499251</v>
      </c>
      <c r="U381" s="30">
        <f t="shared" si="178"/>
        <v>1.0621261323402225</v>
      </c>
      <c r="V381" s="30">
        <f t="shared" si="178"/>
        <v>1.0651884842599453</v>
      </c>
      <c r="W381" s="30">
        <f t="shared" si="178"/>
        <v>1.0682537736886304</v>
      </c>
      <c r="X381" s="30">
        <f t="shared" si="178"/>
        <v>1.0682537736886304</v>
      </c>
      <c r="Y381" s="30">
        <f t="shared" si="178"/>
        <v>1.0682537736886304</v>
      </c>
      <c r="Z381" s="30">
        <f t="shared" si="178"/>
        <v>1.0682537736886304</v>
      </c>
      <c r="AA381" s="30">
        <f t="shared" si="178"/>
        <v>1.0682537736886304</v>
      </c>
      <c r="AB381" s="30">
        <f t="shared" si="178"/>
        <v>1.0682537736886304</v>
      </c>
      <c r="AC381" s="30">
        <f t="shared" si="178"/>
        <v>1.0682537736886304</v>
      </c>
      <c r="AD381" s="30">
        <f t="shared" si="178"/>
        <v>1.0682537736886304</v>
      </c>
      <c r="AE381" s="30">
        <f t="shared" si="178"/>
        <v>1.0682537736886304</v>
      </c>
      <c r="AF381" s="30">
        <f t="shared" si="178"/>
        <v>1.0682537736886304</v>
      </c>
      <c r="AG381" s="30">
        <f t="shared" si="178"/>
        <v>1.0682537736886304</v>
      </c>
      <c r="AH381" s="30">
        <f t="shared" si="178"/>
        <v>1.0682537736886304</v>
      </c>
      <c r="AI381" s="30">
        <f t="shared" si="178"/>
        <v>1.0682537736886304</v>
      </c>
      <c r="AJ381" s="30">
        <f t="shared" si="178"/>
        <v>1.0682537736886304</v>
      </c>
      <c r="AK381" s="30">
        <f t="shared" si="178"/>
        <v>1.0682537736886304</v>
      </c>
      <c r="AL381" s="30">
        <f t="shared" si="178"/>
        <v>1.0682537736886304</v>
      </c>
      <c r="AM381" s="30">
        <f t="shared" si="178"/>
        <v>1.0682537736886304</v>
      </c>
      <c r="AN381" s="30">
        <f t="shared" si="178"/>
        <v>1.0682537736886304</v>
      </c>
      <c r="AO381" s="30">
        <f t="shared" si="178"/>
        <v>1.0682537736886304</v>
      </c>
      <c r="AP381" s="30">
        <f t="shared" si="178"/>
        <v>1.0682537736886304</v>
      </c>
      <c r="AQ381" s="30">
        <f t="shared" si="178"/>
        <v>1.0682537736886304</v>
      </c>
    </row>
    <row r="382" spans="6:43" ht="13.5" hidden="1" customHeight="1" thickTop="1" thickBot="1" x14ac:dyDescent="0.2">
      <c r="F382" s="33"/>
      <c r="H382" s="32"/>
      <c r="J382" s="31"/>
      <c r="K382" s="5" t="s">
        <v>69</v>
      </c>
      <c r="L382" s="5" t="s">
        <v>68</v>
      </c>
      <c r="M382" s="30">
        <f t="shared" ref="M382:AQ382" si="179">1+((1+M$55)^($J44+0.5)-1)</f>
        <v>1.0898102154260045</v>
      </c>
      <c r="N382" s="30">
        <f t="shared" si="179"/>
        <v>1.0898102154260045</v>
      </c>
      <c r="O382" s="30">
        <f t="shared" si="179"/>
        <v>1.0898102154260045</v>
      </c>
      <c r="P382" s="30">
        <f t="shared" si="179"/>
        <v>1.0898102154260045</v>
      </c>
      <c r="Q382" s="30">
        <f t="shared" si="179"/>
        <v>1.0898102154260045</v>
      </c>
      <c r="R382" s="30">
        <f t="shared" si="179"/>
        <v>1.0898102154260045</v>
      </c>
      <c r="S382" s="30">
        <f t="shared" si="179"/>
        <v>1.0950826316534092</v>
      </c>
      <c r="T382" s="30">
        <f t="shared" si="179"/>
        <v>1.1003703228591721</v>
      </c>
      <c r="U382" s="30">
        <f t="shared" si="179"/>
        <v>1.1056733037661715</v>
      </c>
      <c r="V382" s="30">
        <f t="shared" si="179"/>
        <v>1.1109915890831228</v>
      </c>
      <c r="W382" s="30">
        <f t="shared" si="179"/>
        <v>1.1163251935046188</v>
      </c>
      <c r="X382" s="30">
        <f t="shared" si="179"/>
        <v>1.1163251935046188</v>
      </c>
      <c r="Y382" s="30">
        <f t="shared" si="179"/>
        <v>1.1163251935046188</v>
      </c>
      <c r="Z382" s="30">
        <f t="shared" si="179"/>
        <v>1.1163251935046188</v>
      </c>
      <c r="AA382" s="30">
        <f t="shared" si="179"/>
        <v>1.1163251935046188</v>
      </c>
      <c r="AB382" s="30">
        <f t="shared" si="179"/>
        <v>1.1163251935046188</v>
      </c>
      <c r="AC382" s="30">
        <f t="shared" si="179"/>
        <v>1.1163251935046188</v>
      </c>
      <c r="AD382" s="30">
        <f t="shared" si="179"/>
        <v>1.1163251935046188</v>
      </c>
      <c r="AE382" s="30">
        <f t="shared" si="179"/>
        <v>1.1163251935046188</v>
      </c>
      <c r="AF382" s="30">
        <f t="shared" si="179"/>
        <v>1.1163251935046188</v>
      </c>
      <c r="AG382" s="30">
        <f t="shared" si="179"/>
        <v>1.1163251935046188</v>
      </c>
      <c r="AH382" s="30">
        <f t="shared" si="179"/>
        <v>1.1163251935046188</v>
      </c>
      <c r="AI382" s="30">
        <f t="shared" si="179"/>
        <v>1.1163251935046188</v>
      </c>
      <c r="AJ382" s="30">
        <f t="shared" si="179"/>
        <v>1.1163251935046188</v>
      </c>
      <c r="AK382" s="30">
        <f t="shared" si="179"/>
        <v>1.1163251935046188</v>
      </c>
      <c r="AL382" s="30">
        <f t="shared" si="179"/>
        <v>1.1163251935046188</v>
      </c>
      <c r="AM382" s="30">
        <f t="shared" si="179"/>
        <v>1.1163251935046188</v>
      </c>
      <c r="AN382" s="30">
        <f t="shared" si="179"/>
        <v>1.1163251935046188</v>
      </c>
      <c r="AO382" s="30">
        <f t="shared" si="179"/>
        <v>1.1163251935046188</v>
      </c>
      <c r="AP382" s="30">
        <f t="shared" si="179"/>
        <v>1.1163251935046188</v>
      </c>
      <c r="AQ382" s="30">
        <f t="shared" si="179"/>
        <v>1.1163251935046188</v>
      </c>
    </row>
    <row r="383" spans="6:43" ht="14.25" hidden="1" customHeight="1" thickTop="1" thickBot="1" x14ac:dyDescent="0.2">
      <c r="F383" s="33"/>
      <c r="H383" s="32"/>
      <c r="J383" s="31"/>
      <c r="K383" s="5" t="s">
        <v>65</v>
      </c>
      <c r="L383" s="5" t="s">
        <v>67</v>
      </c>
      <c r="M383" s="30">
        <f t="shared" ref="M383:AQ383" si="180">1+((1+(M$56+$O$36))^($J42+0.5)-1)</f>
        <v>1.0526157893552615</v>
      </c>
      <c r="N383" s="30">
        <f t="shared" si="180"/>
        <v>1.0526157893552615</v>
      </c>
      <c r="O383" s="30">
        <f t="shared" si="180"/>
        <v>1.0526157893552615</v>
      </c>
      <c r="P383" s="30">
        <f t="shared" si="180"/>
        <v>1.0526157893552615</v>
      </c>
      <c r="Q383" s="30">
        <f t="shared" si="180"/>
        <v>1.0526157893552615</v>
      </c>
      <c r="R383" s="30">
        <f t="shared" si="180"/>
        <v>1.0526157893552615</v>
      </c>
      <c r="S383" s="30">
        <f t="shared" si="180"/>
        <v>1.0526157893552615</v>
      </c>
      <c r="T383" s="30">
        <f t="shared" si="180"/>
        <v>1.0526157893552615</v>
      </c>
      <c r="U383" s="30">
        <f t="shared" si="180"/>
        <v>1.0526157893552615</v>
      </c>
      <c r="V383" s="30">
        <f t="shared" si="180"/>
        <v>1.0526157893552615</v>
      </c>
      <c r="W383" s="30">
        <f t="shared" si="180"/>
        <v>1.0526157893552615</v>
      </c>
      <c r="X383" s="30">
        <f t="shared" si="180"/>
        <v>1.0526157893552615</v>
      </c>
      <c r="Y383" s="30">
        <f t="shared" si="180"/>
        <v>1.0526157893552615</v>
      </c>
      <c r="Z383" s="30">
        <f t="shared" si="180"/>
        <v>1.0526157893552615</v>
      </c>
      <c r="AA383" s="30">
        <f t="shared" si="180"/>
        <v>1.0526157893552615</v>
      </c>
      <c r="AB383" s="30">
        <f t="shared" si="180"/>
        <v>1.0526157893552615</v>
      </c>
      <c r="AC383" s="30">
        <f t="shared" si="180"/>
        <v>1.0526157893552615</v>
      </c>
      <c r="AD383" s="30">
        <f t="shared" si="180"/>
        <v>1.0526157893552615</v>
      </c>
      <c r="AE383" s="30">
        <f t="shared" si="180"/>
        <v>1.0526157893552615</v>
      </c>
      <c r="AF383" s="30">
        <f t="shared" si="180"/>
        <v>1.0526157893552615</v>
      </c>
      <c r="AG383" s="30">
        <f t="shared" si="180"/>
        <v>1.0526157893552615</v>
      </c>
      <c r="AH383" s="30">
        <f t="shared" si="180"/>
        <v>1.0526157893552615</v>
      </c>
      <c r="AI383" s="30">
        <f t="shared" si="180"/>
        <v>1.0526157893552615</v>
      </c>
      <c r="AJ383" s="30">
        <f t="shared" si="180"/>
        <v>1.0526157893552615</v>
      </c>
      <c r="AK383" s="30">
        <f t="shared" si="180"/>
        <v>1.0526157893552615</v>
      </c>
      <c r="AL383" s="30">
        <f t="shared" si="180"/>
        <v>1.0526157893552615</v>
      </c>
      <c r="AM383" s="30">
        <f t="shared" si="180"/>
        <v>1.0526157893552615</v>
      </c>
      <c r="AN383" s="30">
        <f t="shared" si="180"/>
        <v>1.0526157893552615</v>
      </c>
      <c r="AO383" s="30">
        <f t="shared" si="180"/>
        <v>1.0526157893552615</v>
      </c>
      <c r="AP383" s="30">
        <f t="shared" si="180"/>
        <v>1.0526157893552615</v>
      </c>
      <c r="AQ383" s="30">
        <f t="shared" si="180"/>
        <v>1.0526157893552615</v>
      </c>
    </row>
    <row r="384" spans="6:43" ht="14.25" hidden="1" customHeight="1" thickTop="1" thickBot="1" x14ac:dyDescent="0.2">
      <c r="F384" s="33"/>
      <c r="H384" s="32"/>
      <c r="J384" s="31"/>
      <c r="K384" s="5" t="s">
        <v>64</v>
      </c>
      <c r="L384" s="5" t="s">
        <v>67</v>
      </c>
      <c r="M384" s="30">
        <f t="shared" ref="M384:AQ384" si="181">1+((1+(M$56+$O$36))^($J43+0.5)-1)</f>
        <v>1.1662982946056297</v>
      </c>
      <c r="N384" s="30">
        <f t="shared" si="181"/>
        <v>1.1662982946056297</v>
      </c>
      <c r="O384" s="30">
        <f t="shared" si="181"/>
        <v>1.1662982946056297</v>
      </c>
      <c r="P384" s="30">
        <f t="shared" si="181"/>
        <v>1.1662982946056297</v>
      </c>
      <c r="Q384" s="30">
        <f t="shared" si="181"/>
        <v>1.1662982946056297</v>
      </c>
      <c r="R384" s="30">
        <f t="shared" si="181"/>
        <v>1.1662982946056297</v>
      </c>
      <c r="S384" s="30">
        <f t="shared" si="181"/>
        <v>1.1662982946056297</v>
      </c>
      <c r="T384" s="30">
        <f t="shared" si="181"/>
        <v>1.1662982946056297</v>
      </c>
      <c r="U384" s="30">
        <f t="shared" si="181"/>
        <v>1.1662982946056297</v>
      </c>
      <c r="V384" s="30">
        <f t="shared" si="181"/>
        <v>1.1662982946056297</v>
      </c>
      <c r="W384" s="30">
        <f t="shared" si="181"/>
        <v>1.1662982946056297</v>
      </c>
      <c r="X384" s="30">
        <f t="shared" si="181"/>
        <v>1.1662982946056297</v>
      </c>
      <c r="Y384" s="30">
        <f t="shared" si="181"/>
        <v>1.1662982946056297</v>
      </c>
      <c r="Z384" s="30">
        <f t="shared" si="181"/>
        <v>1.1662982946056297</v>
      </c>
      <c r="AA384" s="30">
        <f t="shared" si="181"/>
        <v>1.1662982946056297</v>
      </c>
      <c r="AB384" s="30">
        <f t="shared" si="181"/>
        <v>1.1662982946056297</v>
      </c>
      <c r="AC384" s="30">
        <f t="shared" si="181"/>
        <v>1.1662982946056297</v>
      </c>
      <c r="AD384" s="30">
        <f t="shared" si="181"/>
        <v>1.1662982946056297</v>
      </c>
      <c r="AE384" s="30">
        <f t="shared" si="181"/>
        <v>1.1662982946056297</v>
      </c>
      <c r="AF384" s="30">
        <f t="shared" si="181"/>
        <v>1.1662982946056297</v>
      </c>
      <c r="AG384" s="30">
        <f t="shared" si="181"/>
        <v>1.1662982946056297</v>
      </c>
      <c r="AH384" s="30">
        <f t="shared" si="181"/>
        <v>1.1662982946056297</v>
      </c>
      <c r="AI384" s="30">
        <f t="shared" si="181"/>
        <v>1.1662982946056297</v>
      </c>
      <c r="AJ384" s="30">
        <f t="shared" si="181"/>
        <v>1.1662982946056297</v>
      </c>
      <c r="AK384" s="30">
        <f t="shared" si="181"/>
        <v>1.1662982946056297</v>
      </c>
      <c r="AL384" s="30">
        <f t="shared" si="181"/>
        <v>1.1662982946056297</v>
      </c>
      <c r="AM384" s="30">
        <f t="shared" si="181"/>
        <v>1.1662982946056297</v>
      </c>
      <c r="AN384" s="30">
        <f t="shared" si="181"/>
        <v>1.1662982946056297</v>
      </c>
      <c r="AO384" s="30">
        <f t="shared" si="181"/>
        <v>1.1662982946056297</v>
      </c>
      <c r="AP384" s="30">
        <f t="shared" si="181"/>
        <v>1.1662982946056297</v>
      </c>
      <c r="AQ384" s="30">
        <f t="shared" si="181"/>
        <v>1.1662982946056297</v>
      </c>
    </row>
    <row r="385" spans="3:44" ht="14.25" hidden="1" customHeight="1" thickTop="1" thickBot="1" x14ac:dyDescent="0.2">
      <c r="F385" s="33"/>
      <c r="H385" s="32"/>
      <c r="J385" s="31"/>
      <c r="K385" s="5" t="s">
        <v>63</v>
      </c>
      <c r="L385" s="5" t="s">
        <v>67</v>
      </c>
      <c r="M385" s="30">
        <f t="shared" ref="M385:AQ385" si="182">1+((1+(M$56+$O$36))^($J44+0.5)-1)</f>
        <v>1.292258510423038</v>
      </c>
      <c r="N385" s="30">
        <f t="shared" si="182"/>
        <v>1.292258510423038</v>
      </c>
      <c r="O385" s="30">
        <f t="shared" si="182"/>
        <v>1.292258510423038</v>
      </c>
      <c r="P385" s="30">
        <f t="shared" si="182"/>
        <v>1.292258510423038</v>
      </c>
      <c r="Q385" s="30">
        <f t="shared" si="182"/>
        <v>1.292258510423038</v>
      </c>
      <c r="R385" s="30">
        <f t="shared" si="182"/>
        <v>1.292258510423038</v>
      </c>
      <c r="S385" s="30">
        <f t="shared" si="182"/>
        <v>1.292258510423038</v>
      </c>
      <c r="T385" s="30">
        <f t="shared" si="182"/>
        <v>1.292258510423038</v>
      </c>
      <c r="U385" s="30">
        <f t="shared" si="182"/>
        <v>1.292258510423038</v>
      </c>
      <c r="V385" s="30">
        <f t="shared" si="182"/>
        <v>1.292258510423038</v>
      </c>
      <c r="W385" s="30">
        <f t="shared" si="182"/>
        <v>1.292258510423038</v>
      </c>
      <c r="X385" s="30">
        <f t="shared" si="182"/>
        <v>1.292258510423038</v>
      </c>
      <c r="Y385" s="30">
        <f t="shared" si="182"/>
        <v>1.292258510423038</v>
      </c>
      <c r="Z385" s="30">
        <f t="shared" si="182"/>
        <v>1.292258510423038</v>
      </c>
      <c r="AA385" s="30">
        <f t="shared" si="182"/>
        <v>1.292258510423038</v>
      </c>
      <c r="AB385" s="30">
        <f t="shared" si="182"/>
        <v>1.292258510423038</v>
      </c>
      <c r="AC385" s="30">
        <f t="shared" si="182"/>
        <v>1.292258510423038</v>
      </c>
      <c r="AD385" s="30">
        <f t="shared" si="182"/>
        <v>1.292258510423038</v>
      </c>
      <c r="AE385" s="30">
        <f t="shared" si="182"/>
        <v>1.292258510423038</v>
      </c>
      <c r="AF385" s="30">
        <f t="shared" si="182"/>
        <v>1.292258510423038</v>
      </c>
      <c r="AG385" s="30">
        <f t="shared" si="182"/>
        <v>1.292258510423038</v>
      </c>
      <c r="AH385" s="30">
        <f t="shared" si="182"/>
        <v>1.292258510423038</v>
      </c>
      <c r="AI385" s="30">
        <f t="shared" si="182"/>
        <v>1.292258510423038</v>
      </c>
      <c r="AJ385" s="30">
        <f t="shared" si="182"/>
        <v>1.292258510423038</v>
      </c>
      <c r="AK385" s="30">
        <f t="shared" si="182"/>
        <v>1.292258510423038</v>
      </c>
      <c r="AL385" s="30">
        <f t="shared" si="182"/>
        <v>1.292258510423038</v>
      </c>
      <c r="AM385" s="30">
        <f t="shared" si="182"/>
        <v>1.292258510423038</v>
      </c>
      <c r="AN385" s="30">
        <f t="shared" si="182"/>
        <v>1.292258510423038</v>
      </c>
      <c r="AO385" s="30">
        <f t="shared" si="182"/>
        <v>1.292258510423038</v>
      </c>
      <c r="AP385" s="30">
        <f t="shared" si="182"/>
        <v>1.292258510423038</v>
      </c>
      <c r="AQ385" s="30">
        <f t="shared" si="182"/>
        <v>1.292258510423038</v>
      </c>
    </row>
    <row r="386" spans="3:44" ht="14.25" hidden="1" customHeight="1" thickTop="1" thickBot="1" x14ac:dyDescent="0.2">
      <c r="F386" s="33"/>
      <c r="H386" s="32"/>
      <c r="J386" s="31"/>
      <c r="K386" s="5" t="s">
        <v>65</v>
      </c>
      <c r="L386" s="5" t="s">
        <v>66</v>
      </c>
      <c r="M386" s="30">
        <f t="shared" ref="M386:AQ386" si="183">1+((1+(M$57+$O$36))^($J42+0.5)-1)</f>
        <v>1.0526157893552615</v>
      </c>
      <c r="N386" s="30">
        <f t="shared" si="183"/>
        <v>1.0526157893552615</v>
      </c>
      <c r="O386" s="30">
        <f t="shared" si="183"/>
        <v>1.0526157893552615</v>
      </c>
      <c r="P386" s="30">
        <f t="shared" si="183"/>
        <v>1.0526157893552615</v>
      </c>
      <c r="Q386" s="30">
        <f t="shared" si="183"/>
        <v>1.0526157893552615</v>
      </c>
      <c r="R386" s="30">
        <f t="shared" si="183"/>
        <v>1.0526157893552615</v>
      </c>
      <c r="S386" s="30">
        <f t="shared" si="183"/>
        <v>1.0526157893552615</v>
      </c>
      <c r="T386" s="30">
        <f t="shared" si="183"/>
        <v>1.0526157893552615</v>
      </c>
      <c r="U386" s="30">
        <f t="shared" si="183"/>
        <v>1.0526157893552615</v>
      </c>
      <c r="V386" s="30">
        <f t="shared" si="183"/>
        <v>1.0526157893552615</v>
      </c>
      <c r="W386" s="30">
        <f t="shared" si="183"/>
        <v>1.0526157893552615</v>
      </c>
      <c r="X386" s="30">
        <f t="shared" si="183"/>
        <v>1.0526157893552615</v>
      </c>
      <c r="Y386" s="30">
        <f t="shared" si="183"/>
        <v>1.0526157893552615</v>
      </c>
      <c r="Z386" s="30">
        <f t="shared" si="183"/>
        <v>1.0526157893552615</v>
      </c>
      <c r="AA386" s="30">
        <f t="shared" si="183"/>
        <v>1.0526157893552615</v>
      </c>
      <c r="AB386" s="30">
        <f t="shared" si="183"/>
        <v>1.0526157893552615</v>
      </c>
      <c r="AC386" s="30">
        <f t="shared" si="183"/>
        <v>1.0526157893552615</v>
      </c>
      <c r="AD386" s="30">
        <f t="shared" si="183"/>
        <v>1.0526157893552615</v>
      </c>
      <c r="AE386" s="30">
        <f t="shared" si="183"/>
        <v>1.0526157893552615</v>
      </c>
      <c r="AF386" s="30">
        <f t="shared" si="183"/>
        <v>1.0526157893552615</v>
      </c>
      <c r="AG386" s="30">
        <f t="shared" si="183"/>
        <v>1.0526157893552615</v>
      </c>
      <c r="AH386" s="30">
        <f t="shared" si="183"/>
        <v>1.0526157893552615</v>
      </c>
      <c r="AI386" s="30">
        <f t="shared" si="183"/>
        <v>1.0526157893552615</v>
      </c>
      <c r="AJ386" s="30">
        <f t="shared" si="183"/>
        <v>1.0526157893552615</v>
      </c>
      <c r="AK386" s="30">
        <f t="shared" si="183"/>
        <v>1.0526157893552615</v>
      </c>
      <c r="AL386" s="30">
        <f t="shared" si="183"/>
        <v>1.0526157893552615</v>
      </c>
      <c r="AM386" s="30">
        <f t="shared" si="183"/>
        <v>1.0526157893552615</v>
      </c>
      <c r="AN386" s="30">
        <f t="shared" si="183"/>
        <v>1.0526157893552615</v>
      </c>
      <c r="AO386" s="30">
        <f t="shared" si="183"/>
        <v>1.0526157893552615</v>
      </c>
      <c r="AP386" s="30">
        <f t="shared" si="183"/>
        <v>1.0526157893552615</v>
      </c>
      <c r="AQ386" s="30">
        <f t="shared" si="183"/>
        <v>1.0526157893552615</v>
      </c>
    </row>
    <row r="387" spans="3:44" ht="14.25" hidden="1" customHeight="1" thickTop="1" thickBot="1" x14ac:dyDescent="0.2">
      <c r="F387" s="33"/>
      <c r="H387" s="32"/>
      <c r="J387" s="31"/>
      <c r="K387" s="5" t="s">
        <v>64</v>
      </c>
      <c r="L387" s="5" t="s">
        <v>66</v>
      </c>
      <c r="M387" s="30">
        <f t="shared" ref="M387:AQ387" si="184">1+((1+(M$57+$O$36))^($J43+0.5)-1)</f>
        <v>1.1662982946056297</v>
      </c>
      <c r="N387" s="30">
        <f t="shared" si="184"/>
        <v>1.1662982946056297</v>
      </c>
      <c r="O387" s="30">
        <f t="shared" si="184"/>
        <v>1.1662982946056297</v>
      </c>
      <c r="P387" s="30">
        <f t="shared" si="184"/>
        <v>1.1662982946056297</v>
      </c>
      <c r="Q387" s="30">
        <f t="shared" si="184"/>
        <v>1.1662982946056297</v>
      </c>
      <c r="R387" s="30">
        <f t="shared" si="184"/>
        <v>1.1662982946056297</v>
      </c>
      <c r="S387" s="30">
        <f t="shared" si="184"/>
        <v>1.1662982946056297</v>
      </c>
      <c r="T387" s="30">
        <f t="shared" si="184"/>
        <v>1.1662982946056297</v>
      </c>
      <c r="U387" s="30">
        <f t="shared" si="184"/>
        <v>1.1662982946056297</v>
      </c>
      <c r="V387" s="30">
        <f t="shared" si="184"/>
        <v>1.1662982946056297</v>
      </c>
      <c r="W387" s="30">
        <f t="shared" si="184"/>
        <v>1.1662982946056297</v>
      </c>
      <c r="X387" s="30">
        <f t="shared" si="184"/>
        <v>1.1662982946056297</v>
      </c>
      <c r="Y387" s="30">
        <f t="shared" si="184"/>
        <v>1.1662982946056297</v>
      </c>
      <c r="Z387" s="30">
        <f t="shared" si="184"/>
        <v>1.1662982946056297</v>
      </c>
      <c r="AA387" s="30">
        <f t="shared" si="184"/>
        <v>1.1662982946056297</v>
      </c>
      <c r="AB387" s="30">
        <f t="shared" si="184"/>
        <v>1.1662982946056297</v>
      </c>
      <c r="AC387" s="30">
        <f t="shared" si="184"/>
        <v>1.1662982946056297</v>
      </c>
      <c r="AD387" s="30">
        <f t="shared" si="184"/>
        <v>1.1662982946056297</v>
      </c>
      <c r="AE387" s="30">
        <f t="shared" si="184"/>
        <v>1.1662982946056297</v>
      </c>
      <c r="AF387" s="30">
        <f t="shared" si="184"/>
        <v>1.1662982946056297</v>
      </c>
      <c r="AG387" s="30">
        <f t="shared" si="184"/>
        <v>1.1662982946056297</v>
      </c>
      <c r="AH387" s="30">
        <f t="shared" si="184"/>
        <v>1.1662982946056297</v>
      </c>
      <c r="AI387" s="30">
        <f t="shared" si="184"/>
        <v>1.1662982946056297</v>
      </c>
      <c r="AJ387" s="30">
        <f t="shared" si="184"/>
        <v>1.1662982946056297</v>
      </c>
      <c r="AK387" s="30">
        <f t="shared" si="184"/>
        <v>1.1662982946056297</v>
      </c>
      <c r="AL387" s="30">
        <f t="shared" si="184"/>
        <v>1.1662982946056297</v>
      </c>
      <c r="AM387" s="30">
        <f t="shared" si="184"/>
        <v>1.1662982946056297</v>
      </c>
      <c r="AN387" s="30">
        <f t="shared" si="184"/>
        <v>1.1662982946056297</v>
      </c>
      <c r="AO387" s="30">
        <f t="shared" si="184"/>
        <v>1.1662982946056297</v>
      </c>
      <c r="AP387" s="30">
        <f t="shared" si="184"/>
        <v>1.1662982946056297</v>
      </c>
      <c r="AQ387" s="30">
        <f t="shared" si="184"/>
        <v>1.1662982946056297</v>
      </c>
    </row>
    <row r="388" spans="3:44" ht="14.25" hidden="1" customHeight="1" thickTop="1" thickBot="1" x14ac:dyDescent="0.2">
      <c r="F388" s="33"/>
      <c r="H388" s="32"/>
      <c r="J388" s="31"/>
      <c r="K388" s="5" t="s">
        <v>63</v>
      </c>
      <c r="L388" s="5" t="s">
        <v>66</v>
      </c>
      <c r="M388" s="30">
        <f t="shared" ref="M388:AQ388" si="185">1+((1+(M$57+$O$36))^($J44+0.5)-1)</f>
        <v>1.292258510423038</v>
      </c>
      <c r="N388" s="30">
        <f t="shared" si="185"/>
        <v>1.292258510423038</v>
      </c>
      <c r="O388" s="30">
        <f t="shared" si="185"/>
        <v>1.292258510423038</v>
      </c>
      <c r="P388" s="30">
        <f t="shared" si="185"/>
        <v>1.292258510423038</v>
      </c>
      <c r="Q388" s="30">
        <f t="shared" si="185"/>
        <v>1.292258510423038</v>
      </c>
      <c r="R388" s="30">
        <f t="shared" si="185"/>
        <v>1.292258510423038</v>
      </c>
      <c r="S388" s="30">
        <f t="shared" si="185"/>
        <v>1.292258510423038</v>
      </c>
      <c r="T388" s="30">
        <f t="shared" si="185"/>
        <v>1.292258510423038</v>
      </c>
      <c r="U388" s="30">
        <f t="shared" si="185"/>
        <v>1.292258510423038</v>
      </c>
      <c r="V388" s="30">
        <f t="shared" si="185"/>
        <v>1.292258510423038</v>
      </c>
      <c r="W388" s="30">
        <f t="shared" si="185"/>
        <v>1.292258510423038</v>
      </c>
      <c r="X388" s="30">
        <f t="shared" si="185"/>
        <v>1.292258510423038</v>
      </c>
      <c r="Y388" s="30">
        <f t="shared" si="185"/>
        <v>1.292258510423038</v>
      </c>
      <c r="Z388" s="30">
        <f t="shared" si="185"/>
        <v>1.292258510423038</v>
      </c>
      <c r="AA388" s="30">
        <f t="shared" si="185"/>
        <v>1.292258510423038</v>
      </c>
      <c r="AB388" s="30">
        <f t="shared" si="185"/>
        <v>1.292258510423038</v>
      </c>
      <c r="AC388" s="30">
        <f t="shared" si="185"/>
        <v>1.292258510423038</v>
      </c>
      <c r="AD388" s="30">
        <f t="shared" si="185"/>
        <v>1.292258510423038</v>
      </c>
      <c r="AE388" s="30">
        <f t="shared" si="185"/>
        <v>1.292258510423038</v>
      </c>
      <c r="AF388" s="30">
        <f t="shared" si="185"/>
        <v>1.292258510423038</v>
      </c>
      <c r="AG388" s="30">
        <f t="shared" si="185"/>
        <v>1.292258510423038</v>
      </c>
      <c r="AH388" s="30">
        <f t="shared" si="185"/>
        <v>1.292258510423038</v>
      </c>
      <c r="AI388" s="30">
        <f t="shared" si="185"/>
        <v>1.292258510423038</v>
      </c>
      <c r="AJ388" s="30">
        <f t="shared" si="185"/>
        <v>1.292258510423038</v>
      </c>
      <c r="AK388" s="30">
        <f t="shared" si="185"/>
        <v>1.292258510423038</v>
      </c>
      <c r="AL388" s="30">
        <f t="shared" si="185"/>
        <v>1.292258510423038</v>
      </c>
      <c r="AM388" s="30">
        <f t="shared" si="185"/>
        <v>1.292258510423038</v>
      </c>
      <c r="AN388" s="30">
        <f t="shared" si="185"/>
        <v>1.292258510423038</v>
      </c>
      <c r="AO388" s="30">
        <f t="shared" si="185"/>
        <v>1.292258510423038</v>
      </c>
      <c r="AP388" s="30">
        <f t="shared" si="185"/>
        <v>1.292258510423038</v>
      </c>
      <c r="AQ388" s="30">
        <f t="shared" si="185"/>
        <v>1.292258510423038</v>
      </c>
    </row>
    <row r="389" spans="3:44" ht="14.25" hidden="1" customHeight="1" thickTop="1" thickBot="1" x14ac:dyDescent="0.2">
      <c r="F389" s="33"/>
      <c r="H389" s="32"/>
      <c r="J389" s="31"/>
      <c r="K389" s="5" t="s">
        <v>65</v>
      </c>
      <c r="L389" s="5" t="s">
        <v>62</v>
      </c>
      <c r="M389" s="30">
        <f t="shared" ref="M389:AQ389" si="186">1+((1+(M$58+$O$36))^($J42+0.5)-1)</f>
        <v>1.0526157893552615</v>
      </c>
      <c r="N389" s="30">
        <f t="shared" si="186"/>
        <v>1.0526157893552615</v>
      </c>
      <c r="O389" s="30">
        <f t="shared" si="186"/>
        <v>1.0526157893552615</v>
      </c>
      <c r="P389" s="30">
        <f t="shared" si="186"/>
        <v>1.0526157893552615</v>
      </c>
      <c r="Q389" s="30">
        <f t="shared" si="186"/>
        <v>1.0526157893552615</v>
      </c>
      <c r="R389" s="30">
        <f t="shared" si="186"/>
        <v>1.0526157893552615</v>
      </c>
      <c r="S389" s="30">
        <f t="shared" si="186"/>
        <v>1.0526157893552615</v>
      </c>
      <c r="T389" s="30">
        <f t="shared" si="186"/>
        <v>1.0526157893552615</v>
      </c>
      <c r="U389" s="30">
        <f t="shared" si="186"/>
        <v>1.0526157893552615</v>
      </c>
      <c r="V389" s="30">
        <f t="shared" si="186"/>
        <v>1.0526157893552615</v>
      </c>
      <c r="W389" s="30">
        <f t="shared" si="186"/>
        <v>1.0526157893552615</v>
      </c>
      <c r="X389" s="30">
        <f t="shared" si="186"/>
        <v>1.0526157893552615</v>
      </c>
      <c r="Y389" s="30">
        <f t="shared" si="186"/>
        <v>1.0526157893552615</v>
      </c>
      <c r="Z389" s="30">
        <f t="shared" si="186"/>
        <v>1.0526157893552615</v>
      </c>
      <c r="AA389" s="30">
        <f t="shared" si="186"/>
        <v>1.0526157893552615</v>
      </c>
      <c r="AB389" s="30">
        <f t="shared" si="186"/>
        <v>1.0526157893552615</v>
      </c>
      <c r="AC389" s="30">
        <f t="shared" si="186"/>
        <v>1.0526157893552615</v>
      </c>
      <c r="AD389" s="30">
        <f t="shared" si="186"/>
        <v>1.0526157893552615</v>
      </c>
      <c r="AE389" s="30">
        <f t="shared" si="186"/>
        <v>1.0526157893552615</v>
      </c>
      <c r="AF389" s="30">
        <f t="shared" si="186"/>
        <v>1.0526157893552615</v>
      </c>
      <c r="AG389" s="30">
        <f t="shared" si="186"/>
        <v>1.0526157893552615</v>
      </c>
      <c r="AH389" s="30">
        <f t="shared" si="186"/>
        <v>1.0526157893552615</v>
      </c>
      <c r="AI389" s="30">
        <f t="shared" si="186"/>
        <v>1.0526157893552615</v>
      </c>
      <c r="AJ389" s="30">
        <f t="shared" si="186"/>
        <v>1.0526157893552615</v>
      </c>
      <c r="AK389" s="30">
        <f t="shared" si="186"/>
        <v>1.0526157893552615</v>
      </c>
      <c r="AL389" s="30">
        <f t="shared" si="186"/>
        <v>1.0526157893552615</v>
      </c>
      <c r="AM389" s="30">
        <f t="shared" si="186"/>
        <v>1.0526157893552615</v>
      </c>
      <c r="AN389" s="30">
        <f t="shared" si="186"/>
        <v>1.0526157893552615</v>
      </c>
      <c r="AO389" s="30">
        <f t="shared" si="186"/>
        <v>1.0526157893552615</v>
      </c>
      <c r="AP389" s="30">
        <f t="shared" si="186"/>
        <v>1.0526157893552615</v>
      </c>
      <c r="AQ389" s="30">
        <f t="shared" si="186"/>
        <v>1.0526157893552615</v>
      </c>
    </row>
    <row r="390" spans="3:44" ht="14.25" hidden="1" customHeight="1" thickTop="1" thickBot="1" x14ac:dyDescent="0.2">
      <c r="F390" s="33"/>
      <c r="H390" s="32"/>
      <c r="J390" s="31"/>
      <c r="K390" s="5" t="s">
        <v>64</v>
      </c>
      <c r="L390" s="5" t="s">
        <v>62</v>
      </c>
      <c r="M390" s="30">
        <f t="shared" ref="M390:AQ390" si="187">1+((1+(M$58+$O$36))^($J43+0.5)-1)</f>
        <v>1.1662982946056297</v>
      </c>
      <c r="N390" s="30">
        <f t="shared" si="187"/>
        <v>1.1662982946056297</v>
      </c>
      <c r="O390" s="30">
        <f t="shared" si="187"/>
        <v>1.1662982946056297</v>
      </c>
      <c r="P390" s="30">
        <f t="shared" si="187"/>
        <v>1.1662982946056297</v>
      </c>
      <c r="Q390" s="30">
        <f t="shared" si="187"/>
        <v>1.1662982946056297</v>
      </c>
      <c r="R390" s="30">
        <f t="shared" si="187"/>
        <v>1.1662982946056297</v>
      </c>
      <c r="S390" s="30">
        <f t="shared" si="187"/>
        <v>1.1662982946056297</v>
      </c>
      <c r="T390" s="30">
        <f t="shared" si="187"/>
        <v>1.1662982946056297</v>
      </c>
      <c r="U390" s="30">
        <f t="shared" si="187"/>
        <v>1.1662982946056297</v>
      </c>
      <c r="V390" s="30">
        <f t="shared" si="187"/>
        <v>1.1662982946056297</v>
      </c>
      <c r="W390" s="30">
        <f t="shared" si="187"/>
        <v>1.1662982946056297</v>
      </c>
      <c r="X390" s="30">
        <f t="shared" si="187"/>
        <v>1.1662982946056297</v>
      </c>
      <c r="Y390" s="30">
        <f t="shared" si="187"/>
        <v>1.1662982946056297</v>
      </c>
      <c r="Z390" s="30">
        <f t="shared" si="187"/>
        <v>1.1662982946056297</v>
      </c>
      <c r="AA390" s="30">
        <f t="shared" si="187"/>
        <v>1.1662982946056297</v>
      </c>
      <c r="AB390" s="30">
        <f t="shared" si="187"/>
        <v>1.1662982946056297</v>
      </c>
      <c r="AC390" s="30">
        <f t="shared" si="187"/>
        <v>1.1662982946056297</v>
      </c>
      <c r="AD390" s="30">
        <f t="shared" si="187"/>
        <v>1.1662982946056297</v>
      </c>
      <c r="AE390" s="30">
        <f t="shared" si="187"/>
        <v>1.1662982946056297</v>
      </c>
      <c r="AF390" s="30">
        <f t="shared" si="187"/>
        <v>1.1662982946056297</v>
      </c>
      <c r="AG390" s="30">
        <f t="shared" si="187"/>
        <v>1.1662982946056297</v>
      </c>
      <c r="AH390" s="30">
        <f t="shared" si="187"/>
        <v>1.1662982946056297</v>
      </c>
      <c r="AI390" s="30">
        <f t="shared" si="187"/>
        <v>1.1662982946056297</v>
      </c>
      <c r="AJ390" s="30">
        <f t="shared" si="187"/>
        <v>1.1662982946056297</v>
      </c>
      <c r="AK390" s="30">
        <f t="shared" si="187"/>
        <v>1.1662982946056297</v>
      </c>
      <c r="AL390" s="30">
        <f t="shared" si="187"/>
        <v>1.1662982946056297</v>
      </c>
      <c r="AM390" s="30">
        <f t="shared" si="187"/>
        <v>1.1662982946056297</v>
      </c>
      <c r="AN390" s="30">
        <f t="shared" si="187"/>
        <v>1.1662982946056297</v>
      </c>
      <c r="AO390" s="30">
        <f t="shared" si="187"/>
        <v>1.1662982946056297</v>
      </c>
      <c r="AP390" s="30">
        <f t="shared" si="187"/>
        <v>1.1662982946056297</v>
      </c>
      <c r="AQ390" s="30">
        <f t="shared" si="187"/>
        <v>1.1662982946056297</v>
      </c>
    </row>
    <row r="391" spans="3:44" ht="14.25" hidden="1" customHeight="1" thickTop="1" x14ac:dyDescent="0.15">
      <c r="F391" s="33"/>
      <c r="H391" s="32"/>
      <c r="J391" s="31"/>
      <c r="K391" s="5" t="s">
        <v>63</v>
      </c>
      <c r="L391" s="5" t="s">
        <v>62</v>
      </c>
      <c r="M391" s="30">
        <f t="shared" ref="M391:AQ391" si="188">1+((1+(M$58+$O$36))^($J44+0.5)-1)</f>
        <v>1.292258510423038</v>
      </c>
      <c r="N391" s="30">
        <f t="shared" si="188"/>
        <v>1.292258510423038</v>
      </c>
      <c r="O391" s="30">
        <f t="shared" si="188"/>
        <v>1.292258510423038</v>
      </c>
      <c r="P391" s="30">
        <f t="shared" si="188"/>
        <v>1.292258510423038</v>
      </c>
      <c r="Q391" s="30">
        <f t="shared" si="188"/>
        <v>1.292258510423038</v>
      </c>
      <c r="R391" s="30">
        <f t="shared" si="188"/>
        <v>1.292258510423038</v>
      </c>
      <c r="S391" s="30">
        <f t="shared" si="188"/>
        <v>1.292258510423038</v>
      </c>
      <c r="T391" s="30">
        <f t="shared" si="188"/>
        <v>1.292258510423038</v>
      </c>
      <c r="U391" s="30">
        <f t="shared" si="188"/>
        <v>1.292258510423038</v>
      </c>
      <c r="V391" s="30">
        <f t="shared" si="188"/>
        <v>1.292258510423038</v>
      </c>
      <c r="W391" s="30">
        <f t="shared" si="188"/>
        <v>1.292258510423038</v>
      </c>
      <c r="X391" s="30">
        <f t="shared" si="188"/>
        <v>1.292258510423038</v>
      </c>
      <c r="Y391" s="30">
        <f t="shared" si="188"/>
        <v>1.292258510423038</v>
      </c>
      <c r="Z391" s="30">
        <f t="shared" si="188"/>
        <v>1.292258510423038</v>
      </c>
      <c r="AA391" s="30">
        <f t="shared" si="188"/>
        <v>1.292258510423038</v>
      </c>
      <c r="AB391" s="30">
        <f t="shared" si="188"/>
        <v>1.292258510423038</v>
      </c>
      <c r="AC391" s="30">
        <f t="shared" si="188"/>
        <v>1.292258510423038</v>
      </c>
      <c r="AD391" s="30">
        <f t="shared" si="188"/>
        <v>1.292258510423038</v>
      </c>
      <c r="AE391" s="30">
        <f t="shared" si="188"/>
        <v>1.292258510423038</v>
      </c>
      <c r="AF391" s="30">
        <f t="shared" si="188"/>
        <v>1.292258510423038</v>
      </c>
      <c r="AG391" s="30">
        <f t="shared" si="188"/>
        <v>1.292258510423038</v>
      </c>
      <c r="AH391" s="30">
        <f t="shared" si="188"/>
        <v>1.292258510423038</v>
      </c>
      <c r="AI391" s="30">
        <f t="shared" si="188"/>
        <v>1.292258510423038</v>
      </c>
      <c r="AJ391" s="30">
        <f t="shared" si="188"/>
        <v>1.292258510423038</v>
      </c>
      <c r="AK391" s="30">
        <f t="shared" si="188"/>
        <v>1.292258510423038</v>
      </c>
      <c r="AL391" s="30">
        <f t="shared" si="188"/>
        <v>1.292258510423038</v>
      </c>
      <c r="AM391" s="30">
        <f t="shared" si="188"/>
        <v>1.292258510423038</v>
      </c>
      <c r="AN391" s="30">
        <f t="shared" si="188"/>
        <v>1.292258510423038</v>
      </c>
      <c r="AO391" s="30">
        <f t="shared" si="188"/>
        <v>1.292258510423038</v>
      </c>
      <c r="AP391" s="30">
        <f t="shared" si="188"/>
        <v>1.292258510423038</v>
      </c>
      <c r="AQ391" s="30">
        <f t="shared" si="188"/>
        <v>1.292258510423038</v>
      </c>
    </row>
    <row r="392" spans="3:44" ht="14.25" hidden="1" customHeight="1" x14ac:dyDescent="0.15">
      <c r="G392" s="7"/>
      <c r="H392" s="28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</row>
    <row r="393" spans="3:44" ht="14.25" hidden="1" customHeight="1" x14ac:dyDescent="0.15">
      <c r="G393" s="7"/>
      <c r="H393" s="28"/>
    </row>
    <row r="394" spans="3:44" ht="14.25" hidden="1" customHeight="1" x14ac:dyDescent="0.15"/>
    <row r="395" spans="3:44" ht="14.25" hidden="1" customHeight="1" x14ac:dyDescent="0.15">
      <c r="C395" s="6" t="s">
        <v>2</v>
      </c>
      <c r="E395" s="6"/>
      <c r="G395" s="213" t="s">
        <v>61</v>
      </c>
      <c r="H395" s="214"/>
      <c r="I395" s="214"/>
      <c r="J395" s="214"/>
      <c r="K395" s="214"/>
      <c r="L395" s="214"/>
      <c r="M395" s="214"/>
      <c r="N395" s="214"/>
      <c r="O395" s="214"/>
      <c r="P395" s="214"/>
      <c r="Q395" s="214"/>
      <c r="R395" s="214"/>
      <c r="S395" s="214"/>
      <c r="T395" s="214"/>
      <c r="U395" s="214"/>
      <c r="V395" s="214"/>
      <c r="W395" s="214"/>
      <c r="X395" s="214"/>
      <c r="Y395" s="214"/>
      <c r="Z395" s="214"/>
      <c r="AA395" s="214"/>
      <c r="AB395" s="214"/>
    </row>
    <row r="396" spans="3:44" ht="14.25" hidden="1" customHeight="1" x14ac:dyDescent="0.15"/>
    <row r="397" spans="3:44" ht="14.25" hidden="1" customHeight="1" thickBot="1" x14ac:dyDescent="0.2">
      <c r="H397" s="27"/>
      <c r="I397" s="27"/>
      <c r="J397" s="27"/>
      <c r="K397" s="27"/>
      <c r="L397" s="27"/>
      <c r="M397" s="27"/>
    </row>
    <row r="398" spans="3:44" ht="14.25" hidden="1" customHeight="1" x14ac:dyDescent="0.15">
      <c r="H398" s="215" t="s">
        <v>60</v>
      </c>
      <c r="I398" s="216"/>
      <c r="J398" s="216"/>
      <c r="K398" s="216"/>
      <c r="L398" s="216"/>
      <c r="M398" s="216"/>
      <c r="N398" s="217"/>
      <c r="O398" s="217"/>
      <c r="P398" s="217"/>
      <c r="Q398" s="217"/>
      <c r="R398" s="217"/>
      <c r="S398" s="217"/>
      <c r="T398" s="217"/>
      <c r="U398" s="217"/>
      <c r="V398" s="217"/>
      <c r="W398" s="217"/>
      <c r="X398" s="217"/>
      <c r="Y398" s="217"/>
      <c r="Z398" s="217"/>
      <c r="AA398" s="217"/>
      <c r="AB398" s="218"/>
    </row>
    <row r="399" spans="3:44" ht="14.25" hidden="1" customHeight="1" x14ac:dyDescent="0.15">
      <c r="H399" s="219" t="s">
        <v>59</v>
      </c>
      <c r="I399" s="220"/>
      <c r="J399" s="220"/>
      <c r="K399" s="220"/>
      <c r="L399" s="220"/>
      <c r="M399" s="220"/>
      <c r="N399" s="26" t="s">
        <v>58</v>
      </c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8"/>
      <c r="AC399" s="3" t="s">
        <v>57</v>
      </c>
    </row>
    <row r="400" spans="3:44" ht="14.25" hidden="1" customHeight="1" x14ac:dyDescent="0.15">
      <c r="H400" s="219" t="s">
        <v>4</v>
      </c>
      <c r="I400" s="220"/>
      <c r="J400" s="220"/>
      <c r="K400" s="220"/>
      <c r="L400" s="220"/>
      <c r="M400" s="220"/>
      <c r="N400" s="26" t="s">
        <v>56</v>
      </c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8"/>
    </row>
    <row r="401" spans="8:29" ht="14.25" hidden="1" customHeight="1" x14ac:dyDescent="0.2">
      <c r="H401" s="219" t="s">
        <v>50</v>
      </c>
      <c r="I401" s="220"/>
      <c r="J401" s="220"/>
      <c r="K401" s="220"/>
      <c r="L401" s="220"/>
      <c r="M401" s="220"/>
      <c r="N401" s="25" t="s">
        <v>55</v>
      </c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1"/>
      <c r="AC401" s="3" t="s">
        <v>54</v>
      </c>
    </row>
    <row r="402" spans="8:29" ht="14.25" hidden="1" customHeight="1" x14ac:dyDescent="0.2">
      <c r="H402" s="219" t="s">
        <v>49</v>
      </c>
      <c r="I402" s="220"/>
      <c r="J402" s="220"/>
      <c r="K402" s="220"/>
      <c r="L402" s="220"/>
      <c r="M402" s="220"/>
      <c r="N402" s="25" t="s">
        <v>55</v>
      </c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3"/>
      <c r="AC402" s="3" t="s">
        <v>54</v>
      </c>
    </row>
    <row r="403" spans="8:29" ht="14.25" hidden="1" customHeight="1" x14ac:dyDescent="0.15">
      <c r="H403" s="219" t="s">
        <v>47</v>
      </c>
      <c r="I403" s="220"/>
      <c r="J403" s="220"/>
      <c r="K403" s="220"/>
      <c r="L403" s="220"/>
      <c r="M403" s="220"/>
      <c r="N403" s="221" t="s">
        <v>45</v>
      </c>
      <c r="O403" s="221"/>
      <c r="P403" s="221"/>
      <c r="Q403" s="221"/>
      <c r="R403" s="221"/>
      <c r="S403" s="221"/>
      <c r="T403" s="221"/>
      <c r="U403" s="221"/>
      <c r="V403" s="221"/>
      <c r="W403" s="221"/>
      <c r="X403" s="221"/>
      <c r="Y403" s="221"/>
      <c r="Z403" s="221"/>
      <c r="AA403" s="221"/>
      <c r="AB403" s="222"/>
    </row>
    <row r="404" spans="8:29" ht="14.25" hidden="1" customHeight="1" thickBot="1" x14ac:dyDescent="0.2">
      <c r="H404" s="223" t="s">
        <v>53</v>
      </c>
      <c r="I404" s="224"/>
      <c r="J404" s="224"/>
      <c r="K404" s="224"/>
      <c r="L404" s="224"/>
      <c r="M404" s="224"/>
      <c r="N404" s="225" t="s">
        <v>45</v>
      </c>
      <c r="O404" s="226"/>
      <c r="P404" s="226"/>
      <c r="Q404" s="226"/>
      <c r="R404" s="226"/>
      <c r="S404" s="226"/>
      <c r="T404" s="226"/>
      <c r="U404" s="226"/>
      <c r="V404" s="226"/>
      <c r="W404" s="226"/>
      <c r="X404" s="226"/>
      <c r="Y404" s="226"/>
      <c r="Z404" s="226"/>
      <c r="AA404" s="226"/>
      <c r="AB404" s="227"/>
    </row>
    <row r="405" spans="8:29" ht="14.25" hidden="1" customHeight="1" thickBot="1" x14ac:dyDescent="0.2">
      <c r="H405" s="228"/>
      <c r="I405" s="228"/>
      <c r="J405" s="228"/>
      <c r="K405" s="228"/>
      <c r="L405" s="228"/>
      <c r="M405" s="228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spans="8:29" ht="14.25" hidden="1" customHeight="1" x14ac:dyDescent="0.15">
      <c r="H406" s="215" t="s">
        <v>52</v>
      </c>
      <c r="I406" s="216"/>
      <c r="J406" s="216"/>
      <c r="K406" s="216"/>
      <c r="L406" s="216"/>
      <c r="M406" s="216"/>
      <c r="N406" s="229"/>
      <c r="O406" s="230"/>
      <c r="P406" s="230"/>
      <c r="Q406" s="230"/>
      <c r="R406" s="230"/>
      <c r="S406" s="230"/>
      <c r="T406" s="230"/>
      <c r="U406" s="230"/>
      <c r="V406" s="230"/>
      <c r="W406" s="230"/>
      <c r="X406" s="230"/>
      <c r="Y406" s="230"/>
      <c r="Z406" s="230"/>
      <c r="AA406" s="230"/>
      <c r="AB406" s="231"/>
    </row>
    <row r="407" spans="8:29" ht="14.25" hidden="1" customHeight="1" x14ac:dyDescent="0.15">
      <c r="H407" s="219" t="s">
        <v>4</v>
      </c>
      <c r="I407" s="220"/>
      <c r="J407" s="220"/>
      <c r="K407" s="220"/>
      <c r="L407" s="220"/>
      <c r="M407" s="220"/>
      <c r="N407" s="232" t="s">
        <v>51</v>
      </c>
      <c r="O407" s="233"/>
      <c r="P407" s="233"/>
      <c r="Q407" s="233"/>
      <c r="R407" s="233"/>
      <c r="S407" s="233"/>
      <c r="T407" s="233"/>
      <c r="U407" s="233"/>
      <c r="V407" s="233"/>
      <c r="W407" s="233"/>
      <c r="X407" s="233"/>
      <c r="Y407" s="233"/>
      <c r="Z407" s="233"/>
      <c r="AA407" s="233"/>
      <c r="AB407" s="234"/>
    </row>
    <row r="408" spans="8:29" ht="14.25" hidden="1" customHeight="1" x14ac:dyDescent="0.15">
      <c r="H408" s="219" t="s">
        <v>50</v>
      </c>
      <c r="I408" s="220"/>
      <c r="J408" s="220"/>
      <c r="K408" s="220"/>
      <c r="L408" s="220"/>
      <c r="M408" s="220"/>
      <c r="N408" s="232" t="s">
        <v>48</v>
      </c>
      <c r="O408" s="233"/>
      <c r="P408" s="233"/>
      <c r="Q408" s="233"/>
      <c r="R408" s="233"/>
      <c r="S408" s="233"/>
      <c r="T408" s="233"/>
      <c r="U408" s="233"/>
      <c r="V408" s="233"/>
      <c r="W408" s="233"/>
      <c r="X408" s="233"/>
      <c r="Y408" s="233"/>
      <c r="Z408" s="233"/>
      <c r="AA408" s="233"/>
      <c r="AB408" s="234"/>
    </row>
    <row r="409" spans="8:29" ht="27.75" hidden="1" customHeight="1" x14ac:dyDescent="0.15">
      <c r="H409" s="219" t="s">
        <v>49</v>
      </c>
      <c r="I409" s="220"/>
      <c r="J409" s="220"/>
      <c r="K409" s="220"/>
      <c r="L409" s="220"/>
      <c r="M409" s="220"/>
      <c r="N409" s="232" t="s">
        <v>48</v>
      </c>
      <c r="O409" s="233"/>
      <c r="P409" s="233"/>
      <c r="Q409" s="233"/>
      <c r="R409" s="233"/>
      <c r="S409" s="233"/>
      <c r="T409" s="233"/>
      <c r="U409" s="233"/>
      <c r="V409" s="233"/>
      <c r="W409" s="233"/>
      <c r="X409" s="233"/>
      <c r="Y409" s="233"/>
      <c r="Z409" s="233"/>
      <c r="AA409" s="233"/>
      <c r="AB409" s="234"/>
    </row>
    <row r="410" spans="8:29" ht="14.25" hidden="1" customHeight="1" x14ac:dyDescent="0.15">
      <c r="H410" s="219" t="s">
        <v>47</v>
      </c>
      <c r="I410" s="220"/>
      <c r="J410" s="220"/>
      <c r="K410" s="220"/>
      <c r="L410" s="220"/>
      <c r="M410" s="220"/>
      <c r="N410" s="232" t="s">
        <v>45</v>
      </c>
      <c r="O410" s="233"/>
      <c r="P410" s="233"/>
      <c r="Q410" s="233"/>
      <c r="R410" s="233"/>
      <c r="S410" s="233"/>
      <c r="T410" s="233"/>
      <c r="U410" s="233"/>
      <c r="V410" s="233"/>
      <c r="W410" s="233"/>
      <c r="X410" s="233"/>
      <c r="Y410" s="233"/>
      <c r="Z410" s="233"/>
      <c r="AA410" s="233"/>
      <c r="AB410" s="234"/>
    </row>
    <row r="411" spans="8:29" ht="14.25" hidden="1" customHeight="1" thickBot="1" x14ac:dyDescent="0.2">
      <c r="H411" s="223" t="s">
        <v>46</v>
      </c>
      <c r="I411" s="224"/>
      <c r="J411" s="224"/>
      <c r="K411" s="224"/>
      <c r="L411" s="224"/>
      <c r="M411" s="224"/>
      <c r="N411" s="225" t="s">
        <v>45</v>
      </c>
      <c r="O411" s="226"/>
      <c r="P411" s="226"/>
      <c r="Q411" s="226"/>
      <c r="R411" s="226"/>
      <c r="S411" s="226"/>
      <c r="T411" s="226"/>
      <c r="U411" s="226"/>
      <c r="V411" s="226"/>
      <c r="W411" s="226"/>
      <c r="X411" s="226"/>
      <c r="Y411" s="226"/>
      <c r="Z411" s="226"/>
      <c r="AA411" s="226"/>
      <c r="AB411" s="227"/>
    </row>
    <row r="412" spans="8:29" ht="14.25" hidden="1" customHeight="1" x14ac:dyDescent="0.15"/>
    <row r="413" spans="8:29" ht="14.25" hidden="1" customHeight="1" x14ac:dyDescent="0.15"/>
    <row r="416" spans="8:29" ht="14.25" customHeight="1" x14ac:dyDescent="0.15">
      <c r="N416" s="17"/>
    </row>
    <row r="418" spans="8:13" ht="14.25" customHeight="1" x14ac:dyDescent="0.15">
      <c r="M418" s="17"/>
    </row>
    <row r="425" spans="8:13" ht="14.25" customHeight="1" x14ac:dyDescent="0.15">
      <c r="H425" s="6" t="s">
        <v>2</v>
      </c>
    </row>
  </sheetData>
  <mergeCells count="57">
    <mergeCell ref="H410:M410"/>
    <mergeCell ref="N410:AB410"/>
    <mergeCell ref="H411:M411"/>
    <mergeCell ref="N411:AB411"/>
    <mergeCell ref="H407:M407"/>
    <mergeCell ref="N407:AB407"/>
    <mergeCell ref="H408:M408"/>
    <mergeCell ref="N408:AB408"/>
    <mergeCell ref="H409:M409"/>
    <mergeCell ref="N409:AB409"/>
    <mergeCell ref="N403:AB403"/>
    <mergeCell ref="H404:M404"/>
    <mergeCell ref="N404:AB404"/>
    <mergeCell ref="H405:M405"/>
    <mergeCell ref="H406:M406"/>
    <mergeCell ref="N406:AB406"/>
    <mergeCell ref="H399:M399"/>
    <mergeCell ref="H400:M400"/>
    <mergeCell ref="H401:M401"/>
    <mergeCell ref="H402:M402"/>
    <mergeCell ref="H403:M403"/>
    <mergeCell ref="J354:J373"/>
    <mergeCell ref="J376:J378"/>
    <mergeCell ref="G395:AB395"/>
    <mergeCell ref="H398:M398"/>
    <mergeCell ref="N398:AB398"/>
    <mergeCell ref="H278:H307"/>
    <mergeCell ref="J278:J307"/>
    <mergeCell ref="H310:H339"/>
    <mergeCell ref="J310:J339"/>
    <mergeCell ref="H343:H352"/>
    <mergeCell ref="J343:J352"/>
    <mergeCell ref="G82:U82"/>
    <mergeCell ref="H85:H274"/>
    <mergeCell ref="J85:J114"/>
    <mergeCell ref="J117:J146"/>
    <mergeCell ref="J149:J178"/>
    <mergeCell ref="J181:J210"/>
    <mergeCell ref="J213:J242"/>
    <mergeCell ref="J245:J274"/>
    <mergeCell ref="H33:H77"/>
    <mergeCell ref="J33:O33"/>
    <mergeCell ref="J34:N34"/>
    <mergeCell ref="J35:N35"/>
    <mergeCell ref="J37:K37"/>
    <mergeCell ref="L38:L41"/>
    <mergeCell ref="M38:M41"/>
    <mergeCell ref="J48:J75"/>
    <mergeCell ref="U4:U5"/>
    <mergeCell ref="G7:Y7"/>
    <mergeCell ref="H9:H30"/>
    <mergeCell ref="J9:L9"/>
    <mergeCell ref="J14:P14"/>
    <mergeCell ref="J15:P15"/>
    <mergeCell ref="J16:P16"/>
    <mergeCell ref="J17:P17"/>
    <mergeCell ref="M26:T30"/>
  </mergeCells>
  <hyperlinks>
    <hyperlink ref="M1" r:id="rId1" xr:uid="{0BCFCB2B-9E32-4F2A-9D41-2CA42AE95640}"/>
    <hyperlink ref="N400" r:id="rId2" xr:uid="{DA03729A-9014-48A8-A81B-34ECBC3495C6}"/>
    <hyperlink ref="N399" r:id="rId3" location="ZZDGWR57" xr:uid="{01957FD4-2587-42C2-89CC-CA95FB3DFCC0}"/>
    <hyperlink ref="N402" r:id="rId4" display="V. Ramasamy, D. Feldman, Jal Desai, and R. Margolis. 2021." xr:uid="{12A5C9CE-AB2D-4334-ABD4-C3161DE71315}"/>
    <hyperlink ref="N401" r:id="rId5" display="V. Ramasamy, D. Feldman, Jal Desai, and R. Margolis. 2021." xr:uid="{35B85125-BAD0-4852-948B-39DFA69F2C3C}"/>
  </hyperlinks>
  <pageMargins left="0.7" right="0.7" top="0.75" bottom="0.75" header="0.3" footer="0.3"/>
  <pageSetup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3"/>
  </sheetPr>
  <dimension ref="A1:AG3"/>
  <sheetViews>
    <sheetView tabSelected="1" topLeftCell="D1" zoomScale="116" workbookViewId="0">
      <selection activeCell="U18" sqref="U18"/>
    </sheetView>
  </sheetViews>
  <sheetFormatPr baseColWidth="10" defaultColWidth="8.83203125" defaultRowHeight="15" x14ac:dyDescent="0.2"/>
  <cols>
    <col min="1" max="1" width="16.83203125" customWidth="1"/>
  </cols>
  <sheetData>
    <row r="1" spans="1:33" x14ac:dyDescent="0.2">
      <c r="B1" s="2">
        <v>2019</v>
      </c>
      <c r="C1">
        <v>2020</v>
      </c>
      <c r="D1" s="2">
        <v>2021</v>
      </c>
      <c r="E1">
        <v>2022</v>
      </c>
      <c r="F1" s="2">
        <v>2023</v>
      </c>
      <c r="G1">
        <v>2024</v>
      </c>
      <c r="H1" s="2">
        <v>2025</v>
      </c>
      <c r="I1">
        <v>2026</v>
      </c>
      <c r="J1" s="2">
        <v>2027</v>
      </c>
      <c r="K1">
        <v>2028</v>
      </c>
      <c r="L1" s="2">
        <v>2029</v>
      </c>
      <c r="M1">
        <v>2030</v>
      </c>
      <c r="N1" s="2">
        <v>2031</v>
      </c>
      <c r="O1">
        <v>2032</v>
      </c>
      <c r="P1" s="2">
        <v>2033</v>
      </c>
      <c r="Q1">
        <v>2034</v>
      </c>
      <c r="R1" s="2">
        <v>2035</v>
      </c>
      <c r="S1">
        <v>2036</v>
      </c>
      <c r="T1" s="2">
        <v>2037</v>
      </c>
      <c r="U1">
        <v>2038</v>
      </c>
      <c r="V1" s="2">
        <v>2039</v>
      </c>
      <c r="W1">
        <v>2040</v>
      </c>
      <c r="X1" s="2">
        <v>2041</v>
      </c>
      <c r="Y1">
        <v>2042</v>
      </c>
      <c r="Z1" s="2">
        <v>2043</v>
      </c>
      <c r="AA1">
        <v>2044</v>
      </c>
      <c r="AB1" s="2">
        <v>2045</v>
      </c>
      <c r="AC1">
        <v>2046</v>
      </c>
      <c r="AD1" s="2">
        <v>2047</v>
      </c>
      <c r="AE1">
        <v>2048</v>
      </c>
      <c r="AF1" s="2">
        <v>2049</v>
      </c>
      <c r="AG1">
        <v>2050</v>
      </c>
    </row>
    <row r="2" spans="1:33" ht="32" x14ac:dyDescent="0.2">
      <c r="A2" s="239" t="s">
        <v>8</v>
      </c>
      <c r="B2" s="240">
        <f>AVERAGE('Solar - PV Dist. Res 2021'!L5,'Solar - PV Dist. Res 2021'!L8,'Solar - PV Dist. Res 2021'!L11,'Solar - PV Dist. Res 2021'!L14,'Solar - PV Dist. Res 2021'!L17,'Solar - PV Dist. Res 2021'!L20,'Solar - PV Dist. Res 2021'!L23,'Solar - PV Dist. Res 2021'!L26,'Solar - PV Dist. Res 2021'!L29,'Solar - PV Dist. Res 2021'!L32)</f>
        <v>0.15284766424788851</v>
      </c>
      <c r="C2" s="240">
        <f>AVERAGE('Solar - PV Dist. Res 2022'!M86,'Solar - PV Dist. Res 2022'!M89,'Solar - PV Dist. Res 2022'!M92,'Solar - PV Dist. Res 2022'!M95,'Solar - PV Dist. Res 2022'!M98,'Solar - PV Dist. Res 2022'!M101,'Solar - PV Dist. Res 2022'!M104,'Solar - PV Dist. Res 2022'!M107,'Solar - PV Dist. Res 2022'!M110,'Solar - PV Dist. Res 2022'!M113)</f>
        <v>0.15308414574279339</v>
      </c>
      <c r="D2" s="240">
        <f>AVERAGE('Solar - PV Dist. Res 2022'!N86,'Solar - PV Dist. Res 2022'!N89,'Solar - PV Dist. Res 2022'!N92,'Solar - PV Dist. Res 2022'!N95,'Solar - PV Dist. Res 2022'!N98,'Solar - PV Dist. Res 2022'!N101,'Solar - PV Dist. Res 2022'!N104,'Solar - PV Dist. Res 2022'!N107,'Solar - PV Dist. Res 2022'!N110,'Solar - PV Dist. Res 2022'!N113)</f>
        <v>0.15332062723769824</v>
      </c>
      <c r="E2" s="240">
        <f>AVERAGE('Solar - PV Dist. Res 2022'!O86,'Solar - PV Dist. Res 2022'!O89,'Solar - PV Dist. Res 2022'!O92,'Solar - PV Dist. Res 2022'!O95,'Solar - PV Dist. Res 2022'!O98,'Solar - PV Dist. Res 2022'!O101,'Solar - PV Dist. Res 2022'!O104,'Solar - PV Dist. Res 2022'!O107,'Solar - PV Dist. Res 2022'!O110,'Solar - PV Dist. Res 2022'!O113)</f>
        <v>0.15355710873260309</v>
      </c>
      <c r="F2" s="240">
        <f>AVERAGE('Solar - PV Dist. Res 2022'!P86,'Solar - PV Dist. Res 2022'!P89,'Solar - PV Dist. Res 2022'!P92,'Solar - PV Dist. Res 2022'!P95,'Solar - PV Dist. Res 2022'!P98,'Solar - PV Dist. Res 2022'!P101,'Solar - PV Dist. Res 2022'!P104,'Solar - PV Dist. Res 2022'!P107,'Solar - PV Dist. Res 2022'!P110,'Solar - PV Dist. Res 2022'!P113)</f>
        <v>0.15379359022750796</v>
      </c>
      <c r="G2" s="240">
        <f>AVERAGE('Solar - PV Dist. Res 2022'!Q86,'Solar - PV Dist. Res 2022'!Q89,'Solar - PV Dist. Res 2022'!Q92,'Solar - PV Dist. Res 2022'!Q95,'Solar - PV Dist. Res 2022'!Q98,'Solar - PV Dist. Res 2022'!Q101,'Solar - PV Dist. Res 2022'!Q104,'Solar - PV Dist. Res 2022'!Q107,'Solar - PV Dist. Res 2022'!Q110,'Solar - PV Dist. Res 2022'!Q113)</f>
        <v>0.15403007172241281</v>
      </c>
      <c r="H2" s="240">
        <f>AVERAGE('Solar - PV Dist. Res 2022'!R86,'Solar - PV Dist. Res 2022'!R89,'Solar - PV Dist. Res 2022'!R92,'Solar - PV Dist. Res 2022'!R95,'Solar - PV Dist. Res 2022'!R98,'Solar - PV Dist. Res 2022'!R101,'Solar - PV Dist. Res 2022'!R104,'Solar - PV Dist. Res 2022'!R107,'Solar - PV Dist. Res 2022'!R110,'Solar - PV Dist. Res 2022'!R113)</f>
        <v>0.15426655321731766</v>
      </c>
      <c r="I2" s="240">
        <f>AVERAGE('Solar - PV Dist. Res 2022'!S86,'Solar - PV Dist. Res 2022'!S89,'Solar - PV Dist. Res 2022'!S92,'Solar - PV Dist. Res 2022'!S95,'Solar - PV Dist. Res 2022'!S98,'Solar - PV Dist. Res 2022'!S101,'Solar - PV Dist. Res 2022'!S104,'Solar - PV Dist. Res 2022'!S107,'Solar - PV Dist. Res 2022'!S110,'Solar - PV Dist. Res 2022'!S113)</f>
        <v>0.15450303471222251</v>
      </c>
      <c r="J2" s="240">
        <f>AVERAGE('Solar - PV Dist. Res 2022'!T86,'Solar - PV Dist. Res 2022'!T89,'Solar - PV Dist. Res 2022'!T92,'Solar - PV Dist. Res 2022'!T95,'Solar - PV Dist. Res 2022'!T98,'Solar - PV Dist. Res 2022'!T101,'Solar - PV Dist. Res 2022'!T104,'Solar - PV Dist. Res 2022'!T107,'Solar - PV Dist. Res 2022'!T110,'Solar - PV Dist. Res 2022'!T113)</f>
        <v>0.15473951620712739</v>
      </c>
      <c r="K2" s="240">
        <f>AVERAGE('Solar - PV Dist. Res 2022'!U86,'Solar - PV Dist. Res 2022'!U89,'Solar - PV Dist. Res 2022'!U92,'Solar - PV Dist. Res 2022'!U95,'Solar - PV Dist. Res 2022'!U98,'Solar - PV Dist. Res 2022'!U101,'Solar - PV Dist. Res 2022'!U104,'Solar - PV Dist. Res 2022'!U107,'Solar - PV Dist. Res 2022'!U110,'Solar - PV Dist. Res 2022'!U113)</f>
        <v>0.15497599770203224</v>
      </c>
      <c r="L2" s="240">
        <f>AVERAGE('Solar - PV Dist. Res 2022'!V86,'Solar - PV Dist. Res 2022'!V89,'Solar - PV Dist. Res 2022'!V92,'Solar - PV Dist. Res 2022'!V95,'Solar - PV Dist. Res 2022'!V98,'Solar - PV Dist. Res 2022'!V101,'Solar - PV Dist. Res 2022'!V104,'Solar - PV Dist. Res 2022'!V107,'Solar - PV Dist. Res 2022'!V110,'Solar - PV Dist. Res 2022'!V113)</f>
        <v>0.15521247919693709</v>
      </c>
      <c r="M2" s="240">
        <f>AVERAGE('Solar - PV Dist. Res 2022'!W86,'Solar - PV Dist. Res 2022'!W89,'Solar - PV Dist. Res 2022'!W92,'Solar - PV Dist. Res 2022'!W95,'Solar - PV Dist. Res 2022'!W98,'Solar - PV Dist. Res 2022'!W101,'Solar - PV Dist. Res 2022'!W104,'Solar - PV Dist. Res 2022'!W107,'Solar - PV Dist. Res 2022'!W110,'Solar - PV Dist. Res 2022'!W113)</f>
        <v>0.15544896069184197</v>
      </c>
      <c r="N2" s="240">
        <f>AVERAGE('Solar - PV Dist. Res 2022'!X86,'Solar - PV Dist. Res 2022'!X89,'Solar - PV Dist. Res 2022'!X92,'Solar - PV Dist. Res 2022'!X95,'Solar - PV Dist. Res 2022'!X98,'Solar - PV Dist. Res 2022'!X101,'Solar - PV Dist. Res 2022'!X104,'Solar - PV Dist. Res 2022'!X107,'Solar - PV Dist. Res 2022'!X110,'Solar - PV Dist. Res 2022'!X113)</f>
        <v>0.15564967652966863</v>
      </c>
      <c r="O2" s="240">
        <f>AVERAGE('Solar - PV Dist. Res 2022'!Y86,'Solar - PV Dist. Res 2022'!Y89,'Solar - PV Dist. Res 2022'!Y92,'Solar - PV Dist. Res 2022'!Y95,'Solar - PV Dist. Res 2022'!Y98,'Solar - PV Dist. Res 2022'!Y101,'Solar - PV Dist. Res 2022'!Y104,'Solar - PV Dist. Res 2022'!Y107,'Solar - PV Dist. Res 2022'!Y110,'Solar - PV Dist. Res 2022'!Y113)</f>
        <v>0.15585039236749526</v>
      </c>
      <c r="P2" s="240">
        <f>AVERAGE('Solar - PV Dist. Res 2022'!Z86,'Solar - PV Dist. Res 2022'!Z89,'Solar - PV Dist. Res 2022'!Z92,'Solar - PV Dist. Res 2022'!Z95,'Solar - PV Dist. Res 2022'!Z98,'Solar - PV Dist. Res 2022'!Z101,'Solar - PV Dist. Res 2022'!Z104,'Solar - PV Dist. Res 2022'!Z107,'Solar - PV Dist. Res 2022'!Z110,'Solar - PV Dist. Res 2022'!Z113)</f>
        <v>0.15605110820532192</v>
      </c>
      <c r="Q2" s="240">
        <f>AVERAGE('Solar - PV Dist. Res 2022'!AA86,'Solar - PV Dist. Res 2022'!AA89,'Solar - PV Dist. Res 2022'!AA92,'Solar - PV Dist. Res 2022'!AA95,'Solar - PV Dist. Res 2022'!AA98,'Solar - PV Dist. Res 2022'!AA101,'Solar - PV Dist. Res 2022'!AA104,'Solar - PV Dist. Res 2022'!AA107,'Solar - PV Dist. Res 2022'!AA110,'Solar - PV Dist. Res 2022'!AA113)</f>
        <v>0.15625182404314858</v>
      </c>
      <c r="R2" s="240">
        <f>AVERAGE('Solar - PV Dist. Res 2022'!AB86,'Solar - PV Dist. Res 2022'!AB89,'Solar - PV Dist. Res 2022'!AB92,'Solar - PV Dist. Res 2022'!AB95,'Solar - PV Dist. Res 2022'!AB98,'Solar - PV Dist. Res 2022'!AB101,'Solar - PV Dist. Res 2022'!AB104,'Solar - PV Dist. Res 2022'!AB107,'Solar - PV Dist. Res 2022'!AB110,'Solar - PV Dist. Res 2022'!AB113)</f>
        <v>0.15645253988097524</v>
      </c>
      <c r="S2" s="240">
        <f>AVERAGE('Solar - PV Dist. Res 2022'!AC86,'Solar - PV Dist. Res 2022'!AC89,'Solar - PV Dist. Res 2022'!AC92,'Solar - PV Dist. Res 2022'!AC95,'Solar - PV Dist. Res 2022'!AC98,'Solar - PV Dist. Res 2022'!AC101,'Solar - PV Dist. Res 2022'!AC104,'Solar - PV Dist. Res 2022'!AC107,'Solar - PV Dist. Res 2022'!AC110,'Solar - PV Dist. Res 2022'!AC113)</f>
        <v>0.1566532557188019</v>
      </c>
      <c r="T2" s="240">
        <f>AVERAGE('Solar - PV Dist. Res 2022'!AD86,'Solar - PV Dist. Res 2022'!AD89,'Solar - PV Dist. Res 2022'!AD92,'Solar - PV Dist. Res 2022'!AD95,'Solar - PV Dist. Res 2022'!AD98,'Solar - PV Dist. Res 2022'!AD101,'Solar - PV Dist. Res 2022'!AD104,'Solar - PV Dist. Res 2022'!AD107,'Solar - PV Dist. Res 2022'!AD110,'Solar - PV Dist. Res 2022'!AD113)</f>
        <v>0.15685397155662853</v>
      </c>
      <c r="U2" s="240">
        <f>AVERAGE('Solar - PV Dist. Res 2022'!AE86,'Solar - PV Dist. Res 2022'!AE89,'Solar - PV Dist. Res 2022'!AE92,'Solar - PV Dist. Res 2022'!AE95,'Solar - PV Dist. Res 2022'!AE98,'Solar - PV Dist. Res 2022'!AE101,'Solar - PV Dist. Res 2022'!AE104,'Solar - PV Dist. Res 2022'!AE107,'Solar - PV Dist. Res 2022'!AE110,'Solar - PV Dist. Res 2022'!AE113)</f>
        <v>0.15705468739445522</v>
      </c>
      <c r="V2" s="240">
        <f>AVERAGE('Solar - PV Dist. Res 2022'!AF86,'Solar - PV Dist. Res 2022'!AF89,'Solar - PV Dist. Res 2022'!AF92,'Solar - PV Dist. Res 2022'!AF95,'Solar - PV Dist. Res 2022'!AF98,'Solar - PV Dist. Res 2022'!AF101,'Solar - PV Dist. Res 2022'!AF104,'Solar - PV Dist. Res 2022'!AF107,'Solar - PV Dist. Res 2022'!AF110,'Solar - PV Dist. Res 2022'!AF113)</f>
        <v>0.15725540323228185</v>
      </c>
      <c r="W2" s="240">
        <f>AVERAGE('Solar - PV Dist. Res 2022'!AG86,'Solar - PV Dist. Res 2022'!AG89,'Solar - PV Dist. Res 2022'!AG92,'Solar - PV Dist. Res 2022'!AG95,'Solar - PV Dist. Res 2022'!AG98,'Solar - PV Dist. Res 2022'!AG101,'Solar - PV Dist. Res 2022'!AG104,'Solar - PV Dist. Res 2022'!AG107,'Solar - PV Dist. Res 2022'!AG110,'Solar - PV Dist. Res 2022'!AG113)</f>
        <v>0.15745611907010851</v>
      </c>
      <c r="X2" s="240">
        <f>AVERAGE('Solar - PV Dist. Res 2022'!AH86,'Solar - PV Dist. Res 2022'!AH89,'Solar - PV Dist. Res 2022'!AH92,'Solar - PV Dist. Res 2022'!AH95,'Solar - PV Dist. Res 2022'!AH98,'Solar - PV Dist. Res 2022'!AH101,'Solar - PV Dist. Res 2022'!AH104,'Solar - PV Dist. Res 2022'!AH107,'Solar - PV Dist. Res 2022'!AH110,'Solar - PV Dist. Res 2022'!AH113)</f>
        <v>0.15765683490793514</v>
      </c>
      <c r="Y2" s="240">
        <f>AVERAGE('Solar - PV Dist. Res 2022'!AI86,'Solar - PV Dist. Res 2022'!AI89,'Solar - PV Dist. Res 2022'!AI92,'Solar - PV Dist. Res 2022'!AI95,'Solar - PV Dist. Res 2022'!AI98,'Solar - PV Dist. Res 2022'!AI101,'Solar - PV Dist. Res 2022'!AI104,'Solar - PV Dist. Res 2022'!AI107,'Solar - PV Dist. Res 2022'!AI110,'Solar - PV Dist. Res 2022'!AI113)</f>
        <v>0.15785755074576183</v>
      </c>
      <c r="Z2" s="240">
        <f>AVERAGE('Solar - PV Dist. Res 2022'!AJ86,'Solar - PV Dist. Res 2022'!AJ89,'Solar - PV Dist. Res 2022'!AJ92,'Solar - PV Dist. Res 2022'!AJ95,'Solar - PV Dist. Res 2022'!AJ98,'Solar - PV Dist. Res 2022'!AJ101,'Solar - PV Dist. Res 2022'!AJ104,'Solar - PV Dist. Res 2022'!AJ107,'Solar - PV Dist. Res 2022'!AJ110,'Solar - PV Dist. Res 2022'!AJ113)</f>
        <v>0.15805826658358843</v>
      </c>
      <c r="AA2" s="240">
        <f>AVERAGE('Solar - PV Dist. Res 2022'!AK86,'Solar - PV Dist. Res 2022'!AK89,'Solar - PV Dist. Res 2022'!AK92,'Solar - PV Dist. Res 2022'!AK95,'Solar - PV Dist. Res 2022'!AK98,'Solar - PV Dist. Res 2022'!AK101,'Solar - PV Dist. Res 2022'!AK104,'Solar - PV Dist. Res 2022'!AK107,'Solar - PV Dist. Res 2022'!AK110,'Solar - PV Dist. Res 2022'!AK113)</f>
        <v>0.15825898242141512</v>
      </c>
      <c r="AB2" s="240">
        <f>AVERAGE('Solar - PV Dist. Res 2022'!AL86,'Solar - PV Dist. Res 2022'!AL89,'Solar - PV Dist. Res 2022'!AL92,'Solar - PV Dist. Res 2022'!AL95,'Solar - PV Dist. Res 2022'!AL98,'Solar - PV Dist. Res 2022'!AL101,'Solar - PV Dist. Res 2022'!AL104,'Solar - PV Dist. Res 2022'!AL107,'Solar - PV Dist. Res 2022'!AL110,'Solar - PV Dist. Res 2022'!AL113)</f>
        <v>0.15845969825924175</v>
      </c>
      <c r="AC2" s="240">
        <f>AVERAGE('Solar - PV Dist. Res 2022'!AM86,'Solar - PV Dist. Res 2022'!AM89,'Solar - PV Dist. Res 2022'!AM92,'Solar - PV Dist. Res 2022'!AM95,'Solar - PV Dist. Res 2022'!AM98,'Solar - PV Dist. Res 2022'!AM101,'Solar - PV Dist. Res 2022'!AM104,'Solar - PV Dist. Res 2022'!AM107,'Solar - PV Dist. Res 2022'!AM110,'Solar - PV Dist. Res 2022'!AM113)</f>
        <v>0.15866041409706844</v>
      </c>
      <c r="AD2" s="240">
        <f>AVERAGE('Solar - PV Dist. Res 2022'!AN86,'Solar - PV Dist. Res 2022'!AN89,'Solar - PV Dist. Res 2022'!AN92,'Solar - PV Dist. Res 2022'!AN95,'Solar - PV Dist. Res 2022'!AN98,'Solar - PV Dist. Res 2022'!AN101,'Solar - PV Dist. Res 2022'!AN104,'Solar - PV Dist. Res 2022'!AN107,'Solar - PV Dist. Res 2022'!AN110,'Solar - PV Dist. Res 2022'!AN113)</f>
        <v>0.1588611299348951</v>
      </c>
      <c r="AE2" s="240">
        <f>AVERAGE('Solar - PV Dist. Res 2022'!AO86,'Solar - PV Dist. Res 2022'!AO89,'Solar - PV Dist. Res 2022'!AO92,'Solar - PV Dist. Res 2022'!AO95,'Solar - PV Dist. Res 2022'!AO98,'Solar - PV Dist. Res 2022'!AO101,'Solar - PV Dist. Res 2022'!AO104,'Solar - PV Dist. Res 2022'!AO107,'Solar - PV Dist. Res 2022'!AO110,'Solar - PV Dist. Res 2022'!AO113)</f>
        <v>0.15906184577272173</v>
      </c>
      <c r="AF2" s="240">
        <f>AVERAGE('Solar - PV Dist. Res 2022'!AP86,'Solar - PV Dist. Res 2022'!AP89,'Solar - PV Dist. Res 2022'!AP92,'Solar - PV Dist. Res 2022'!AP95,'Solar - PV Dist. Res 2022'!AP98,'Solar - PV Dist. Res 2022'!AP101,'Solar - PV Dist. Res 2022'!AP104,'Solar - PV Dist. Res 2022'!AP107,'Solar - PV Dist. Res 2022'!AP110,'Solar - PV Dist. Res 2022'!AP113)</f>
        <v>0.15926256161054839</v>
      </c>
      <c r="AG2" s="240">
        <f>AVERAGE('Solar - PV Dist. Res 2022'!AQ86,'Solar - PV Dist. Res 2022'!AQ89,'Solar - PV Dist. Res 2022'!AQ92,'Solar - PV Dist. Res 2022'!AQ95,'Solar - PV Dist. Res 2022'!AQ98,'Solar - PV Dist. Res 2022'!AQ101,'Solar - PV Dist. Res 2022'!AQ104,'Solar - PV Dist. Res 2022'!AQ107,'Solar - PV Dist. Res 2022'!AQ110,'Solar - PV Dist. Res 2022'!AQ113)</f>
        <v>0.15946327744837507</v>
      </c>
    </row>
    <row r="3" spans="1:33" ht="32" x14ac:dyDescent="0.2">
      <c r="A3" s="241" t="s">
        <v>8</v>
      </c>
      <c r="B3">
        <v>0.129</v>
      </c>
      <c r="C3">
        <v>0.129</v>
      </c>
      <c r="D3">
        <v>0.129</v>
      </c>
      <c r="E3">
        <v>0.129</v>
      </c>
      <c r="F3">
        <v>0.129</v>
      </c>
      <c r="G3">
        <v>0.129</v>
      </c>
      <c r="H3">
        <v>0.129</v>
      </c>
      <c r="I3">
        <v>0.129</v>
      </c>
      <c r="J3">
        <v>0.129</v>
      </c>
      <c r="K3">
        <v>0.129</v>
      </c>
      <c r="L3">
        <v>0.129</v>
      </c>
      <c r="M3">
        <v>0.129</v>
      </c>
      <c r="N3">
        <v>0.129</v>
      </c>
      <c r="O3">
        <v>0.129</v>
      </c>
      <c r="P3">
        <v>0.129</v>
      </c>
      <c r="Q3">
        <v>0.129</v>
      </c>
      <c r="R3">
        <v>0.129</v>
      </c>
      <c r="S3">
        <v>0.129</v>
      </c>
      <c r="T3">
        <v>0.129</v>
      </c>
      <c r="U3">
        <v>0.129</v>
      </c>
      <c r="V3">
        <v>0.129</v>
      </c>
      <c r="W3">
        <v>0.129</v>
      </c>
      <c r="X3">
        <v>0.129</v>
      </c>
      <c r="Y3">
        <v>0.129</v>
      </c>
      <c r="Z3">
        <v>0.129</v>
      </c>
      <c r="AA3">
        <v>0.129</v>
      </c>
      <c r="AB3">
        <v>0.129</v>
      </c>
      <c r="AC3">
        <v>0.129</v>
      </c>
      <c r="AD3">
        <v>0.129</v>
      </c>
      <c r="AE3">
        <v>0.129</v>
      </c>
      <c r="AF3">
        <v>0.129</v>
      </c>
      <c r="AG3">
        <v>0.129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331B019F-B65B-4752-B84D-4060F94DC5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5F4BC1-66DF-4410-8788-215D96937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A59E07-3F5F-4D28-B497-4723CD22E9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Solar - PV Dist. Res 2021</vt:lpstr>
      <vt:lpstr>Solar - PV Dist. Res 2022</vt:lpstr>
      <vt:lpstr>DSCF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Wing Tsang</cp:lastModifiedBy>
  <dcterms:created xsi:type="dcterms:W3CDTF">2016-01-27T18:45:33Z</dcterms:created>
  <dcterms:modified xsi:type="dcterms:W3CDTF">2023-08-30T12:25:20Z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</Properties>
</file>