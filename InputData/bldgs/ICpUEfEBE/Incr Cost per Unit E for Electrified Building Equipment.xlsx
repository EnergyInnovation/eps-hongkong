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aiyang.zhang\Desktop\eps-us-3.4.7 HK working\InputData\bldgs\ICpUEfEBE\"/>
    </mc:Choice>
  </mc:AlternateContent>
  <xr:revisionPtr revIDLastSave="0" documentId="13_ncr:1_{27219982-EE9E-4BFC-A327-741131D50386}" xr6:coauthVersionLast="47" xr6:coauthVersionMax="47" xr10:uidLastSave="{00000000-0000-0000-0000-000000000000}"/>
  <bookViews>
    <workbookView xWindow="-110" yWindow="-110" windowWidth="19420" windowHeight="10420" tabRatio="785" firstSheet="12" activeTab="15" xr2:uid="{00000000-000D-0000-FFFF-FFFF00000000}"/>
  </bookViews>
  <sheets>
    <sheet name="About" sheetId="17" r:id="rId1"/>
    <sheet name="EIA Costs" sheetId="9" r:id="rId2"/>
    <sheet name="EIA AEO Table 4" sheetId="7" r:id="rId3"/>
    <sheet name="EIA AEO Table 21" sheetId="8" r:id="rId4"/>
    <sheet name="NREL EF Table 22" sheetId="13" r:id="rId5"/>
    <sheet name="NREL EF Table 23" sheetId="14" r:id="rId6"/>
    <sheet name="Calculations" sheetId="6" r:id="rId7"/>
    <sheet name="ICpUEfEBE-urb-res-heating" sheetId="18" r:id="rId8"/>
    <sheet name="ICpUEfEBE-urb-res-appl" sheetId="38" r:id="rId9"/>
    <sheet name="ICpUEfEBE-urb-res-other" sheetId="40" r:id="rId10"/>
    <sheet name="ICpUEfEBE-rur-res-heating" sheetId="34" r:id="rId11"/>
    <sheet name="ICpUEfEBE-rur-res-appl" sheetId="39" r:id="rId12"/>
    <sheet name="ICpUEfEBE-rur-res-other" sheetId="41" r:id="rId13"/>
    <sheet name="ICpUEfEBE-com-heating" sheetId="42" r:id="rId14"/>
    <sheet name="ICpUEfEBE-com-appl" sheetId="45" r:id="rId15"/>
    <sheet name="ICpUEfEBE-com-other" sheetId="46" r:id="rId16"/>
  </sheets>
  <externalReferences>
    <externalReference r:id="rId17"/>
  </externalReferences>
  <definedNames>
    <definedName name="_AMO_UniqueIdentifier" hidden="1">"'7dff0b4d-5a4e-428f-a156-c32727f2a01b'"</definedName>
    <definedName name="Fraction_coal">[1]About!$C$50</definedName>
    <definedName name="Percent_rural">[1]About!$A$77</definedName>
    <definedName name="Percent_urban">[1]About!$A$76</definedName>
    <definedName name="quadrillion">[1]About!$B$79</definedName>
    <definedName name="Table4">#REF!</definedName>
    <definedName name="Table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6" l="1"/>
  <c r="G29" i="6"/>
  <c r="F29" i="6"/>
  <c r="H50" i="6"/>
  <c r="H49" i="6"/>
  <c r="H48" i="6"/>
  <c r="H69" i="6"/>
  <c r="H68" i="6"/>
  <c r="H70" i="6"/>
  <c r="G11" i="6"/>
  <c r="G10" i="6"/>
  <c r="G9" i="6"/>
  <c r="AU8" i="8" l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9" i="8"/>
  <c r="AU10" i="8"/>
  <c r="AU11" i="8"/>
  <c r="AK11" i="8" s="1"/>
  <c r="AL11" i="8" s="1"/>
  <c r="AM11" i="8" s="1"/>
  <c r="AN11" i="8" s="1"/>
  <c r="AO11" i="8" s="1"/>
  <c r="AP11" i="8" s="1"/>
  <c r="AQ11" i="8" s="1"/>
  <c r="AR11" i="8" s="1"/>
  <c r="AS11" i="8" s="1"/>
  <c r="AT11" i="8" s="1"/>
  <c r="AU12" i="8"/>
  <c r="AU13" i="8"/>
  <c r="AU14" i="8"/>
  <c r="AU15" i="8"/>
  <c r="AK15" i="8" s="1"/>
  <c r="AL15" i="8" s="1"/>
  <c r="AM15" i="8" s="1"/>
  <c r="AN15" i="8" s="1"/>
  <c r="AO15" i="8" s="1"/>
  <c r="AP15" i="8" s="1"/>
  <c r="AQ15" i="8" s="1"/>
  <c r="AR15" i="8" s="1"/>
  <c r="AS15" i="8" s="1"/>
  <c r="AT15" i="8" s="1"/>
  <c r="AU16" i="8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7" i="8"/>
  <c r="AU19" i="8"/>
  <c r="AU20" i="8"/>
  <c r="AK20" i="8" s="1"/>
  <c r="AL20" i="8" s="1"/>
  <c r="AM20" i="8" s="1"/>
  <c r="AN20" i="8" s="1"/>
  <c r="AO20" i="8" s="1"/>
  <c r="AP20" i="8" s="1"/>
  <c r="AQ20" i="8" s="1"/>
  <c r="AR20" i="8" s="1"/>
  <c r="AS20" i="8" s="1"/>
  <c r="AT20" i="8" s="1"/>
  <c r="AU21" i="8"/>
  <c r="AU22" i="8"/>
  <c r="AU23" i="8"/>
  <c r="AU24" i="8"/>
  <c r="AK24" i="8" s="1"/>
  <c r="AL24" i="8" s="1"/>
  <c r="AM24" i="8" s="1"/>
  <c r="AN24" i="8" s="1"/>
  <c r="AO24" i="8" s="1"/>
  <c r="AP24" i="8" s="1"/>
  <c r="AQ24" i="8" s="1"/>
  <c r="AR24" i="8" s="1"/>
  <c r="AS24" i="8" s="1"/>
  <c r="AT24" i="8" s="1"/>
  <c r="AU26" i="8"/>
  <c r="AU27" i="8"/>
  <c r="AU28" i="8"/>
  <c r="AU29" i="8"/>
  <c r="AK29" i="8" s="1"/>
  <c r="AL29" i="8" s="1"/>
  <c r="AM29" i="8" s="1"/>
  <c r="AN29" i="8" s="1"/>
  <c r="AO29" i="8" s="1"/>
  <c r="AP29" i="8" s="1"/>
  <c r="AQ29" i="8" s="1"/>
  <c r="AR29" i="8" s="1"/>
  <c r="AS29" i="8" s="1"/>
  <c r="AT29" i="8" s="1"/>
  <c r="AU30" i="8"/>
  <c r="AU31" i="8"/>
  <c r="AU33" i="8"/>
  <c r="AU34" i="8"/>
  <c r="AK34" i="8" s="1"/>
  <c r="AL34" i="8" s="1"/>
  <c r="AM34" i="8" s="1"/>
  <c r="AN34" i="8" s="1"/>
  <c r="AO34" i="8" s="1"/>
  <c r="AP34" i="8" s="1"/>
  <c r="AQ34" i="8" s="1"/>
  <c r="AR34" i="8" s="1"/>
  <c r="AS34" i="8" s="1"/>
  <c r="AT34" i="8" s="1"/>
  <c r="AU35" i="8"/>
  <c r="AK35" i="8" s="1"/>
  <c r="AL35" i="8" s="1"/>
  <c r="AM35" i="8" s="1"/>
  <c r="AN35" i="8" s="1"/>
  <c r="AO35" i="8" s="1"/>
  <c r="AP35" i="8" s="1"/>
  <c r="AQ35" i="8" s="1"/>
  <c r="AR35" i="8" s="1"/>
  <c r="AS35" i="8" s="1"/>
  <c r="AT35" i="8" s="1"/>
  <c r="AU36" i="8"/>
  <c r="AU38" i="8"/>
  <c r="AU39" i="8"/>
  <c r="AK39" i="8" s="1"/>
  <c r="AL39" i="8" s="1"/>
  <c r="AM39" i="8" s="1"/>
  <c r="AN39" i="8" s="1"/>
  <c r="AO39" i="8" s="1"/>
  <c r="AP39" i="8" s="1"/>
  <c r="AQ39" i="8" s="1"/>
  <c r="AR39" i="8" s="1"/>
  <c r="AS39" i="8" s="1"/>
  <c r="AT39" i="8" s="1"/>
  <c r="AU40" i="8"/>
  <c r="AU42" i="8"/>
  <c r="AU43" i="8"/>
  <c r="AU46" i="8"/>
  <c r="AK46" i="8" s="1"/>
  <c r="AL46" i="8" s="1"/>
  <c r="AM46" i="8" s="1"/>
  <c r="AN46" i="8" s="1"/>
  <c r="AO46" i="8" s="1"/>
  <c r="AP46" i="8" s="1"/>
  <c r="AQ46" i="8" s="1"/>
  <c r="AR46" i="8" s="1"/>
  <c r="AS46" i="8" s="1"/>
  <c r="AT46" i="8" s="1"/>
  <c r="AU47" i="8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8" i="8"/>
  <c r="AU49" i="8"/>
  <c r="AU50" i="8"/>
  <c r="AK50" i="8" s="1"/>
  <c r="AL50" i="8" s="1"/>
  <c r="AM50" i="8" s="1"/>
  <c r="AN50" i="8" s="1"/>
  <c r="AO50" i="8" s="1"/>
  <c r="AP50" i="8" s="1"/>
  <c r="AQ50" i="8" s="1"/>
  <c r="AR50" i="8" s="1"/>
  <c r="AS50" i="8" s="1"/>
  <c r="AT50" i="8" s="1"/>
  <c r="AU52" i="8"/>
  <c r="AU53" i="8"/>
  <c r="AU54" i="8"/>
  <c r="AU55" i="8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6" i="8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8" i="8"/>
  <c r="AU59" i="8"/>
  <c r="AU60" i="8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1" i="8"/>
  <c r="AU63" i="8"/>
  <c r="AU64" i="8"/>
  <c r="AU67" i="8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8" i="8"/>
  <c r="AK68" i="8" s="1"/>
  <c r="AL68" i="8" s="1"/>
  <c r="AM68" i="8" s="1"/>
  <c r="AN68" i="8" s="1"/>
  <c r="AO68" i="8" s="1"/>
  <c r="AP68" i="8" s="1"/>
  <c r="AQ68" i="8" s="1"/>
  <c r="AR68" i="8" s="1"/>
  <c r="AS68" i="8" s="1"/>
  <c r="AT68" i="8" s="1"/>
  <c r="AU69" i="8"/>
  <c r="AU71" i="8"/>
  <c r="AU72" i="8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3" i="8"/>
  <c r="AU77" i="8"/>
  <c r="AU78" i="8"/>
  <c r="AU79" i="8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80" i="8"/>
  <c r="AK80" i="8" s="1"/>
  <c r="AL80" i="8" s="1"/>
  <c r="AM80" i="8" s="1"/>
  <c r="AN80" i="8" s="1"/>
  <c r="AO80" i="8" s="1"/>
  <c r="AP80" i="8" s="1"/>
  <c r="AQ80" i="8" s="1"/>
  <c r="AR80" i="8" s="1"/>
  <c r="AS80" i="8" s="1"/>
  <c r="AT80" i="8" s="1"/>
  <c r="AU82" i="8"/>
  <c r="AU83" i="8"/>
  <c r="AU84" i="8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5" i="8"/>
  <c r="AU87" i="8"/>
  <c r="AU88" i="8"/>
  <c r="AU90" i="8"/>
  <c r="AK90" i="8" s="1"/>
  <c r="AL90" i="8" s="1"/>
  <c r="AM90" i="8" s="1"/>
  <c r="AU91" i="8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2" i="8"/>
  <c r="AU93" i="8"/>
  <c r="AK9" i="8"/>
  <c r="AK10" i="8"/>
  <c r="AK12" i="8"/>
  <c r="AL12" i="8" s="1"/>
  <c r="AM12" i="8" s="1"/>
  <c r="AN12" i="8" s="1"/>
  <c r="AO12" i="8" s="1"/>
  <c r="AP12" i="8" s="1"/>
  <c r="AQ12" i="8" s="1"/>
  <c r="AR12" i="8" s="1"/>
  <c r="AS12" i="8" s="1"/>
  <c r="AT12" i="8" s="1"/>
  <c r="AK13" i="8"/>
  <c r="AK14" i="8"/>
  <c r="AL14" i="8" s="1"/>
  <c r="AM14" i="8" s="1"/>
  <c r="AN14" i="8" s="1"/>
  <c r="AO14" i="8" s="1"/>
  <c r="AP14" i="8" s="1"/>
  <c r="AQ14" i="8" s="1"/>
  <c r="AR14" i="8" s="1"/>
  <c r="AS14" i="8" s="1"/>
  <c r="AT14" i="8" s="1"/>
  <c r="AK17" i="8"/>
  <c r="AK19" i="8"/>
  <c r="AK21" i="8"/>
  <c r="AL21" i="8" s="1"/>
  <c r="AM21" i="8" s="1"/>
  <c r="AN21" i="8" s="1"/>
  <c r="AO21" i="8" s="1"/>
  <c r="AP21" i="8" s="1"/>
  <c r="AQ21" i="8" s="1"/>
  <c r="AR21" i="8" s="1"/>
  <c r="AS21" i="8" s="1"/>
  <c r="AT21" i="8" s="1"/>
  <c r="AK22" i="8"/>
  <c r="AK23" i="8"/>
  <c r="AK26" i="8"/>
  <c r="AL26" i="8" s="1"/>
  <c r="AM26" i="8" s="1"/>
  <c r="AN26" i="8" s="1"/>
  <c r="AO26" i="8" s="1"/>
  <c r="AP26" i="8" s="1"/>
  <c r="AQ26" i="8" s="1"/>
  <c r="AR26" i="8" s="1"/>
  <c r="AS26" i="8" s="1"/>
  <c r="AT26" i="8" s="1"/>
  <c r="AK27" i="8"/>
  <c r="AK28" i="8"/>
  <c r="AK30" i="8"/>
  <c r="AL30" i="8" s="1"/>
  <c r="AM30" i="8" s="1"/>
  <c r="AN30" i="8" s="1"/>
  <c r="AO30" i="8" s="1"/>
  <c r="AP30" i="8" s="1"/>
  <c r="AQ30" i="8" s="1"/>
  <c r="AR30" i="8" s="1"/>
  <c r="AS30" i="8" s="1"/>
  <c r="AT30" i="8" s="1"/>
  <c r="AK31" i="8"/>
  <c r="AL31" i="8" s="1"/>
  <c r="AM31" i="8" s="1"/>
  <c r="AN31" i="8" s="1"/>
  <c r="AO31" i="8" s="1"/>
  <c r="AP31" i="8" s="1"/>
  <c r="AQ31" i="8" s="1"/>
  <c r="AR31" i="8" s="1"/>
  <c r="AS31" i="8" s="1"/>
  <c r="AT31" i="8" s="1"/>
  <c r="AK33" i="8"/>
  <c r="AK36" i="8"/>
  <c r="AK38" i="8"/>
  <c r="AL38" i="8" s="1"/>
  <c r="AM38" i="8" s="1"/>
  <c r="AN38" i="8" s="1"/>
  <c r="AO38" i="8" s="1"/>
  <c r="AP38" i="8" s="1"/>
  <c r="AQ38" i="8" s="1"/>
  <c r="AR38" i="8" s="1"/>
  <c r="AS38" i="8" s="1"/>
  <c r="AT38" i="8" s="1"/>
  <c r="AK40" i="8"/>
  <c r="AL40" i="8" s="1"/>
  <c r="AM40" i="8" s="1"/>
  <c r="AN40" i="8" s="1"/>
  <c r="AO40" i="8" s="1"/>
  <c r="AP40" i="8" s="1"/>
  <c r="AQ40" i="8" s="1"/>
  <c r="AR40" i="8" s="1"/>
  <c r="AS40" i="8" s="1"/>
  <c r="AT40" i="8" s="1"/>
  <c r="AK42" i="8"/>
  <c r="AK43" i="8"/>
  <c r="AK48" i="8"/>
  <c r="AK49" i="8"/>
  <c r="AK52" i="8"/>
  <c r="AL52" i="8" s="1"/>
  <c r="AM52" i="8" s="1"/>
  <c r="AN52" i="8" s="1"/>
  <c r="AO52" i="8" s="1"/>
  <c r="AP52" i="8" s="1"/>
  <c r="AQ52" i="8" s="1"/>
  <c r="AR52" i="8" s="1"/>
  <c r="AS52" i="8" s="1"/>
  <c r="AT52" i="8" s="1"/>
  <c r="AK53" i="8"/>
  <c r="AL53" i="8" s="1"/>
  <c r="AM53" i="8" s="1"/>
  <c r="AN53" i="8" s="1"/>
  <c r="AO53" i="8" s="1"/>
  <c r="AP53" i="8" s="1"/>
  <c r="AQ53" i="8" s="1"/>
  <c r="AR53" i="8" s="1"/>
  <c r="AS53" i="8" s="1"/>
  <c r="AT53" i="8" s="1"/>
  <c r="AK54" i="8"/>
  <c r="AL54" i="8" s="1"/>
  <c r="AM54" i="8" s="1"/>
  <c r="AN54" i="8" s="1"/>
  <c r="AO54" i="8" s="1"/>
  <c r="AP54" i="8" s="1"/>
  <c r="AQ54" i="8" s="1"/>
  <c r="AR54" i="8" s="1"/>
  <c r="AS54" i="8" s="1"/>
  <c r="AT54" i="8" s="1"/>
  <c r="AK58" i="8"/>
  <c r="AK59" i="8"/>
  <c r="AL59" i="8" s="1"/>
  <c r="AM59" i="8" s="1"/>
  <c r="AN59" i="8" s="1"/>
  <c r="AO59" i="8" s="1"/>
  <c r="AP59" i="8" s="1"/>
  <c r="AQ59" i="8" s="1"/>
  <c r="AR59" i="8" s="1"/>
  <c r="AS59" i="8" s="1"/>
  <c r="AT59" i="8" s="1"/>
  <c r="AK61" i="8"/>
  <c r="AL61" i="8" s="1"/>
  <c r="AM61" i="8" s="1"/>
  <c r="AN61" i="8" s="1"/>
  <c r="AO61" i="8" s="1"/>
  <c r="AP61" i="8" s="1"/>
  <c r="AQ61" i="8" s="1"/>
  <c r="AR61" i="8" s="1"/>
  <c r="AS61" i="8" s="1"/>
  <c r="AT61" i="8" s="1"/>
  <c r="AK63" i="8"/>
  <c r="AK64" i="8"/>
  <c r="AK69" i="8"/>
  <c r="AL69" i="8" s="1"/>
  <c r="AM69" i="8" s="1"/>
  <c r="AN69" i="8" s="1"/>
  <c r="AO69" i="8" s="1"/>
  <c r="AP69" i="8" s="1"/>
  <c r="AQ69" i="8" s="1"/>
  <c r="AR69" i="8" s="1"/>
  <c r="AS69" i="8" s="1"/>
  <c r="AT69" i="8" s="1"/>
  <c r="AK71" i="8"/>
  <c r="AK73" i="8"/>
  <c r="AL73" i="8" s="1"/>
  <c r="AM73" i="8" s="1"/>
  <c r="AN73" i="8" s="1"/>
  <c r="AO73" i="8" s="1"/>
  <c r="AP73" i="8" s="1"/>
  <c r="AQ73" i="8" s="1"/>
  <c r="AR73" i="8" s="1"/>
  <c r="AS73" i="8" s="1"/>
  <c r="AT73" i="8" s="1"/>
  <c r="AK77" i="8"/>
  <c r="AK78" i="8"/>
  <c r="AK82" i="8"/>
  <c r="AL82" i="8" s="1"/>
  <c r="AM82" i="8" s="1"/>
  <c r="AK83" i="8"/>
  <c r="AL83" i="8" s="1"/>
  <c r="AM83" i="8" s="1"/>
  <c r="AN83" i="8" s="1"/>
  <c r="AO83" i="8" s="1"/>
  <c r="AP83" i="8" s="1"/>
  <c r="AQ83" i="8" s="1"/>
  <c r="AR83" i="8" s="1"/>
  <c r="AS83" i="8" s="1"/>
  <c r="AT83" i="8" s="1"/>
  <c r="AK85" i="8"/>
  <c r="AL85" i="8" s="1"/>
  <c r="AM85" i="8" s="1"/>
  <c r="AN85" i="8" s="1"/>
  <c r="AO85" i="8" s="1"/>
  <c r="AP85" i="8" s="1"/>
  <c r="AQ85" i="8" s="1"/>
  <c r="AR85" i="8" s="1"/>
  <c r="AS85" i="8" s="1"/>
  <c r="AT85" i="8" s="1"/>
  <c r="AK87" i="8"/>
  <c r="AK88" i="8"/>
  <c r="AL88" i="8" s="1"/>
  <c r="AM88" i="8" s="1"/>
  <c r="AN88" i="8" s="1"/>
  <c r="AO88" i="8" s="1"/>
  <c r="AP88" i="8" s="1"/>
  <c r="AQ88" i="8" s="1"/>
  <c r="AR88" i="8" s="1"/>
  <c r="AS88" i="8" s="1"/>
  <c r="AT88" i="8" s="1"/>
  <c r="AK92" i="8"/>
  <c r="AK93" i="8"/>
  <c r="AL9" i="8"/>
  <c r="AM9" i="8" s="1"/>
  <c r="AN9" i="8" s="1"/>
  <c r="AO9" i="8" s="1"/>
  <c r="AP9" i="8" s="1"/>
  <c r="AQ9" i="8" s="1"/>
  <c r="AR9" i="8" s="1"/>
  <c r="AS9" i="8" s="1"/>
  <c r="AT9" i="8" s="1"/>
  <c r="AL10" i="8"/>
  <c r="AM10" i="8" s="1"/>
  <c r="AN10" i="8" s="1"/>
  <c r="AO10" i="8" s="1"/>
  <c r="AP10" i="8" s="1"/>
  <c r="AQ10" i="8" s="1"/>
  <c r="AR10" i="8" s="1"/>
  <c r="AS10" i="8" s="1"/>
  <c r="AT10" i="8" s="1"/>
  <c r="AL13" i="8"/>
  <c r="AM13" i="8" s="1"/>
  <c r="AN13" i="8" s="1"/>
  <c r="AO13" i="8" s="1"/>
  <c r="AP13" i="8" s="1"/>
  <c r="AQ13" i="8" s="1"/>
  <c r="AR13" i="8" s="1"/>
  <c r="AS13" i="8" s="1"/>
  <c r="AT13" i="8" s="1"/>
  <c r="AL17" i="8"/>
  <c r="AM17" i="8" s="1"/>
  <c r="AN17" i="8" s="1"/>
  <c r="AO17" i="8" s="1"/>
  <c r="AP17" i="8" s="1"/>
  <c r="AQ17" i="8" s="1"/>
  <c r="AR17" i="8" s="1"/>
  <c r="AS17" i="8" s="1"/>
  <c r="AT17" i="8" s="1"/>
  <c r="AL19" i="8"/>
  <c r="AM19" i="8" s="1"/>
  <c r="AN19" i="8" s="1"/>
  <c r="AO19" i="8" s="1"/>
  <c r="AP19" i="8" s="1"/>
  <c r="AQ19" i="8" s="1"/>
  <c r="AR19" i="8" s="1"/>
  <c r="AS19" i="8" s="1"/>
  <c r="AT19" i="8" s="1"/>
  <c r="AL22" i="8"/>
  <c r="AM22" i="8" s="1"/>
  <c r="AN22" i="8" s="1"/>
  <c r="AO22" i="8" s="1"/>
  <c r="AP22" i="8" s="1"/>
  <c r="AQ22" i="8" s="1"/>
  <c r="AR22" i="8" s="1"/>
  <c r="AS22" i="8" s="1"/>
  <c r="AT22" i="8" s="1"/>
  <c r="AL23" i="8"/>
  <c r="AM23" i="8" s="1"/>
  <c r="AN23" i="8" s="1"/>
  <c r="AO23" i="8" s="1"/>
  <c r="AP23" i="8" s="1"/>
  <c r="AQ23" i="8" s="1"/>
  <c r="AR23" i="8" s="1"/>
  <c r="AS23" i="8" s="1"/>
  <c r="AT23" i="8" s="1"/>
  <c r="AL27" i="8"/>
  <c r="AM27" i="8" s="1"/>
  <c r="AN27" i="8" s="1"/>
  <c r="AO27" i="8" s="1"/>
  <c r="AP27" i="8" s="1"/>
  <c r="AQ27" i="8" s="1"/>
  <c r="AR27" i="8" s="1"/>
  <c r="AS27" i="8" s="1"/>
  <c r="AT27" i="8" s="1"/>
  <c r="AL28" i="8"/>
  <c r="AM28" i="8" s="1"/>
  <c r="AN28" i="8" s="1"/>
  <c r="AO28" i="8" s="1"/>
  <c r="AP28" i="8" s="1"/>
  <c r="AQ28" i="8" s="1"/>
  <c r="AR28" i="8" s="1"/>
  <c r="AS28" i="8" s="1"/>
  <c r="AT28" i="8" s="1"/>
  <c r="AL33" i="8"/>
  <c r="AM33" i="8" s="1"/>
  <c r="AN33" i="8" s="1"/>
  <c r="AO33" i="8" s="1"/>
  <c r="AP33" i="8" s="1"/>
  <c r="AQ33" i="8" s="1"/>
  <c r="AR33" i="8" s="1"/>
  <c r="AS33" i="8" s="1"/>
  <c r="AT33" i="8" s="1"/>
  <c r="AL36" i="8"/>
  <c r="AM36" i="8" s="1"/>
  <c r="AN36" i="8" s="1"/>
  <c r="AO36" i="8" s="1"/>
  <c r="AP36" i="8" s="1"/>
  <c r="AQ36" i="8" s="1"/>
  <c r="AR36" i="8" s="1"/>
  <c r="AS36" i="8" s="1"/>
  <c r="AT36" i="8" s="1"/>
  <c r="AL42" i="8"/>
  <c r="AM42" i="8"/>
  <c r="AN42" i="8" s="1"/>
  <c r="AO42" i="8" s="1"/>
  <c r="AP42" i="8" s="1"/>
  <c r="AQ42" i="8" s="1"/>
  <c r="AR42" i="8" s="1"/>
  <c r="AS42" i="8" s="1"/>
  <c r="AT42" i="8" s="1"/>
  <c r="AL43" i="8"/>
  <c r="AM43" i="8" s="1"/>
  <c r="AN43" i="8" s="1"/>
  <c r="AO43" i="8" s="1"/>
  <c r="AP43" i="8" s="1"/>
  <c r="AQ43" i="8" s="1"/>
  <c r="AR43" i="8" s="1"/>
  <c r="AS43" i="8" s="1"/>
  <c r="AT43" i="8" s="1"/>
  <c r="AL48" i="8"/>
  <c r="AM48" i="8" s="1"/>
  <c r="AN48" i="8" s="1"/>
  <c r="AO48" i="8" s="1"/>
  <c r="AP48" i="8" s="1"/>
  <c r="AQ48" i="8" s="1"/>
  <c r="AR48" i="8" s="1"/>
  <c r="AS48" i="8" s="1"/>
  <c r="AT48" i="8" s="1"/>
  <c r="AL49" i="8"/>
  <c r="AM49" i="8" s="1"/>
  <c r="AN49" i="8" s="1"/>
  <c r="AO49" i="8" s="1"/>
  <c r="AP49" i="8" s="1"/>
  <c r="AQ49" i="8" s="1"/>
  <c r="AR49" i="8" s="1"/>
  <c r="AS49" i="8" s="1"/>
  <c r="AT49" i="8" s="1"/>
  <c r="AL58" i="8"/>
  <c r="AM58" i="8" s="1"/>
  <c r="AN58" i="8" s="1"/>
  <c r="AO58" i="8" s="1"/>
  <c r="AP58" i="8" s="1"/>
  <c r="AQ58" i="8" s="1"/>
  <c r="AR58" i="8" s="1"/>
  <c r="AS58" i="8" s="1"/>
  <c r="AT58" i="8" s="1"/>
  <c r="AL63" i="8"/>
  <c r="AM63" i="8"/>
  <c r="AN63" i="8" s="1"/>
  <c r="AO63" i="8" s="1"/>
  <c r="AP63" i="8" s="1"/>
  <c r="AQ63" i="8" s="1"/>
  <c r="AR63" i="8" s="1"/>
  <c r="AS63" i="8" s="1"/>
  <c r="AT63" i="8" s="1"/>
  <c r="AL64" i="8"/>
  <c r="AM64" i="8" s="1"/>
  <c r="AN64" i="8" s="1"/>
  <c r="AO64" i="8" s="1"/>
  <c r="AP64" i="8" s="1"/>
  <c r="AQ64" i="8" s="1"/>
  <c r="AR64" i="8" s="1"/>
  <c r="AS64" i="8" s="1"/>
  <c r="AT64" i="8" s="1"/>
  <c r="AL71" i="8"/>
  <c r="AM71" i="8" s="1"/>
  <c r="AN71" i="8" s="1"/>
  <c r="AO71" i="8" s="1"/>
  <c r="AP71" i="8" s="1"/>
  <c r="AQ71" i="8" s="1"/>
  <c r="AR71" i="8" s="1"/>
  <c r="AS71" i="8" s="1"/>
  <c r="AT71" i="8" s="1"/>
  <c r="AL77" i="8"/>
  <c r="AM77" i="8" s="1"/>
  <c r="AL78" i="8"/>
  <c r="AM78" i="8" s="1"/>
  <c r="AN78" i="8" s="1"/>
  <c r="AO78" i="8" s="1"/>
  <c r="AP78" i="8" s="1"/>
  <c r="AQ78" i="8" s="1"/>
  <c r="AR78" i="8" s="1"/>
  <c r="AS78" i="8" s="1"/>
  <c r="AT78" i="8" s="1"/>
  <c r="AL87" i="8"/>
  <c r="AM87" i="8"/>
  <c r="AN87" i="8" s="1"/>
  <c r="AO87" i="8" s="1"/>
  <c r="AP87" i="8" s="1"/>
  <c r="AQ87" i="8" s="1"/>
  <c r="AR87" i="8" s="1"/>
  <c r="AS87" i="8" s="1"/>
  <c r="AT87" i="8" s="1"/>
  <c r="AL92" i="8"/>
  <c r="AM92" i="8" s="1"/>
  <c r="AN92" i="8" s="1"/>
  <c r="AO92" i="8" s="1"/>
  <c r="AP92" i="8" s="1"/>
  <c r="AQ92" i="8" s="1"/>
  <c r="AR92" i="8" s="1"/>
  <c r="AS92" i="8" s="1"/>
  <c r="AT92" i="8" s="1"/>
  <c r="AL93" i="8"/>
  <c r="AM93" i="8" s="1"/>
  <c r="AI118" i="7"/>
  <c r="AJ118" i="7" s="1"/>
  <c r="AK118" i="7" s="1"/>
  <c r="AL118" i="7" s="1"/>
  <c r="AM118" i="7" s="1"/>
  <c r="AN118" i="7" s="1"/>
  <c r="AO118" i="7" s="1"/>
  <c r="AP118" i="7" s="1"/>
  <c r="AQ118" i="7" s="1"/>
  <c r="AI119" i="7"/>
  <c r="AJ119" i="7" s="1"/>
  <c r="AK119" i="7" s="1"/>
  <c r="AL119" i="7" s="1"/>
  <c r="AM119" i="7" s="1"/>
  <c r="AN119" i="7" s="1"/>
  <c r="AO119" i="7" s="1"/>
  <c r="AP119" i="7" s="1"/>
  <c r="AQ119" i="7" s="1"/>
  <c r="AM120" i="7"/>
  <c r="AN120" i="7" s="1"/>
  <c r="AO120" i="7" s="1"/>
  <c r="AP120" i="7" s="1"/>
  <c r="AQ120" i="7" s="1"/>
  <c r="AI125" i="7"/>
  <c r="AJ125" i="7" s="1"/>
  <c r="AK125" i="7" s="1"/>
  <c r="AL125" i="7" s="1"/>
  <c r="AM125" i="7" s="1"/>
  <c r="AN125" i="7" s="1"/>
  <c r="AO125" i="7" s="1"/>
  <c r="AP125" i="7" s="1"/>
  <c r="AQ125" i="7" s="1"/>
  <c r="AN127" i="7"/>
  <c r="AO127" i="7" s="1"/>
  <c r="AP127" i="7" s="1"/>
  <c r="AQ127" i="7" s="1"/>
  <c r="AI128" i="7"/>
  <c r="AJ128" i="7" s="1"/>
  <c r="AK128" i="7" s="1"/>
  <c r="AL128" i="7" s="1"/>
  <c r="AM128" i="7" s="1"/>
  <c r="AN128" i="7" s="1"/>
  <c r="AO128" i="7" s="1"/>
  <c r="AP128" i="7" s="1"/>
  <c r="AQ128" i="7" s="1"/>
  <c r="AI129" i="7"/>
  <c r="AJ129" i="7"/>
  <c r="AK129" i="7" s="1"/>
  <c r="AL129" i="7" s="1"/>
  <c r="AM129" i="7" s="1"/>
  <c r="AN129" i="7" s="1"/>
  <c r="AO129" i="7" s="1"/>
  <c r="AP129" i="7" s="1"/>
  <c r="AQ129" i="7" s="1"/>
  <c r="AI130" i="7"/>
  <c r="AJ130" i="7"/>
  <c r="AK130" i="7" s="1"/>
  <c r="AL130" i="7" s="1"/>
  <c r="AM130" i="7" s="1"/>
  <c r="AN130" i="7" s="1"/>
  <c r="AO130" i="7" s="1"/>
  <c r="AP130" i="7" s="1"/>
  <c r="AQ130" i="7" s="1"/>
  <c r="AQ132" i="7"/>
  <c r="AI133" i="7"/>
  <c r="AJ133" i="7" s="1"/>
  <c r="AK133" i="7" s="1"/>
  <c r="AL133" i="7" s="1"/>
  <c r="AM133" i="7" s="1"/>
  <c r="AN133" i="7" s="1"/>
  <c r="AO133" i="7" s="1"/>
  <c r="AP133" i="7" s="1"/>
  <c r="AQ133" i="7" s="1"/>
  <c r="AI137" i="7"/>
  <c r="AJ137" i="7" s="1"/>
  <c r="AK137" i="7" s="1"/>
  <c r="AL137" i="7" s="1"/>
  <c r="AM137" i="7" s="1"/>
  <c r="AN137" i="7" s="1"/>
  <c r="AO137" i="7" s="1"/>
  <c r="AP137" i="7" s="1"/>
  <c r="AQ137" i="7" s="1"/>
  <c r="AI138" i="7"/>
  <c r="AJ138" i="7" s="1"/>
  <c r="AK138" i="7" s="1"/>
  <c r="AL138" i="7" s="1"/>
  <c r="AM138" i="7" s="1"/>
  <c r="AN138" i="7" s="1"/>
  <c r="AO138" i="7" s="1"/>
  <c r="AP138" i="7" s="1"/>
  <c r="AQ138" i="7" s="1"/>
  <c r="AI139" i="7"/>
  <c r="AJ139" i="7" s="1"/>
  <c r="AK139" i="7" s="1"/>
  <c r="AL139" i="7" s="1"/>
  <c r="AM139" i="7" s="1"/>
  <c r="AN139" i="7" s="1"/>
  <c r="AO139" i="7" s="1"/>
  <c r="AP139" i="7" s="1"/>
  <c r="AQ139" i="7" s="1"/>
  <c r="AM140" i="7"/>
  <c r="AN140" i="7" s="1"/>
  <c r="AO140" i="7" s="1"/>
  <c r="AP140" i="7" s="1"/>
  <c r="AQ140" i="7" s="1"/>
  <c r="AO142" i="7"/>
  <c r="AP142" i="7" s="1"/>
  <c r="AQ142" i="7" s="1"/>
  <c r="AI143" i="7"/>
  <c r="AJ143" i="7" s="1"/>
  <c r="AK143" i="7" s="1"/>
  <c r="AL143" i="7" s="1"/>
  <c r="AM143" i="7" s="1"/>
  <c r="AN143" i="7" s="1"/>
  <c r="AO143" i="7" s="1"/>
  <c r="AP143" i="7" s="1"/>
  <c r="AQ143" i="7" s="1"/>
  <c r="AI144" i="7"/>
  <c r="AJ144" i="7" s="1"/>
  <c r="AK144" i="7" s="1"/>
  <c r="AL144" i="7" s="1"/>
  <c r="AM144" i="7" s="1"/>
  <c r="AN144" i="7" s="1"/>
  <c r="AO144" i="7" s="1"/>
  <c r="AP144" i="7" s="1"/>
  <c r="AQ144" i="7" s="1"/>
  <c r="AP145" i="7"/>
  <c r="AQ145" i="7" s="1"/>
  <c r="AH124" i="7"/>
  <c r="AI124" i="7" s="1"/>
  <c r="AJ124" i="7" s="1"/>
  <c r="AK124" i="7" s="1"/>
  <c r="AL124" i="7" s="1"/>
  <c r="AM124" i="7" s="1"/>
  <c r="AN124" i="7" s="1"/>
  <c r="AO124" i="7" s="1"/>
  <c r="AP124" i="7" s="1"/>
  <c r="AQ124" i="7" s="1"/>
  <c r="AH125" i="7"/>
  <c r="AH126" i="7"/>
  <c r="AI126" i="7" s="1"/>
  <c r="AJ126" i="7" s="1"/>
  <c r="AK126" i="7" s="1"/>
  <c r="AL126" i="7" s="1"/>
  <c r="AM126" i="7" s="1"/>
  <c r="AN126" i="7" s="1"/>
  <c r="AO126" i="7" s="1"/>
  <c r="AP126" i="7" s="1"/>
  <c r="AQ126" i="7" s="1"/>
  <c r="AH127" i="7"/>
  <c r="AI127" i="7" s="1"/>
  <c r="AJ127" i="7" s="1"/>
  <c r="AK127" i="7" s="1"/>
  <c r="AL127" i="7" s="1"/>
  <c r="AM127" i="7" s="1"/>
  <c r="AH128" i="7"/>
  <c r="AH129" i="7"/>
  <c r="AH130" i="7"/>
  <c r="AH131" i="7"/>
  <c r="AI131" i="7" s="1"/>
  <c r="AJ131" i="7" s="1"/>
  <c r="AK131" i="7" s="1"/>
  <c r="AL131" i="7" s="1"/>
  <c r="AM131" i="7" s="1"/>
  <c r="AN131" i="7" s="1"/>
  <c r="AO131" i="7" s="1"/>
  <c r="AP131" i="7" s="1"/>
  <c r="AQ131" i="7" s="1"/>
  <c r="AH132" i="7"/>
  <c r="AI132" i="7" s="1"/>
  <c r="AJ132" i="7" s="1"/>
  <c r="AK132" i="7" s="1"/>
  <c r="AL132" i="7" s="1"/>
  <c r="AM132" i="7" s="1"/>
  <c r="AN132" i="7" s="1"/>
  <c r="AO132" i="7" s="1"/>
  <c r="AP132" i="7" s="1"/>
  <c r="AH133" i="7"/>
  <c r="AH136" i="7"/>
  <c r="AI136" i="7" s="1"/>
  <c r="AJ136" i="7" s="1"/>
  <c r="AK136" i="7" s="1"/>
  <c r="AL136" i="7" s="1"/>
  <c r="AM136" i="7" s="1"/>
  <c r="AN136" i="7" s="1"/>
  <c r="AO136" i="7" s="1"/>
  <c r="AP136" i="7" s="1"/>
  <c r="AQ136" i="7" s="1"/>
  <c r="AH137" i="7"/>
  <c r="AH138" i="7"/>
  <c r="AH139" i="7"/>
  <c r="AH140" i="7"/>
  <c r="AI140" i="7" s="1"/>
  <c r="AJ140" i="7" s="1"/>
  <c r="AK140" i="7" s="1"/>
  <c r="AL140" i="7" s="1"/>
  <c r="AH141" i="7"/>
  <c r="AI141" i="7" s="1"/>
  <c r="AJ141" i="7" s="1"/>
  <c r="AK141" i="7" s="1"/>
  <c r="AL141" i="7" s="1"/>
  <c r="AM141" i="7" s="1"/>
  <c r="AN141" i="7" s="1"/>
  <c r="AO141" i="7" s="1"/>
  <c r="AP141" i="7" s="1"/>
  <c r="AQ141" i="7" s="1"/>
  <c r="AH142" i="7"/>
  <c r="AI142" i="7" s="1"/>
  <c r="AJ142" i="7" s="1"/>
  <c r="AK142" i="7" s="1"/>
  <c r="AL142" i="7" s="1"/>
  <c r="AM142" i="7" s="1"/>
  <c r="AN142" i="7" s="1"/>
  <c r="AH143" i="7"/>
  <c r="AH144" i="7"/>
  <c r="AH145" i="7"/>
  <c r="AI145" i="7" s="1"/>
  <c r="AJ145" i="7" s="1"/>
  <c r="AK145" i="7" s="1"/>
  <c r="AL145" i="7" s="1"/>
  <c r="AM145" i="7" s="1"/>
  <c r="AN145" i="7" s="1"/>
  <c r="AO145" i="7" s="1"/>
  <c r="AH118" i="7"/>
  <c r="AH119" i="7"/>
  <c r="AH120" i="7"/>
  <c r="AI120" i="7" s="1"/>
  <c r="AJ120" i="7" s="1"/>
  <c r="AK120" i="7" s="1"/>
  <c r="AL120" i="7" s="1"/>
  <c r="AH121" i="7"/>
  <c r="AI121" i="7" s="1"/>
  <c r="AJ121" i="7" s="1"/>
  <c r="AK121" i="7" s="1"/>
  <c r="AL121" i="7" s="1"/>
  <c r="AM121" i="7" s="1"/>
  <c r="AN121" i="7" s="1"/>
  <c r="AO121" i="7" s="1"/>
  <c r="AP121" i="7" s="1"/>
  <c r="AQ121" i="7" s="1"/>
  <c r="AH117" i="7"/>
  <c r="AI117" i="7" s="1"/>
  <c r="AJ117" i="7" s="1"/>
  <c r="AK117" i="7" s="1"/>
  <c r="AL117" i="7" s="1"/>
  <c r="AM117" i="7" s="1"/>
  <c r="AN117" i="7" s="1"/>
  <c r="AO117" i="7" s="1"/>
  <c r="AP117" i="7" s="1"/>
  <c r="AQ117" i="7" s="1"/>
  <c r="AI114" i="7"/>
  <c r="AJ114" i="7" s="1"/>
  <c r="AK114" i="7" s="1"/>
  <c r="AL114" i="7" s="1"/>
  <c r="AM114" i="7" s="1"/>
  <c r="AN114" i="7" s="1"/>
  <c r="AO114" i="7" s="1"/>
  <c r="AP114" i="7" s="1"/>
  <c r="AQ114" i="7" s="1"/>
  <c r="AH114" i="7"/>
  <c r="AH113" i="7"/>
  <c r="AI113" i="7" s="1"/>
  <c r="AJ113" i="7" s="1"/>
  <c r="AK113" i="7" s="1"/>
  <c r="AL113" i="7" s="1"/>
  <c r="AM113" i="7" s="1"/>
  <c r="AN113" i="7" s="1"/>
  <c r="AO113" i="7" s="1"/>
  <c r="AP113" i="7" s="1"/>
  <c r="AQ113" i="7" s="1"/>
  <c r="AI19" i="7"/>
  <c r="AJ19" i="7" s="1"/>
  <c r="AK19" i="7" s="1"/>
  <c r="AL19" i="7" s="1"/>
  <c r="AM19" i="7" s="1"/>
  <c r="AN19" i="7" s="1"/>
  <c r="AO19" i="7" s="1"/>
  <c r="AP19" i="7" s="1"/>
  <c r="AQ19" i="7" s="1"/>
  <c r="AI22" i="7"/>
  <c r="AJ22" i="7" s="1"/>
  <c r="AK22" i="7" s="1"/>
  <c r="AL22" i="7" s="1"/>
  <c r="AM22" i="7" s="1"/>
  <c r="AN22" i="7" s="1"/>
  <c r="AO22" i="7" s="1"/>
  <c r="AP22" i="7" s="1"/>
  <c r="AQ22" i="7" s="1"/>
  <c r="AI26" i="7"/>
  <c r="AJ26" i="7" s="1"/>
  <c r="AK26" i="7"/>
  <c r="AL26" i="7" s="1"/>
  <c r="AM26" i="7" s="1"/>
  <c r="AN26" i="7" s="1"/>
  <c r="AO26" i="7" s="1"/>
  <c r="AP26" i="7" s="1"/>
  <c r="AQ26" i="7" s="1"/>
  <c r="AI29" i="7"/>
  <c r="AJ29" i="7" s="1"/>
  <c r="AK29" i="7" s="1"/>
  <c r="AL29" i="7" s="1"/>
  <c r="AM29" i="7" s="1"/>
  <c r="AN29" i="7" s="1"/>
  <c r="AO29" i="7" s="1"/>
  <c r="AP29" i="7" s="1"/>
  <c r="AQ29" i="7" s="1"/>
  <c r="AI40" i="7"/>
  <c r="AJ40" i="7" s="1"/>
  <c r="AK40" i="7" s="1"/>
  <c r="AL40" i="7" s="1"/>
  <c r="AM40" i="7" s="1"/>
  <c r="AN40" i="7" s="1"/>
  <c r="AO40" i="7" s="1"/>
  <c r="AP40" i="7" s="1"/>
  <c r="AQ40" i="7" s="1"/>
  <c r="AI48" i="7"/>
  <c r="AJ48" i="7"/>
  <c r="AK48" i="7" s="1"/>
  <c r="AL48" i="7" s="1"/>
  <c r="AM48" i="7" s="1"/>
  <c r="AN48" i="7" s="1"/>
  <c r="AO48" i="7" s="1"/>
  <c r="AP48" i="7" s="1"/>
  <c r="AQ48" i="7" s="1"/>
  <c r="AI53" i="7"/>
  <c r="AI55" i="7"/>
  <c r="AI25" i="6" s="1"/>
  <c r="AJ56" i="7"/>
  <c r="AK56" i="7" s="1"/>
  <c r="AL56" i="7" s="1"/>
  <c r="AM56" i="7" s="1"/>
  <c r="AN56" i="7" s="1"/>
  <c r="AO56" i="7" s="1"/>
  <c r="AP56" i="7" s="1"/>
  <c r="AQ56" i="7" s="1"/>
  <c r="AI58" i="7"/>
  <c r="AJ58" i="7" s="1"/>
  <c r="AK58" i="7" s="1"/>
  <c r="AL58" i="7"/>
  <c r="AM58" i="7" s="1"/>
  <c r="AN58" i="7" s="1"/>
  <c r="AO58" i="7" s="1"/>
  <c r="AP58" i="7" s="1"/>
  <c r="AQ58" i="7" s="1"/>
  <c r="AI63" i="7"/>
  <c r="AI64" i="7"/>
  <c r="AJ64" i="7" s="1"/>
  <c r="AK64" i="7" s="1"/>
  <c r="AL64" i="7" s="1"/>
  <c r="AM64" i="7"/>
  <c r="AN64" i="7" s="1"/>
  <c r="AO64" i="7" s="1"/>
  <c r="AP64" i="7" s="1"/>
  <c r="AQ64" i="7" s="1"/>
  <c r="AI65" i="7"/>
  <c r="AJ65" i="7" s="1"/>
  <c r="AK65" i="7" s="1"/>
  <c r="AL65" i="7" s="1"/>
  <c r="AM65" i="7" s="1"/>
  <c r="AN65" i="7" s="1"/>
  <c r="AO65" i="7" s="1"/>
  <c r="AP65" i="7" s="1"/>
  <c r="AQ65" i="7" s="1"/>
  <c r="AI68" i="7"/>
  <c r="AJ68" i="7" s="1"/>
  <c r="AK68" i="7" s="1"/>
  <c r="AL68" i="7" s="1"/>
  <c r="AM68" i="7" s="1"/>
  <c r="AN68" i="7" s="1"/>
  <c r="AO68" i="7" s="1"/>
  <c r="AP68" i="7" s="1"/>
  <c r="AQ68" i="7" s="1"/>
  <c r="AM72" i="7"/>
  <c r="AN72" i="7" s="1"/>
  <c r="AO72" i="7" s="1"/>
  <c r="AP72" i="7" s="1"/>
  <c r="AQ72" i="7" s="1"/>
  <c r="AI83" i="7"/>
  <c r="AJ83" i="7" s="1"/>
  <c r="AK83" i="7" s="1"/>
  <c r="AL83" i="7" s="1"/>
  <c r="AM83" i="7" s="1"/>
  <c r="AN83" i="7"/>
  <c r="AO83" i="7" s="1"/>
  <c r="AP83" i="7" s="1"/>
  <c r="AQ83" i="7" s="1"/>
  <c r="AI84" i="7"/>
  <c r="AJ84" i="7" s="1"/>
  <c r="AK84" i="7" s="1"/>
  <c r="AL84" i="7" s="1"/>
  <c r="AM84" i="7" s="1"/>
  <c r="AN84" i="7" s="1"/>
  <c r="AO84" i="7" s="1"/>
  <c r="AP84" i="7" s="1"/>
  <c r="AQ84" i="7" s="1"/>
  <c r="AI85" i="7"/>
  <c r="AJ85" i="7" s="1"/>
  <c r="AK85" i="7" s="1"/>
  <c r="AL85" i="7" s="1"/>
  <c r="AM85" i="7" s="1"/>
  <c r="AN85" i="7" s="1"/>
  <c r="AO85" i="7" s="1"/>
  <c r="AP85" i="7" s="1"/>
  <c r="AQ85" i="7" s="1"/>
  <c r="AI87" i="7"/>
  <c r="AJ87" i="7" s="1"/>
  <c r="AK87" i="7" s="1"/>
  <c r="AL87" i="7" s="1"/>
  <c r="AM87" i="7" s="1"/>
  <c r="AN87" i="7" s="1"/>
  <c r="AO87" i="7" s="1"/>
  <c r="AP87" i="7" s="1"/>
  <c r="AQ87" i="7" s="1"/>
  <c r="AI88" i="7"/>
  <c r="AJ88" i="7" s="1"/>
  <c r="AK88" i="7" s="1"/>
  <c r="AL88" i="7" s="1"/>
  <c r="AM88" i="7" s="1"/>
  <c r="AN88" i="7" s="1"/>
  <c r="AO88" i="7" s="1"/>
  <c r="AP88" i="7" s="1"/>
  <c r="AQ88" i="7" s="1"/>
  <c r="AI91" i="7"/>
  <c r="AJ91" i="7"/>
  <c r="AK91" i="7" s="1"/>
  <c r="AL91" i="7" s="1"/>
  <c r="AM91" i="7" s="1"/>
  <c r="AN91" i="7" s="1"/>
  <c r="AO91" i="7" s="1"/>
  <c r="AP91" i="7" s="1"/>
  <c r="AQ91" i="7" s="1"/>
  <c r="AI93" i="7"/>
  <c r="AJ93" i="7" s="1"/>
  <c r="AK93" i="7" s="1"/>
  <c r="AL93" i="7" s="1"/>
  <c r="AM93" i="7" s="1"/>
  <c r="AN93" i="7" s="1"/>
  <c r="AO93" i="7" s="1"/>
  <c r="AP93" i="7" s="1"/>
  <c r="AQ93" i="7" s="1"/>
  <c r="AI95" i="7"/>
  <c r="AJ95" i="7" s="1"/>
  <c r="AK95" i="7" s="1"/>
  <c r="AL95" i="7" s="1"/>
  <c r="AM95" i="7" s="1"/>
  <c r="AN95" i="7" s="1"/>
  <c r="AO95" i="7" s="1"/>
  <c r="AP95" i="7" s="1"/>
  <c r="AQ95" i="7" s="1"/>
  <c r="AI98" i="7"/>
  <c r="AJ98" i="7" s="1"/>
  <c r="AK98" i="7" s="1"/>
  <c r="AL98" i="7" s="1"/>
  <c r="AM98" i="7" s="1"/>
  <c r="AN98" i="7" s="1"/>
  <c r="AO98" i="7" s="1"/>
  <c r="AP98" i="7" s="1"/>
  <c r="AQ98" i="7" s="1"/>
  <c r="AI99" i="7"/>
  <c r="AJ99" i="7"/>
  <c r="AK99" i="7" s="1"/>
  <c r="AL99" i="7" s="1"/>
  <c r="AM99" i="7" s="1"/>
  <c r="AN99" i="7" s="1"/>
  <c r="AO99" i="7" s="1"/>
  <c r="AP99" i="7" s="1"/>
  <c r="AQ99" i="7" s="1"/>
  <c r="AK102" i="7"/>
  <c r="AL102" i="7" s="1"/>
  <c r="AM102" i="7" s="1"/>
  <c r="AN102" i="7" s="1"/>
  <c r="AO102" i="7" s="1"/>
  <c r="AP102" i="7" s="1"/>
  <c r="AQ102" i="7" s="1"/>
  <c r="AK103" i="7"/>
  <c r="AL103" i="7" s="1"/>
  <c r="AM103" i="7" s="1"/>
  <c r="AN103" i="7" s="1"/>
  <c r="AO103" i="7" s="1"/>
  <c r="AP103" i="7" s="1"/>
  <c r="AQ103" i="7" s="1"/>
  <c r="AI106" i="7"/>
  <c r="AJ106" i="7" s="1"/>
  <c r="AK106" i="7" s="1"/>
  <c r="AL106" i="7" s="1"/>
  <c r="AM106" i="7" s="1"/>
  <c r="AN106" i="7" s="1"/>
  <c r="AO106" i="7" s="1"/>
  <c r="AP106" i="7" s="1"/>
  <c r="AQ106" i="7" s="1"/>
  <c r="AI107" i="7"/>
  <c r="AJ107" i="7" s="1"/>
  <c r="AK107" i="7" s="1"/>
  <c r="AL107" i="7" s="1"/>
  <c r="AM107" i="7" s="1"/>
  <c r="AN107" i="7" s="1"/>
  <c r="AO107" i="7" s="1"/>
  <c r="AP107" i="7" s="1"/>
  <c r="AQ107" i="7" s="1"/>
  <c r="AJ108" i="7"/>
  <c r="AK108" i="7" s="1"/>
  <c r="AL108" i="7" s="1"/>
  <c r="AM108" i="7" s="1"/>
  <c r="AN108" i="7" s="1"/>
  <c r="AO108" i="7" s="1"/>
  <c r="AP108" i="7" s="1"/>
  <c r="AQ108" i="7" s="1"/>
  <c r="AK110" i="7"/>
  <c r="AL110" i="7" s="1"/>
  <c r="AM110" i="7" s="1"/>
  <c r="AN110" i="7" s="1"/>
  <c r="AO110" i="7" s="1"/>
  <c r="AP110" i="7" s="1"/>
  <c r="AQ110" i="7" s="1"/>
  <c r="AH82" i="7"/>
  <c r="AI82" i="7" s="1"/>
  <c r="AJ82" i="7" s="1"/>
  <c r="AK82" i="7" s="1"/>
  <c r="AL82" i="7" s="1"/>
  <c r="AM82" i="7" s="1"/>
  <c r="AN82" i="7" s="1"/>
  <c r="AO82" i="7" s="1"/>
  <c r="AP82" i="7" s="1"/>
  <c r="AQ82" i="7" s="1"/>
  <c r="AH83" i="7"/>
  <c r="AH84" i="7"/>
  <c r="AH85" i="7"/>
  <c r="AH86" i="7"/>
  <c r="AI86" i="7" s="1"/>
  <c r="AJ86" i="7" s="1"/>
  <c r="AK86" i="7" s="1"/>
  <c r="AL86" i="7" s="1"/>
  <c r="AM86" i="7" s="1"/>
  <c r="AN86" i="7" s="1"/>
  <c r="AO86" i="7" s="1"/>
  <c r="AP86" i="7" s="1"/>
  <c r="AQ86" i="7" s="1"/>
  <c r="AH87" i="7"/>
  <c r="AH88" i="7"/>
  <c r="AH89" i="7"/>
  <c r="AI89" i="7" s="1"/>
  <c r="AJ89" i="7" s="1"/>
  <c r="AK89" i="7" s="1"/>
  <c r="AL89" i="7" s="1"/>
  <c r="AM89" i="7" s="1"/>
  <c r="AN89" i="7" s="1"/>
  <c r="AO89" i="7" s="1"/>
  <c r="AP89" i="7" s="1"/>
  <c r="AQ89" i="7" s="1"/>
  <c r="AH90" i="7"/>
  <c r="AI90" i="7" s="1"/>
  <c r="AJ90" i="7" s="1"/>
  <c r="AK90" i="7" s="1"/>
  <c r="AL90" i="7" s="1"/>
  <c r="AM90" i="7" s="1"/>
  <c r="AN90" i="7" s="1"/>
  <c r="AO90" i="7" s="1"/>
  <c r="AP90" i="7" s="1"/>
  <c r="AQ90" i="7" s="1"/>
  <c r="AH91" i="7"/>
  <c r="AH92" i="7"/>
  <c r="AI92" i="7" s="1"/>
  <c r="AJ92" i="7" s="1"/>
  <c r="AK92" i="7" s="1"/>
  <c r="AL92" i="7" s="1"/>
  <c r="AM92" i="7" s="1"/>
  <c r="AN92" i="7" s="1"/>
  <c r="AO92" i="7" s="1"/>
  <c r="AP92" i="7" s="1"/>
  <c r="AQ92" i="7" s="1"/>
  <c r="AH93" i="7"/>
  <c r="AH95" i="7"/>
  <c r="AH98" i="7"/>
  <c r="AH99" i="7"/>
  <c r="AH100" i="7"/>
  <c r="AI100" i="7" s="1"/>
  <c r="AJ100" i="7" s="1"/>
  <c r="AK100" i="7" s="1"/>
  <c r="AL100" i="7" s="1"/>
  <c r="AM100" i="7" s="1"/>
  <c r="AN100" i="7" s="1"/>
  <c r="AO100" i="7" s="1"/>
  <c r="AP100" i="7" s="1"/>
  <c r="AQ100" i="7" s="1"/>
  <c r="AH101" i="7"/>
  <c r="AI101" i="7" s="1"/>
  <c r="AJ101" i="7" s="1"/>
  <c r="AK101" i="7" s="1"/>
  <c r="AL101" i="7" s="1"/>
  <c r="AM101" i="7" s="1"/>
  <c r="AN101" i="7" s="1"/>
  <c r="AO101" i="7" s="1"/>
  <c r="AP101" i="7" s="1"/>
  <c r="AQ101" i="7" s="1"/>
  <c r="AH102" i="7"/>
  <c r="AI102" i="7" s="1"/>
  <c r="AJ102" i="7" s="1"/>
  <c r="AH103" i="7"/>
  <c r="AI103" i="7" s="1"/>
  <c r="AJ103" i="7" s="1"/>
  <c r="AH104" i="7"/>
  <c r="AI104" i="7" s="1"/>
  <c r="AJ104" i="7" s="1"/>
  <c r="AK104" i="7" s="1"/>
  <c r="AL104" i="7" s="1"/>
  <c r="AM104" i="7" s="1"/>
  <c r="AN104" i="7" s="1"/>
  <c r="AO104" i="7" s="1"/>
  <c r="AP104" i="7" s="1"/>
  <c r="AQ104" i="7" s="1"/>
  <c r="AH105" i="7"/>
  <c r="AI105" i="7" s="1"/>
  <c r="AJ105" i="7" s="1"/>
  <c r="AK105" i="7" s="1"/>
  <c r="AL105" i="7" s="1"/>
  <c r="AM105" i="7" s="1"/>
  <c r="AN105" i="7" s="1"/>
  <c r="AO105" i="7" s="1"/>
  <c r="AP105" i="7" s="1"/>
  <c r="AQ105" i="7" s="1"/>
  <c r="AH106" i="7"/>
  <c r="AH107" i="7"/>
  <c r="AH108" i="7"/>
  <c r="AI108" i="7" s="1"/>
  <c r="AH109" i="7"/>
  <c r="AI109" i="7" s="1"/>
  <c r="AJ109" i="7" s="1"/>
  <c r="AK109" i="7" s="1"/>
  <c r="AL109" i="7" s="1"/>
  <c r="AM109" i="7" s="1"/>
  <c r="AN109" i="7" s="1"/>
  <c r="AO109" i="7" s="1"/>
  <c r="AP109" i="7" s="1"/>
  <c r="AQ109" i="7" s="1"/>
  <c r="AH110" i="7"/>
  <c r="AI110" i="7" s="1"/>
  <c r="AJ110" i="7" s="1"/>
  <c r="AH111" i="7"/>
  <c r="AI111" i="7" s="1"/>
  <c r="AJ111" i="7" s="1"/>
  <c r="AK111" i="7" s="1"/>
  <c r="AL111" i="7" s="1"/>
  <c r="AM111" i="7" s="1"/>
  <c r="AN111" i="7" s="1"/>
  <c r="AO111" i="7" s="1"/>
  <c r="AP111" i="7" s="1"/>
  <c r="AQ111" i="7" s="1"/>
  <c r="AH34" i="7"/>
  <c r="AI34" i="7" s="1"/>
  <c r="AJ34" i="7" s="1"/>
  <c r="AK34" i="7" s="1"/>
  <c r="AL34" i="7" s="1"/>
  <c r="AM34" i="7" s="1"/>
  <c r="AN34" i="7" s="1"/>
  <c r="AO34" i="7" s="1"/>
  <c r="AP34" i="7" s="1"/>
  <c r="AQ34" i="7" s="1"/>
  <c r="AH35" i="7"/>
  <c r="AI35" i="7" s="1"/>
  <c r="AJ35" i="7" s="1"/>
  <c r="AK35" i="7" s="1"/>
  <c r="AL35" i="7" s="1"/>
  <c r="AM35" i="7" s="1"/>
  <c r="AN35" i="7" s="1"/>
  <c r="AO35" i="7" s="1"/>
  <c r="AP35" i="7" s="1"/>
  <c r="AQ35" i="7" s="1"/>
  <c r="AH36" i="7"/>
  <c r="AI36" i="7" s="1"/>
  <c r="AJ36" i="7" s="1"/>
  <c r="AK36" i="7" s="1"/>
  <c r="AL36" i="7" s="1"/>
  <c r="AM36" i="7" s="1"/>
  <c r="AN36" i="7" s="1"/>
  <c r="AO36" i="7" s="1"/>
  <c r="AP36" i="7" s="1"/>
  <c r="AQ36" i="7" s="1"/>
  <c r="AH37" i="7"/>
  <c r="AI37" i="7" s="1"/>
  <c r="AJ37" i="7" s="1"/>
  <c r="AK37" i="7" s="1"/>
  <c r="AL37" i="7" s="1"/>
  <c r="AM37" i="7" s="1"/>
  <c r="AN37" i="7" s="1"/>
  <c r="AO37" i="7" s="1"/>
  <c r="AP37" i="7" s="1"/>
  <c r="AQ37" i="7" s="1"/>
  <c r="AH38" i="7"/>
  <c r="AI38" i="7" s="1"/>
  <c r="AJ38" i="7" s="1"/>
  <c r="AK38" i="7" s="1"/>
  <c r="AL38" i="7" s="1"/>
  <c r="AM38" i="7" s="1"/>
  <c r="AN38" i="7" s="1"/>
  <c r="AO38" i="7" s="1"/>
  <c r="AP38" i="7" s="1"/>
  <c r="AQ38" i="7" s="1"/>
  <c r="AH39" i="7"/>
  <c r="AI39" i="7" s="1"/>
  <c r="AJ39" i="7" s="1"/>
  <c r="AK39" i="7" s="1"/>
  <c r="AL39" i="7" s="1"/>
  <c r="AM39" i="7" s="1"/>
  <c r="AN39" i="7" s="1"/>
  <c r="AO39" i="7" s="1"/>
  <c r="AP39" i="7" s="1"/>
  <c r="AQ39" i="7" s="1"/>
  <c r="AH40" i="7"/>
  <c r="AH41" i="7"/>
  <c r="AI41" i="7" s="1"/>
  <c r="AJ41" i="7" s="1"/>
  <c r="AK41" i="7" s="1"/>
  <c r="AL41" i="7" s="1"/>
  <c r="AM41" i="7" s="1"/>
  <c r="AN41" i="7" s="1"/>
  <c r="AO41" i="7" s="1"/>
  <c r="AP41" i="7" s="1"/>
  <c r="AQ41" i="7" s="1"/>
  <c r="AH42" i="7"/>
  <c r="AI42" i="7" s="1"/>
  <c r="AJ42" i="7" s="1"/>
  <c r="AK42" i="7" s="1"/>
  <c r="AL42" i="7" s="1"/>
  <c r="AM42" i="7" s="1"/>
  <c r="AN42" i="7" s="1"/>
  <c r="AO42" i="7" s="1"/>
  <c r="AP42" i="7" s="1"/>
  <c r="AQ42" i="7" s="1"/>
  <c r="AH43" i="7"/>
  <c r="AI43" i="7" s="1"/>
  <c r="AJ43" i="7" s="1"/>
  <c r="AK43" i="7" s="1"/>
  <c r="AL43" i="7" s="1"/>
  <c r="AM43" i="7" s="1"/>
  <c r="AN43" i="7" s="1"/>
  <c r="AO43" i="7" s="1"/>
  <c r="AP43" i="7" s="1"/>
  <c r="AQ43" i="7" s="1"/>
  <c r="AH44" i="7"/>
  <c r="AI44" i="7" s="1"/>
  <c r="AJ44" i="7" s="1"/>
  <c r="AK44" i="7" s="1"/>
  <c r="AL44" i="7" s="1"/>
  <c r="AM44" i="7" s="1"/>
  <c r="AN44" i="7" s="1"/>
  <c r="AO44" i="7" s="1"/>
  <c r="AP44" i="7" s="1"/>
  <c r="AQ44" i="7" s="1"/>
  <c r="AH45" i="7"/>
  <c r="AI45" i="7" s="1"/>
  <c r="AJ45" i="7" s="1"/>
  <c r="AK45" i="7" s="1"/>
  <c r="AL45" i="7" s="1"/>
  <c r="AM45" i="7" s="1"/>
  <c r="AN45" i="7" s="1"/>
  <c r="AO45" i="7" s="1"/>
  <c r="AP45" i="7" s="1"/>
  <c r="AQ45" i="7" s="1"/>
  <c r="AH46" i="7"/>
  <c r="AI46" i="7" s="1"/>
  <c r="AJ46" i="7" s="1"/>
  <c r="AK46" i="7" s="1"/>
  <c r="AL46" i="7" s="1"/>
  <c r="AM46" i="7" s="1"/>
  <c r="AN46" i="7" s="1"/>
  <c r="AO46" i="7" s="1"/>
  <c r="AP46" i="7" s="1"/>
  <c r="AQ46" i="7" s="1"/>
  <c r="AH47" i="7"/>
  <c r="AI47" i="7" s="1"/>
  <c r="AJ47" i="7" s="1"/>
  <c r="AK47" i="7" s="1"/>
  <c r="AL47" i="7" s="1"/>
  <c r="AM47" i="7" s="1"/>
  <c r="AN47" i="7" s="1"/>
  <c r="AO47" i="7" s="1"/>
  <c r="AP47" i="7" s="1"/>
  <c r="AQ47" i="7" s="1"/>
  <c r="AH48" i="7"/>
  <c r="AH49" i="7"/>
  <c r="AI49" i="7" s="1"/>
  <c r="AJ49" i="7" s="1"/>
  <c r="AK49" i="7" s="1"/>
  <c r="AL49" i="7" s="1"/>
  <c r="AM49" i="7" s="1"/>
  <c r="AN49" i="7" s="1"/>
  <c r="AO49" i="7" s="1"/>
  <c r="AP49" i="7" s="1"/>
  <c r="AQ49" i="7" s="1"/>
  <c r="AH50" i="7"/>
  <c r="AI50" i="7" s="1"/>
  <c r="AJ50" i="7" s="1"/>
  <c r="AK50" i="7" s="1"/>
  <c r="AL50" i="7" s="1"/>
  <c r="AM50" i="7" s="1"/>
  <c r="AN50" i="7" s="1"/>
  <c r="AO50" i="7" s="1"/>
  <c r="AP50" i="7" s="1"/>
  <c r="AQ50" i="7" s="1"/>
  <c r="AH53" i="7"/>
  <c r="AH4" i="6" s="1"/>
  <c r="AH54" i="7"/>
  <c r="AI54" i="7" s="1"/>
  <c r="AJ54" i="7" s="1"/>
  <c r="AK54" i="7" s="1"/>
  <c r="AL54" i="7" s="1"/>
  <c r="AM54" i="7" s="1"/>
  <c r="AN54" i="7" s="1"/>
  <c r="AO54" i="7" s="1"/>
  <c r="AP54" i="7" s="1"/>
  <c r="AQ54" i="7" s="1"/>
  <c r="AH55" i="7"/>
  <c r="AH25" i="6" s="1"/>
  <c r="AH56" i="7"/>
  <c r="AI56" i="7" s="1"/>
  <c r="AH57" i="7"/>
  <c r="AI57" i="7" s="1"/>
  <c r="AJ57" i="7" s="1"/>
  <c r="AK57" i="7" s="1"/>
  <c r="AL57" i="7" s="1"/>
  <c r="AM57" i="7" s="1"/>
  <c r="AN57" i="7" s="1"/>
  <c r="AO57" i="7" s="1"/>
  <c r="AP57" i="7" s="1"/>
  <c r="AQ57" i="7" s="1"/>
  <c r="AH58" i="7"/>
  <c r="AH59" i="7"/>
  <c r="AI59" i="7" s="1"/>
  <c r="AJ59" i="7" s="1"/>
  <c r="AK59" i="7" s="1"/>
  <c r="AL59" i="7" s="1"/>
  <c r="AM59" i="7" s="1"/>
  <c r="AN59" i="7" s="1"/>
  <c r="AO59" i="7" s="1"/>
  <c r="AP59" i="7" s="1"/>
  <c r="AQ59" i="7" s="1"/>
  <c r="AH62" i="7"/>
  <c r="AH5" i="6" s="1"/>
  <c r="AH63" i="7"/>
  <c r="AH26" i="6" s="1"/>
  <c r="AH64" i="7"/>
  <c r="AH65" i="7"/>
  <c r="AH66" i="7"/>
  <c r="AI66" i="7" s="1"/>
  <c r="AJ66" i="7" s="1"/>
  <c r="AK66" i="7" s="1"/>
  <c r="AL66" i="7" s="1"/>
  <c r="AM66" i="7" s="1"/>
  <c r="AN66" i="7" s="1"/>
  <c r="AO66" i="7" s="1"/>
  <c r="AP66" i="7" s="1"/>
  <c r="AQ66" i="7" s="1"/>
  <c r="AH67" i="7"/>
  <c r="AI67" i="7" s="1"/>
  <c r="AJ67" i="7" s="1"/>
  <c r="AK67" i="7" s="1"/>
  <c r="AL67" i="7" s="1"/>
  <c r="AM67" i="7" s="1"/>
  <c r="AN67" i="7" s="1"/>
  <c r="AO67" i="7" s="1"/>
  <c r="AP67" i="7" s="1"/>
  <c r="AQ67" i="7" s="1"/>
  <c r="AH68" i="7"/>
  <c r="AH69" i="7"/>
  <c r="AI69" i="7" s="1"/>
  <c r="AJ69" i="7" s="1"/>
  <c r="AK69" i="7" s="1"/>
  <c r="AL69" i="7" s="1"/>
  <c r="AM69" i="7" s="1"/>
  <c r="AN69" i="7" s="1"/>
  <c r="AO69" i="7" s="1"/>
  <c r="AP69" i="7" s="1"/>
  <c r="AQ69" i="7" s="1"/>
  <c r="AH70" i="7"/>
  <c r="AI70" i="7" s="1"/>
  <c r="AJ70" i="7" s="1"/>
  <c r="AK70" i="7" s="1"/>
  <c r="AL70" i="7" s="1"/>
  <c r="AM70" i="7" s="1"/>
  <c r="AN70" i="7" s="1"/>
  <c r="AO70" i="7" s="1"/>
  <c r="AP70" i="7" s="1"/>
  <c r="AQ70" i="7" s="1"/>
  <c r="AH71" i="7"/>
  <c r="AI71" i="7" s="1"/>
  <c r="AJ71" i="7" s="1"/>
  <c r="AK71" i="7" s="1"/>
  <c r="AL71" i="7" s="1"/>
  <c r="AM71" i="7" s="1"/>
  <c r="AN71" i="7" s="1"/>
  <c r="AO71" i="7" s="1"/>
  <c r="AP71" i="7" s="1"/>
  <c r="AQ71" i="7" s="1"/>
  <c r="AH72" i="7"/>
  <c r="AI72" i="7" s="1"/>
  <c r="AJ72" i="7" s="1"/>
  <c r="AK72" i="7" s="1"/>
  <c r="AL72" i="7" s="1"/>
  <c r="AH73" i="7"/>
  <c r="AI73" i="7" s="1"/>
  <c r="AJ73" i="7" s="1"/>
  <c r="AK73" i="7" s="1"/>
  <c r="AL73" i="7" s="1"/>
  <c r="AM73" i="7" s="1"/>
  <c r="AN73" i="7" s="1"/>
  <c r="AO73" i="7" s="1"/>
  <c r="AP73" i="7" s="1"/>
  <c r="AQ73" i="7" s="1"/>
  <c r="AH74" i="7"/>
  <c r="AH77" i="7"/>
  <c r="AI77" i="7" s="1"/>
  <c r="AJ77" i="7" s="1"/>
  <c r="AK77" i="7" s="1"/>
  <c r="AL77" i="7" s="1"/>
  <c r="AM77" i="7" s="1"/>
  <c r="AN77" i="7" s="1"/>
  <c r="AO77" i="7" s="1"/>
  <c r="AP77" i="7" s="1"/>
  <c r="AQ77" i="7" s="1"/>
  <c r="AH78" i="7"/>
  <c r="AI78" i="7" s="1"/>
  <c r="AJ78" i="7" s="1"/>
  <c r="AK78" i="7" s="1"/>
  <c r="AL78" i="7" s="1"/>
  <c r="AM78" i="7" s="1"/>
  <c r="AN78" i="7" s="1"/>
  <c r="AO78" i="7" s="1"/>
  <c r="AP78" i="7" s="1"/>
  <c r="AQ78" i="7" s="1"/>
  <c r="AH79" i="7"/>
  <c r="AI79" i="7" s="1"/>
  <c r="AJ79" i="7" s="1"/>
  <c r="AK79" i="7" s="1"/>
  <c r="AL79" i="7" s="1"/>
  <c r="AM79" i="7" s="1"/>
  <c r="AN79" i="7" s="1"/>
  <c r="AO79" i="7" s="1"/>
  <c r="AP79" i="7" s="1"/>
  <c r="AQ79" i="7" s="1"/>
  <c r="AH80" i="7"/>
  <c r="AI80" i="7" s="1"/>
  <c r="AJ80" i="7" s="1"/>
  <c r="AK80" i="7" s="1"/>
  <c r="AL80" i="7" s="1"/>
  <c r="AM80" i="7" s="1"/>
  <c r="AN80" i="7" s="1"/>
  <c r="AO80" i="7" s="1"/>
  <c r="AP80" i="7" s="1"/>
  <c r="AQ80" i="7" s="1"/>
  <c r="AH81" i="7"/>
  <c r="AI81" i="7" s="1"/>
  <c r="AJ81" i="7" s="1"/>
  <c r="AK81" i="7" s="1"/>
  <c r="AL81" i="7" s="1"/>
  <c r="AM81" i="7" s="1"/>
  <c r="AN81" i="7" s="1"/>
  <c r="AO81" i="7" s="1"/>
  <c r="AP81" i="7" s="1"/>
  <c r="AQ81" i="7" s="1"/>
  <c r="AH26" i="7"/>
  <c r="AH27" i="7"/>
  <c r="AI27" i="7" s="1"/>
  <c r="AJ27" i="7" s="1"/>
  <c r="AK27" i="7" s="1"/>
  <c r="AL27" i="7" s="1"/>
  <c r="AM27" i="7" s="1"/>
  <c r="AN27" i="7" s="1"/>
  <c r="AO27" i="7" s="1"/>
  <c r="AP27" i="7" s="1"/>
  <c r="AQ27" i="7" s="1"/>
  <c r="AH28" i="7"/>
  <c r="AI28" i="7" s="1"/>
  <c r="AJ28" i="7" s="1"/>
  <c r="AK28" i="7" s="1"/>
  <c r="AL28" i="7" s="1"/>
  <c r="AM28" i="7" s="1"/>
  <c r="AN28" i="7" s="1"/>
  <c r="AO28" i="7" s="1"/>
  <c r="AP28" i="7" s="1"/>
  <c r="AQ28" i="7" s="1"/>
  <c r="AH29" i="7"/>
  <c r="AH30" i="7"/>
  <c r="AI30" i="7" s="1"/>
  <c r="AJ30" i="7" s="1"/>
  <c r="AK30" i="7" s="1"/>
  <c r="AL30" i="7" s="1"/>
  <c r="AM30" i="7" s="1"/>
  <c r="AN30" i="7" s="1"/>
  <c r="AO30" i="7" s="1"/>
  <c r="AP30" i="7" s="1"/>
  <c r="AQ30" i="7" s="1"/>
  <c r="AH20" i="7"/>
  <c r="AI20" i="7" s="1"/>
  <c r="AJ20" i="7" s="1"/>
  <c r="AK20" i="7" s="1"/>
  <c r="AL20" i="7" s="1"/>
  <c r="AM20" i="7" s="1"/>
  <c r="AN20" i="7" s="1"/>
  <c r="AO20" i="7" s="1"/>
  <c r="AP20" i="7" s="1"/>
  <c r="AQ20" i="7" s="1"/>
  <c r="AH18" i="7"/>
  <c r="AI18" i="7" s="1"/>
  <c r="AJ18" i="7" s="1"/>
  <c r="AK18" i="7" s="1"/>
  <c r="AL18" i="7" s="1"/>
  <c r="AM18" i="7" s="1"/>
  <c r="AN18" i="7" s="1"/>
  <c r="AO18" i="7" s="1"/>
  <c r="AP18" i="7" s="1"/>
  <c r="AQ18" i="7" s="1"/>
  <c r="AH19" i="7"/>
  <c r="AH22" i="7"/>
  <c r="AH17" i="7"/>
  <c r="AI17" i="7" s="1"/>
  <c r="AJ17" i="7" s="1"/>
  <c r="AK17" i="7" s="1"/>
  <c r="AL17" i="7" s="1"/>
  <c r="AM17" i="7" s="1"/>
  <c r="AN17" i="7" s="1"/>
  <c r="AO17" i="7" s="1"/>
  <c r="AP17" i="7" s="1"/>
  <c r="AQ17" i="7" s="1"/>
  <c r="D25" i="6"/>
  <c r="E25" i="6"/>
  <c r="F25" i="6"/>
  <c r="G25" i="6"/>
  <c r="H25" i="6"/>
  <c r="I25" i="6"/>
  <c r="J25" i="6"/>
  <c r="K25" i="6"/>
  <c r="K37" i="6" s="1"/>
  <c r="K4" i="38" s="1"/>
  <c r="K6" i="38" s="1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C26" i="6"/>
  <c r="C2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C6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C5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C4" i="6"/>
  <c r="G70" i="6"/>
  <c r="F70" i="6"/>
  <c r="E70" i="6"/>
  <c r="D70" i="6"/>
  <c r="B70" i="6"/>
  <c r="G69" i="6"/>
  <c r="F69" i="6"/>
  <c r="E69" i="6"/>
  <c r="D69" i="6"/>
  <c r="E74" i="6" s="1"/>
  <c r="G74" i="6"/>
  <c r="C69" i="6"/>
  <c r="G68" i="6"/>
  <c r="F68" i="6"/>
  <c r="E68" i="6"/>
  <c r="AE73" i="6" s="1"/>
  <c r="D68" i="6"/>
  <c r="M73" i="6" s="1"/>
  <c r="M78" i="6" s="1"/>
  <c r="C68" i="6"/>
  <c r="C68" i="9"/>
  <c r="AE74" i="6"/>
  <c r="AA74" i="6"/>
  <c r="W74" i="6"/>
  <c r="S74" i="6"/>
  <c r="O74" i="6"/>
  <c r="AG74" i="6"/>
  <c r="AC74" i="6"/>
  <c r="Y74" i="6"/>
  <c r="U74" i="6"/>
  <c r="Q74" i="6"/>
  <c r="L75" i="6"/>
  <c r="H75" i="6"/>
  <c r="D75" i="6"/>
  <c r="J75" i="6"/>
  <c r="F75" i="6"/>
  <c r="L73" i="6"/>
  <c r="B74" i="6"/>
  <c r="G73" i="6"/>
  <c r="O73" i="6"/>
  <c r="W73" i="6"/>
  <c r="AF73" i="6"/>
  <c r="AB73" i="6"/>
  <c r="X73" i="6"/>
  <c r="T73" i="6"/>
  <c r="P73" i="6"/>
  <c r="AD73" i="6"/>
  <c r="Z73" i="6"/>
  <c r="V73" i="6"/>
  <c r="R73" i="6"/>
  <c r="N73" i="6"/>
  <c r="L74" i="6"/>
  <c r="H74" i="6"/>
  <c r="D74" i="6"/>
  <c r="K74" i="6"/>
  <c r="J74" i="6"/>
  <c r="F74" i="6"/>
  <c r="I73" i="6"/>
  <c r="Q73" i="6"/>
  <c r="Y73" i="6"/>
  <c r="AG73" i="6"/>
  <c r="I74" i="6"/>
  <c r="AC73" i="6"/>
  <c r="AF74" i="6"/>
  <c r="M75" i="6"/>
  <c r="K73" i="6"/>
  <c r="S73" i="6"/>
  <c r="AA73" i="6"/>
  <c r="C74" i="6"/>
  <c r="M74" i="6"/>
  <c r="F73" i="6"/>
  <c r="F78" i="6" s="1"/>
  <c r="F4" i="46" s="1"/>
  <c r="F3" i="46" s="1"/>
  <c r="J73" i="6"/>
  <c r="N74" i="6"/>
  <c r="R74" i="6"/>
  <c r="V74" i="6"/>
  <c r="Z74" i="6"/>
  <c r="AD74" i="6"/>
  <c r="C75" i="6"/>
  <c r="G75" i="6"/>
  <c r="K75" i="6"/>
  <c r="D73" i="6"/>
  <c r="H73" i="6"/>
  <c r="P74" i="6"/>
  <c r="T74" i="6"/>
  <c r="X74" i="6"/>
  <c r="AB74" i="6"/>
  <c r="E75" i="6"/>
  <c r="E79" i="6" s="1"/>
  <c r="I75" i="6"/>
  <c r="G50" i="6"/>
  <c r="F50" i="6"/>
  <c r="D50" i="6"/>
  <c r="E50" i="6"/>
  <c r="B50" i="6"/>
  <c r="E49" i="6"/>
  <c r="F49" i="6"/>
  <c r="Q54" i="6" s="1"/>
  <c r="Q59" i="6" s="1"/>
  <c r="Q5" i="42" s="1"/>
  <c r="G49" i="6"/>
  <c r="D49" i="6"/>
  <c r="C49" i="6"/>
  <c r="G48" i="6"/>
  <c r="F48" i="6"/>
  <c r="E48" i="6"/>
  <c r="D48" i="6"/>
  <c r="C48" i="6"/>
  <c r="L79" i="6"/>
  <c r="L78" i="6"/>
  <c r="M79" i="6"/>
  <c r="B75" i="6"/>
  <c r="C79" i="6"/>
  <c r="F79" i="6"/>
  <c r="K79" i="6"/>
  <c r="K78" i="6"/>
  <c r="H78" i="6"/>
  <c r="H79" i="6"/>
  <c r="J79" i="6"/>
  <c r="J5" i="46" s="1"/>
  <c r="J78" i="6"/>
  <c r="I79" i="6"/>
  <c r="I78" i="6"/>
  <c r="AE55" i="6"/>
  <c r="W55" i="6"/>
  <c r="O55" i="6"/>
  <c r="AC55" i="6"/>
  <c r="AB55" i="6"/>
  <c r="AD55" i="6"/>
  <c r="V55" i="6"/>
  <c r="N55" i="6"/>
  <c r="U55" i="6"/>
  <c r="T55" i="6"/>
  <c r="AA55" i="6"/>
  <c r="S55" i="6"/>
  <c r="Y55" i="6"/>
  <c r="AF55" i="6"/>
  <c r="Z55" i="6"/>
  <c r="R55" i="6"/>
  <c r="AG55" i="6"/>
  <c r="Q55" i="6"/>
  <c r="X55" i="6"/>
  <c r="P55" i="6"/>
  <c r="G55" i="6"/>
  <c r="M55" i="6"/>
  <c r="L55" i="6"/>
  <c r="F55" i="6"/>
  <c r="E55" i="6"/>
  <c r="D55" i="6"/>
  <c r="K55" i="6"/>
  <c r="C55" i="6"/>
  <c r="B55" i="6"/>
  <c r="I55" i="6"/>
  <c r="H55" i="6"/>
  <c r="J55" i="6"/>
  <c r="C54" i="6"/>
  <c r="C59" i="6" s="1"/>
  <c r="C5" i="42" s="1"/>
  <c r="C7" i="42" s="1"/>
  <c r="B54" i="6"/>
  <c r="I54" i="6"/>
  <c r="G54" i="6"/>
  <c r="F54" i="6"/>
  <c r="H54" i="6"/>
  <c r="J54" i="6"/>
  <c r="M54" i="6"/>
  <c r="E54" i="6"/>
  <c r="L54" i="6"/>
  <c r="D54" i="6"/>
  <c r="K54" i="6"/>
  <c r="G53" i="6"/>
  <c r="F53" i="6"/>
  <c r="M53" i="6"/>
  <c r="M58" i="6" s="1"/>
  <c r="M4" i="42" s="1"/>
  <c r="E53" i="6"/>
  <c r="L53" i="6"/>
  <c r="D53" i="6"/>
  <c r="K53" i="6"/>
  <c r="J53" i="6"/>
  <c r="AG53" i="6"/>
  <c r="Y53" i="6"/>
  <c r="Q53" i="6"/>
  <c r="W53" i="6"/>
  <c r="V53" i="6"/>
  <c r="S53" i="6"/>
  <c r="R53" i="6"/>
  <c r="R58" i="6" s="1"/>
  <c r="R4" i="42" s="1"/>
  <c r="R6" i="42" s="1"/>
  <c r="AF53" i="6"/>
  <c r="X53" i="6"/>
  <c r="P53" i="6"/>
  <c r="AE53" i="6"/>
  <c r="O53" i="6"/>
  <c r="AD53" i="6"/>
  <c r="N53" i="6"/>
  <c r="Z53" i="6"/>
  <c r="Z58" i="6" s="1"/>
  <c r="Z4" i="42" s="1"/>
  <c r="Z10" i="42" s="1"/>
  <c r="AC53" i="6"/>
  <c r="U53" i="6"/>
  <c r="AB53" i="6"/>
  <c r="T53" i="6"/>
  <c r="AA53" i="6"/>
  <c r="F30" i="6"/>
  <c r="E30" i="6"/>
  <c r="D30" i="6"/>
  <c r="AF34" i="6" s="1"/>
  <c r="C30" i="6"/>
  <c r="B30" i="6"/>
  <c r="E29" i="6"/>
  <c r="D29" i="6"/>
  <c r="AJ33" i="6" s="1"/>
  <c r="C29" i="6"/>
  <c r="B29" i="6"/>
  <c r="B59" i="6"/>
  <c r="B79" i="6"/>
  <c r="J59" i="6"/>
  <c r="J5" i="42"/>
  <c r="J8" i="42" s="1"/>
  <c r="J58" i="6"/>
  <c r="J4" i="42"/>
  <c r="L58" i="6"/>
  <c r="L4" i="42"/>
  <c r="L59" i="6"/>
  <c r="L5" i="42"/>
  <c r="V58" i="6"/>
  <c r="V4" i="42"/>
  <c r="V3" i="42" s="1"/>
  <c r="H59" i="6"/>
  <c r="H5" i="42"/>
  <c r="M59" i="6"/>
  <c r="M5" i="42" s="1"/>
  <c r="AF58" i="6"/>
  <c r="AF4" i="42" s="1"/>
  <c r="AF6" i="42" s="1"/>
  <c r="AD58" i="6"/>
  <c r="AD4" i="42" s="1"/>
  <c r="I59" i="6"/>
  <c r="I5" i="42"/>
  <c r="I9" i="42" s="1"/>
  <c r="G58" i="6"/>
  <c r="G4" i="42" s="1"/>
  <c r="G6" i="42" s="1"/>
  <c r="G59" i="6"/>
  <c r="G5" i="42"/>
  <c r="G8" i="42" s="1"/>
  <c r="Y58" i="6"/>
  <c r="Y4" i="42" s="1"/>
  <c r="Y10" i="42" s="1"/>
  <c r="AB58" i="6"/>
  <c r="AB4" i="42"/>
  <c r="P58" i="6"/>
  <c r="P4" i="42"/>
  <c r="P6" i="42" s="1"/>
  <c r="S58" i="6"/>
  <c r="S4" i="42" s="1"/>
  <c r="S6" i="42" s="1"/>
  <c r="AC58" i="6"/>
  <c r="AC4" i="42" s="1"/>
  <c r="AC3" i="42" s="1"/>
  <c r="K59" i="6"/>
  <c r="K5" i="42" s="1"/>
  <c r="K58" i="6"/>
  <c r="K4" i="42" s="1"/>
  <c r="X58" i="6"/>
  <c r="X4" i="42"/>
  <c r="AA58" i="6"/>
  <c r="AA4" i="42" s="1"/>
  <c r="AA6" i="42" s="1"/>
  <c r="O58" i="6"/>
  <c r="O4" i="42"/>
  <c r="O10" i="42" s="1"/>
  <c r="D59" i="6"/>
  <c r="D5" i="42" s="1"/>
  <c r="D58" i="6"/>
  <c r="D4" i="42" s="1"/>
  <c r="Q58" i="6"/>
  <c r="Q4" i="42"/>
  <c r="T58" i="6"/>
  <c r="T4" i="42" s="1"/>
  <c r="W58" i="6"/>
  <c r="W4" i="42" s="1"/>
  <c r="W11" i="42" s="1"/>
  <c r="B5" i="42"/>
  <c r="B9" i="42" s="1"/>
  <c r="F59" i="6"/>
  <c r="F5" i="42" s="1"/>
  <c r="F8" i="42" s="1"/>
  <c r="F58" i="6"/>
  <c r="F4" i="42" s="1"/>
  <c r="F6" i="42" s="1"/>
  <c r="N58" i="6"/>
  <c r="N4" i="42" s="1"/>
  <c r="N11" i="42" s="1"/>
  <c r="C33" i="6"/>
  <c r="I33" i="6"/>
  <c r="C34" i="6"/>
  <c r="AE33" i="6"/>
  <c r="AF33" i="6"/>
  <c r="E34" i="6"/>
  <c r="H33" i="6"/>
  <c r="P33" i="6"/>
  <c r="X33" i="6"/>
  <c r="M34" i="6"/>
  <c r="Q33" i="6"/>
  <c r="B33" i="6"/>
  <c r="J33" i="6"/>
  <c r="R33" i="6"/>
  <c r="Z33" i="6"/>
  <c r="B34" i="6"/>
  <c r="K33" i="6"/>
  <c r="S33" i="6"/>
  <c r="AA33" i="6"/>
  <c r="U33" i="6"/>
  <c r="AC33" i="6"/>
  <c r="D33" i="6"/>
  <c r="L33" i="6"/>
  <c r="T33" i="6"/>
  <c r="AB33" i="6"/>
  <c r="E33" i="6"/>
  <c r="F33" i="6"/>
  <c r="N33" i="6"/>
  <c r="V33" i="6"/>
  <c r="AD33" i="6"/>
  <c r="M33" i="6"/>
  <c r="G33" i="6"/>
  <c r="O33" i="6"/>
  <c r="W33" i="6"/>
  <c r="O34" i="6"/>
  <c r="Y33" i="6"/>
  <c r="AD6" i="42"/>
  <c r="AD10" i="42"/>
  <c r="V6" i="42"/>
  <c r="I4" i="46"/>
  <c r="I4" i="45"/>
  <c r="I3" i="45" s="1"/>
  <c r="K4" i="46"/>
  <c r="K4" i="45"/>
  <c r="K6" i="45" s="1"/>
  <c r="AC6" i="42"/>
  <c r="I5" i="46"/>
  <c r="I7" i="46" s="1"/>
  <c r="I5" i="45"/>
  <c r="I9" i="45" s="1"/>
  <c r="K5" i="46"/>
  <c r="K7" i="46" s="1"/>
  <c r="K5" i="45"/>
  <c r="K9" i="45" s="1"/>
  <c r="K10" i="42"/>
  <c r="J3" i="42"/>
  <c r="J11" i="42"/>
  <c r="J6" i="42"/>
  <c r="J10" i="42"/>
  <c r="H9" i="42"/>
  <c r="H7" i="42"/>
  <c r="H8" i="42"/>
  <c r="W3" i="42"/>
  <c r="R11" i="42"/>
  <c r="AA11" i="42"/>
  <c r="Y11" i="42"/>
  <c r="Y3" i="42"/>
  <c r="AF11" i="42"/>
  <c r="AF3" i="42"/>
  <c r="AF10" i="42"/>
  <c r="Z3" i="42"/>
  <c r="H4" i="46"/>
  <c r="H4" i="45"/>
  <c r="H11" i="45" s="1"/>
  <c r="F4" i="45"/>
  <c r="F6" i="45" s="1"/>
  <c r="L4" i="46"/>
  <c r="L3" i="46" s="1"/>
  <c r="L4" i="45"/>
  <c r="L11" i="45" s="1"/>
  <c r="J4" i="46"/>
  <c r="J11" i="46" s="1"/>
  <c r="J4" i="45"/>
  <c r="J3" i="45" s="1"/>
  <c r="J9" i="42"/>
  <c r="J7" i="42"/>
  <c r="M5" i="45"/>
  <c r="M9" i="45" s="1"/>
  <c r="M5" i="46"/>
  <c r="M7" i="46" s="1"/>
  <c r="O6" i="42"/>
  <c r="H5" i="46"/>
  <c r="H5" i="45"/>
  <c r="H9" i="45" s="1"/>
  <c r="F5" i="46"/>
  <c r="F5" i="45"/>
  <c r="F9" i="45" s="1"/>
  <c r="L5" i="46"/>
  <c r="L5" i="45"/>
  <c r="L8" i="45" s="1"/>
  <c r="J5" i="45"/>
  <c r="J7" i="45" s="1"/>
  <c r="D11" i="42"/>
  <c r="D10" i="42"/>
  <c r="D3" i="42"/>
  <c r="D6" i="42"/>
  <c r="M4" i="46"/>
  <c r="M4" i="45"/>
  <c r="C9" i="42"/>
  <c r="C8" i="42"/>
  <c r="N3" i="42"/>
  <c r="N10" i="42"/>
  <c r="Q3" i="42"/>
  <c r="Q11" i="42"/>
  <c r="Q6" i="42"/>
  <c r="Q10" i="42"/>
  <c r="X10" i="42"/>
  <c r="G7" i="42"/>
  <c r="M9" i="42"/>
  <c r="M7" i="42"/>
  <c r="M8" i="42"/>
  <c r="L9" i="42"/>
  <c r="L7" i="42"/>
  <c r="L8" i="42"/>
  <c r="B7" i="42"/>
  <c r="B8" i="42"/>
  <c r="I7" i="42"/>
  <c r="F9" i="42"/>
  <c r="G11" i="42"/>
  <c r="M3" i="42"/>
  <c r="M6" i="42"/>
  <c r="M10" i="42"/>
  <c r="M11" i="42"/>
  <c r="L3" i="42"/>
  <c r="L10" i="42"/>
  <c r="L6" i="42"/>
  <c r="L11" i="42"/>
  <c r="C5" i="46"/>
  <c r="C5" i="45"/>
  <c r="C8" i="45" s="1"/>
  <c r="J7" i="46"/>
  <c r="F9" i="46"/>
  <c r="F7" i="46"/>
  <c r="F8" i="46"/>
  <c r="C9" i="45"/>
  <c r="K11" i="45"/>
  <c r="K10" i="45"/>
  <c r="J6" i="45"/>
  <c r="F11" i="45"/>
  <c r="F3" i="45"/>
  <c r="F10" i="45"/>
  <c r="K7" i="45"/>
  <c r="I11" i="45"/>
  <c r="I10" i="45"/>
  <c r="I6" i="45"/>
  <c r="J9" i="45"/>
  <c r="J8" i="45"/>
  <c r="K11" i="46"/>
  <c r="K3" i="46"/>
  <c r="K10" i="46"/>
  <c r="K6" i="46"/>
  <c r="K8" i="46"/>
  <c r="I11" i="46"/>
  <c r="I10" i="46"/>
  <c r="I3" i="46"/>
  <c r="I6" i="46"/>
  <c r="B5" i="45"/>
  <c r="B9" i="45" s="1"/>
  <c r="B5" i="46"/>
  <c r="B7" i="46" s="1"/>
  <c r="H9" i="46"/>
  <c r="H8" i="46"/>
  <c r="H7" i="46"/>
  <c r="M9" i="46"/>
  <c r="J6" i="46"/>
  <c r="M11" i="45"/>
  <c r="M3" i="45"/>
  <c r="M10" i="45"/>
  <c r="M6" i="45"/>
  <c r="L9" i="45"/>
  <c r="L7" i="45"/>
  <c r="H10" i="45"/>
  <c r="I7" i="45"/>
  <c r="I8" i="45"/>
  <c r="C9" i="46"/>
  <c r="C7" i="46"/>
  <c r="C8" i="46"/>
  <c r="M3" i="46"/>
  <c r="M11" i="46"/>
  <c r="M10" i="46"/>
  <c r="M6" i="46"/>
  <c r="L9" i="46"/>
  <c r="L7" i="46"/>
  <c r="L8" i="46"/>
  <c r="H11" i="46"/>
  <c r="H3" i="46"/>
  <c r="H10" i="46"/>
  <c r="H6" i="46"/>
  <c r="I9" i="46"/>
  <c r="B11" i="6"/>
  <c r="C11" i="6"/>
  <c r="D11" i="6"/>
  <c r="E11" i="6"/>
  <c r="F11" i="6"/>
  <c r="X16" i="6" s="1"/>
  <c r="B9" i="6"/>
  <c r="B10" i="6"/>
  <c r="D9" i="6"/>
  <c r="E9" i="6"/>
  <c r="Q14" i="6" s="1"/>
  <c r="F9" i="6"/>
  <c r="D10" i="6"/>
  <c r="E10" i="6"/>
  <c r="U15" i="6" s="1"/>
  <c r="F10" i="6"/>
  <c r="Q15" i="6" s="1"/>
  <c r="C10" i="6"/>
  <c r="C9" i="6"/>
  <c r="U14" i="6"/>
  <c r="AB14" i="6"/>
  <c r="T14" i="6"/>
  <c r="AA14" i="6"/>
  <c r="O14" i="6"/>
  <c r="R14" i="6"/>
  <c r="R19" i="6"/>
  <c r="R4" i="34" s="1"/>
  <c r="R3" i="34" s="1"/>
  <c r="I16" i="6"/>
  <c r="E16" i="6"/>
  <c r="L16" i="6"/>
  <c r="H16" i="6"/>
  <c r="D16" i="6"/>
  <c r="K16" i="6"/>
  <c r="G16" i="6"/>
  <c r="J16" i="6"/>
  <c r="F16" i="6"/>
  <c r="M14" i="6"/>
  <c r="L14" i="6"/>
  <c r="H14" i="6"/>
  <c r="D14" i="6"/>
  <c r="K14" i="6"/>
  <c r="G14" i="6"/>
  <c r="T15" i="6"/>
  <c r="C15" i="6"/>
  <c r="B15" i="6"/>
  <c r="C16" i="6"/>
  <c r="B16" i="6"/>
  <c r="M15" i="6"/>
  <c r="I15" i="6"/>
  <c r="E15" i="6"/>
  <c r="L15" i="6"/>
  <c r="H15" i="6"/>
  <c r="D15" i="6"/>
  <c r="K15" i="6"/>
  <c r="G15" i="6"/>
  <c r="J15" i="6"/>
  <c r="F15" i="6"/>
  <c r="Q16" i="6"/>
  <c r="Q21" i="6" s="1"/>
  <c r="Q7" i="34" s="1"/>
  <c r="AA16" i="6"/>
  <c r="B9" i="46"/>
  <c r="O37" i="6"/>
  <c r="O4" i="40" s="1"/>
  <c r="O10" i="40" s="1"/>
  <c r="W37" i="6"/>
  <c r="W4" i="39" s="1"/>
  <c r="C20" i="6"/>
  <c r="F20" i="6"/>
  <c r="F5" i="18" s="1"/>
  <c r="F8" i="18" s="1"/>
  <c r="B5" i="39"/>
  <c r="B9" i="39" s="1"/>
  <c r="B5" i="40"/>
  <c r="B5" i="41"/>
  <c r="B9" i="41" s="1"/>
  <c r="B5" i="38"/>
  <c r="B9" i="38" s="1"/>
  <c r="B4" i="39"/>
  <c r="B6" i="39" s="1"/>
  <c r="B4" i="40"/>
  <c r="B3" i="40" s="1"/>
  <c r="B4" i="41"/>
  <c r="B3" i="41" s="1"/>
  <c r="B4" i="38"/>
  <c r="B10" i="38" s="1"/>
  <c r="B5" i="18"/>
  <c r="B9" i="18" s="1"/>
  <c r="B5" i="34"/>
  <c r="B4" i="34"/>
  <c r="B11" i="34" s="1"/>
  <c r="B4" i="18"/>
  <c r="B3" i="18" s="1"/>
  <c r="B7" i="18"/>
  <c r="B7" i="34"/>
  <c r="B3" i="38"/>
  <c r="B11" i="41"/>
  <c r="B10" i="41"/>
  <c r="B7" i="41"/>
  <c r="B8" i="41"/>
  <c r="B10" i="40"/>
  <c r="B7" i="40"/>
  <c r="B9" i="40"/>
  <c r="B8" i="40"/>
  <c r="B11" i="39"/>
  <c r="B9" i="34"/>
  <c r="B8" i="34"/>
  <c r="B8" i="18"/>
  <c r="B11" i="18"/>
  <c r="B6" i="18"/>
  <c r="B10" i="18"/>
  <c r="I8" i="46" l="1"/>
  <c r="J10" i="46"/>
  <c r="L6" i="46"/>
  <c r="J3" i="46"/>
  <c r="K9" i="46"/>
  <c r="L10" i="46"/>
  <c r="L11" i="46"/>
  <c r="M8" i="46"/>
  <c r="J11" i="45"/>
  <c r="K3" i="45"/>
  <c r="H6" i="45"/>
  <c r="K8" i="45"/>
  <c r="L10" i="45"/>
  <c r="B8" i="45"/>
  <c r="H3" i="45"/>
  <c r="H8" i="45"/>
  <c r="F7" i="45"/>
  <c r="B7" i="45"/>
  <c r="H7" i="45"/>
  <c r="L3" i="45"/>
  <c r="S10" i="42"/>
  <c r="P10" i="42"/>
  <c r="O11" i="42"/>
  <c r="S3" i="42"/>
  <c r="P3" i="42"/>
  <c r="F3" i="42"/>
  <c r="O3" i="42"/>
  <c r="G10" i="42"/>
  <c r="S11" i="42"/>
  <c r="P11" i="42"/>
  <c r="F10" i="42"/>
  <c r="V11" i="42"/>
  <c r="G3" i="42"/>
  <c r="I8" i="42"/>
  <c r="F11" i="42"/>
  <c r="AC10" i="42"/>
  <c r="V10" i="42"/>
  <c r="AC11" i="42"/>
  <c r="B6" i="41"/>
  <c r="B3" i="34"/>
  <c r="B6" i="34"/>
  <c r="B10" i="34"/>
  <c r="B6" i="40"/>
  <c r="B11" i="40"/>
  <c r="B8" i="38"/>
  <c r="B7" i="38"/>
  <c r="B11" i="38"/>
  <c r="B6" i="38"/>
  <c r="B8" i="39"/>
  <c r="AG15" i="6"/>
  <c r="AG20" i="6" s="1"/>
  <c r="B10" i="39"/>
  <c r="B8" i="46"/>
  <c r="S16" i="6"/>
  <c r="AB16" i="6"/>
  <c r="V15" i="6"/>
  <c r="V20" i="6" s="1"/>
  <c r="AE15" i="6"/>
  <c r="Y15" i="6"/>
  <c r="J14" i="6"/>
  <c r="I14" i="6"/>
  <c r="F14" i="6"/>
  <c r="E14" i="6"/>
  <c r="M7" i="45"/>
  <c r="T6" i="42"/>
  <c r="T3" i="42"/>
  <c r="T10" i="42"/>
  <c r="T11" i="42"/>
  <c r="X3" i="42"/>
  <c r="X6" i="42"/>
  <c r="X11" i="42"/>
  <c r="E5" i="46"/>
  <c r="E5" i="45"/>
  <c r="B3" i="39"/>
  <c r="W16" i="6"/>
  <c r="Z15" i="6"/>
  <c r="P15" i="6"/>
  <c r="AC15" i="6"/>
  <c r="P14" i="6"/>
  <c r="B14" i="6"/>
  <c r="C14" i="6"/>
  <c r="C19" i="6" s="1"/>
  <c r="U16" i="6"/>
  <c r="AD15" i="6"/>
  <c r="AD20" i="6" s="1"/>
  <c r="AD5" i="18" s="1"/>
  <c r="AD9" i="18" s="1"/>
  <c r="X15" i="6"/>
  <c r="C7" i="45"/>
  <c r="AE16" i="6"/>
  <c r="B7" i="39"/>
  <c r="N16" i="6"/>
  <c r="AF16" i="6"/>
  <c r="AF21" i="6" s="1"/>
  <c r="Y16" i="6"/>
  <c r="O15" i="6"/>
  <c r="AB15" i="6"/>
  <c r="V14" i="6"/>
  <c r="AF14" i="6"/>
  <c r="AK15" i="6"/>
  <c r="AL15" i="6"/>
  <c r="AM15" i="6"/>
  <c r="AN15" i="6"/>
  <c r="AO15" i="6"/>
  <c r="AI15" i="6"/>
  <c r="AQ15" i="6"/>
  <c r="AJ15" i="6"/>
  <c r="AP15" i="6"/>
  <c r="AH15" i="6"/>
  <c r="AH20" i="6" s="1"/>
  <c r="AI16" i="6"/>
  <c r="AQ16" i="6"/>
  <c r="AJ16" i="6"/>
  <c r="Z16" i="6"/>
  <c r="AK16" i="6"/>
  <c r="AL16" i="6"/>
  <c r="AM16" i="6"/>
  <c r="AO16" i="6"/>
  <c r="AH16" i="6"/>
  <c r="AH21" i="6" s="1"/>
  <c r="AP16" i="6"/>
  <c r="AN16" i="6"/>
  <c r="Q7" i="42"/>
  <c r="Q9" i="42"/>
  <c r="AD16" i="6"/>
  <c r="R16" i="6"/>
  <c r="P16" i="6"/>
  <c r="AC16" i="6"/>
  <c r="AC21" i="6" s="1"/>
  <c r="N15" i="6"/>
  <c r="S15" i="6"/>
  <c r="AF15" i="6"/>
  <c r="Z14" i="6"/>
  <c r="M16" i="6"/>
  <c r="F6" i="46"/>
  <c r="Q8" i="42"/>
  <c r="V16" i="6"/>
  <c r="V21" i="6" s="1"/>
  <c r="T16" i="6"/>
  <c r="AG16" i="6"/>
  <c r="AG21" i="6" s="1"/>
  <c r="W15" i="6"/>
  <c r="AC14" i="6"/>
  <c r="AE14" i="6"/>
  <c r="F10" i="46"/>
  <c r="O16" i="6"/>
  <c r="R15" i="6"/>
  <c r="R20" i="6" s="1"/>
  <c r="R5" i="34" s="1"/>
  <c r="R9" i="34" s="1"/>
  <c r="AA15" i="6"/>
  <c r="S14" i="6"/>
  <c r="Y14" i="6"/>
  <c r="F11" i="46"/>
  <c r="M8" i="45"/>
  <c r="J9" i="46"/>
  <c r="J8" i="46"/>
  <c r="L6" i="45"/>
  <c r="F7" i="42"/>
  <c r="G9" i="42"/>
  <c r="N6" i="42"/>
  <c r="Z6" i="42"/>
  <c r="E59" i="6"/>
  <c r="E5" i="42" s="1"/>
  <c r="E58" i="6"/>
  <c r="E4" i="42" s="1"/>
  <c r="AG59" i="6"/>
  <c r="AG5" i="42" s="1"/>
  <c r="AG58" i="6"/>
  <c r="AG4" i="42" s="1"/>
  <c r="U58" i="6"/>
  <c r="U4" i="42" s="1"/>
  <c r="AE58" i="6"/>
  <c r="AE4" i="42" s="1"/>
  <c r="X75" i="6"/>
  <c r="W75" i="6"/>
  <c r="T75" i="6"/>
  <c r="S75" i="6"/>
  <c r="AC75" i="6"/>
  <c r="P75" i="6"/>
  <c r="O75" i="6"/>
  <c r="Y75" i="6"/>
  <c r="AD75" i="6"/>
  <c r="U75" i="6"/>
  <c r="Z75" i="6"/>
  <c r="AF75" i="6"/>
  <c r="AE75" i="6"/>
  <c r="R75" i="6"/>
  <c r="AB75" i="6"/>
  <c r="AA75" i="6"/>
  <c r="N75" i="6"/>
  <c r="AA10" i="42"/>
  <c r="AB3" i="42"/>
  <c r="AB11" i="42"/>
  <c r="AB6" i="42"/>
  <c r="AB10" i="42"/>
  <c r="AD3" i="42"/>
  <c r="AD11" i="42"/>
  <c r="T54" i="6"/>
  <c r="T59" i="6" s="1"/>
  <c r="T5" i="42" s="1"/>
  <c r="V75" i="6"/>
  <c r="B73" i="6"/>
  <c r="B78" i="6" s="1"/>
  <c r="C73" i="6"/>
  <c r="C78" i="6" s="1"/>
  <c r="K11" i="42"/>
  <c r="K3" i="42"/>
  <c r="K6" i="42"/>
  <c r="AK34" i="6"/>
  <c r="AL34" i="6"/>
  <c r="AM34" i="6"/>
  <c r="AN34" i="6"/>
  <c r="AO34" i="6"/>
  <c r="AI34" i="6"/>
  <c r="AQ34" i="6"/>
  <c r="AJ34" i="6"/>
  <c r="AP34" i="6"/>
  <c r="AG34" i="6"/>
  <c r="J34" i="6"/>
  <c r="AC34" i="6"/>
  <c r="AC38" i="6" s="1"/>
  <c r="Q34" i="6"/>
  <c r="Q38" i="6" s="1"/>
  <c r="Q5" i="41" s="1"/>
  <c r="K34" i="6"/>
  <c r="Y34" i="6"/>
  <c r="L34" i="6"/>
  <c r="S34" i="6"/>
  <c r="F34" i="6"/>
  <c r="D34" i="6"/>
  <c r="AA34" i="6"/>
  <c r="AA38" i="6" s="1"/>
  <c r="T34" i="6"/>
  <c r="N34" i="6"/>
  <c r="H34" i="6"/>
  <c r="X34" i="6"/>
  <c r="Z34" i="6"/>
  <c r="U34" i="6"/>
  <c r="AD34" i="6"/>
  <c r="W34" i="6"/>
  <c r="W38" i="6" s="1"/>
  <c r="AH34" i="6"/>
  <c r="AH38" i="6" s="1"/>
  <c r="G34" i="6"/>
  <c r="I34" i="6"/>
  <c r="AB34" i="6"/>
  <c r="P34" i="6"/>
  <c r="R3" i="42"/>
  <c r="R10" i="42"/>
  <c r="P54" i="6"/>
  <c r="P59" i="6" s="1"/>
  <c r="P5" i="42" s="1"/>
  <c r="D78" i="6"/>
  <c r="D79" i="6"/>
  <c r="J10" i="45"/>
  <c r="F8" i="45"/>
  <c r="AA3" i="42"/>
  <c r="W10" i="42"/>
  <c r="K9" i="42"/>
  <c r="K7" i="42"/>
  <c r="D9" i="42"/>
  <c r="D7" i="42"/>
  <c r="D8" i="42"/>
  <c r="C53" i="6"/>
  <c r="C58" i="6" s="1"/>
  <c r="C4" i="42" s="1"/>
  <c r="B53" i="6"/>
  <c r="B58" i="6" s="1"/>
  <c r="B4" i="42" s="1"/>
  <c r="V54" i="6"/>
  <c r="V59" i="6" s="1"/>
  <c r="V5" i="42" s="1"/>
  <c r="N54" i="6"/>
  <c r="N59" i="6" s="1"/>
  <c r="N5" i="42" s="1"/>
  <c r="S54" i="6"/>
  <c r="S59" i="6" s="1"/>
  <c r="S5" i="42" s="1"/>
  <c r="AA54" i="6"/>
  <c r="AA59" i="6" s="1"/>
  <c r="AA5" i="42" s="1"/>
  <c r="R54" i="6"/>
  <c r="R59" i="6" s="1"/>
  <c r="R5" i="42" s="1"/>
  <c r="AC54" i="6"/>
  <c r="AC59" i="6" s="1"/>
  <c r="AC5" i="42" s="1"/>
  <c r="AG54" i="6"/>
  <c r="AF54" i="6"/>
  <c r="AF59" i="6" s="1"/>
  <c r="AF5" i="42" s="1"/>
  <c r="U54" i="6"/>
  <c r="U59" i="6" s="1"/>
  <c r="U5" i="42" s="1"/>
  <c r="Y54" i="6"/>
  <c r="Y59" i="6" s="1"/>
  <c r="Y5" i="42" s="1"/>
  <c r="X54" i="6"/>
  <c r="X59" i="6" s="1"/>
  <c r="X5" i="42" s="1"/>
  <c r="AB54" i="6"/>
  <c r="AB59" i="6" s="1"/>
  <c r="AB5" i="42" s="1"/>
  <c r="AE54" i="6"/>
  <c r="AE59" i="6" s="1"/>
  <c r="AE5" i="42" s="1"/>
  <c r="W54" i="6"/>
  <c r="W59" i="6" s="1"/>
  <c r="W5" i="42" s="1"/>
  <c r="Z54" i="6"/>
  <c r="Z59" i="6" s="1"/>
  <c r="Z5" i="42" s="1"/>
  <c r="O54" i="6"/>
  <c r="O59" i="6" s="1"/>
  <c r="O5" i="42" s="1"/>
  <c r="AD54" i="6"/>
  <c r="AD59" i="6" s="1"/>
  <c r="AD5" i="42" s="1"/>
  <c r="G78" i="6"/>
  <c r="G79" i="6"/>
  <c r="AE19" i="6"/>
  <c r="AE4" i="18" s="1"/>
  <c r="O19" i="6"/>
  <c r="O4" i="18" s="1"/>
  <c r="G19" i="6"/>
  <c r="N20" i="6"/>
  <c r="U21" i="6"/>
  <c r="U7" i="34" s="1"/>
  <c r="M21" i="6"/>
  <c r="M7" i="34" s="1"/>
  <c r="E21" i="6"/>
  <c r="U38" i="6"/>
  <c r="U5" i="39" s="1"/>
  <c r="M38" i="6"/>
  <c r="M5" i="40" s="1"/>
  <c r="E38" i="6"/>
  <c r="E5" i="39" s="1"/>
  <c r="E7" i="39" s="1"/>
  <c r="AN14" i="6"/>
  <c r="N14" i="6"/>
  <c r="N19" i="6" s="1"/>
  <c r="AO14" i="6"/>
  <c r="AH14" i="6"/>
  <c r="AH19" i="6" s="1"/>
  <c r="AP14" i="6"/>
  <c r="AI14" i="6"/>
  <c r="AQ14" i="6"/>
  <c r="AJ14" i="6"/>
  <c r="X14" i="6"/>
  <c r="AL14" i="6"/>
  <c r="AD14" i="6"/>
  <c r="AD19" i="6" s="1"/>
  <c r="AM14" i="6"/>
  <c r="AK14" i="6"/>
  <c r="W14" i="6"/>
  <c r="W19" i="6" s="1"/>
  <c r="AG14" i="6"/>
  <c r="AG19" i="6" s="1"/>
  <c r="Z11" i="42"/>
  <c r="Y6" i="42"/>
  <c r="W6" i="42"/>
  <c r="K8" i="42"/>
  <c r="V34" i="6"/>
  <c r="R34" i="6"/>
  <c r="AE34" i="6"/>
  <c r="Q75" i="6"/>
  <c r="Y19" i="6"/>
  <c r="Y4" i="34" s="1"/>
  <c r="Y3" i="34" s="1"/>
  <c r="Q19" i="6"/>
  <c r="I19" i="6"/>
  <c r="I4" i="34" s="1"/>
  <c r="I6" i="34" s="1"/>
  <c r="AF20" i="6"/>
  <c r="X20" i="6"/>
  <c r="P20" i="6"/>
  <c r="P5" i="34" s="1"/>
  <c r="P8" i="34" s="1"/>
  <c r="H20" i="6"/>
  <c r="AE21" i="6"/>
  <c r="W21" i="6"/>
  <c r="O21" i="6"/>
  <c r="G21" i="6"/>
  <c r="G7" i="34" s="1"/>
  <c r="AE38" i="6"/>
  <c r="AE5" i="40" s="1"/>
  <c r="AE9" i="40" s="1"/>
  <c r="O38" i="6"/>
  <c r="O5" i="40" s="1"/>
  <c r="O7" i="40" s="1"/>
  <c r="G38" i="6"/>
  <c r="M37" i="6"/>
  <c r="M4" i="39" s="1"/>
  <c r="M11" i="39" s="1"/>
  <c r="E37" i="6"/>
  <c r="E4" i="39" s="1"/>
  <c r="AK75" i="6"/>
  <c r="AP75" i="6"/>
  <c r="AL75" i="6"/>
  <c r="AM75" i="6"/>
  <c r="AN75" i="6"/>
  <c r="AH75" i="6"/>
  <c r="AO75" i="6"/>
  <c r="AG75" i="6"/>
  <c r="AI75" i="6"/>
  <c r="AQ75" i="6"/>
  <c r="AJ75" i="6"/>
  <c r="AF19" i="6"/>
  <c r="X19" i="6"/>
  <c r="P19" i="6"/>
  <c r="H19" i="6"/>
  <c r="AE20" i="6"/>
  <c r="W20" i="6"/>
  <c r="O20" i="6"/>
  <c r="O5" i="34" s="1"/>
  <c r="G20" i="6"/>
  <c r="G5" i="18" s="1"/>
  <c r="G9" i="18" s="1"/>
  <c r="AD21" i="6"/>
  <c r="AD7" i="34" s="1"/>
  <c r="N21" i="6"/>
  <c r="F21" i="6"/>
  <c r="AD38" i="6"/>
  <c r="AD5" i="41" s="1"/>
  <c r="AD7" i="41" s="1"/>
  <c r="V38" i="6"/>
  <c r="V5" i="39" s="1"/>
  <c r="N38" i="6"/>
  <c r="N5" i="41" s="1"/>
  <c r="N7" i="41" s="1"/>
  <c r="F38" i="6"/>
  <c r="F5" i="40" s="1"/>
  <c r="F9" i="40" s="1"/>
  <c r="L37" i="6"/>
  <c r="L4" i="41" s="1"/>
  <c r="D37" i="6"/>
  <c r="AH6" i="6"/>
  <c r="AI74" i="7"/>
  <c r="I53" i="6"/>
  <c r="I58" i="6" s="1"/>
  <c r="I4" i="42" s="1"/>
  <c r="I11" i="42" s="1"/>
  <c r="H53" i="6"/>
  <c r="H58" i="6" s="1"/>
  <c r="H4" i="42" s="1"/>
  <c r="AK54" i="6"/>
  <c r="AL54" i="6"/>
  <c r="AP54" i="6"/>
  <c r="AM54" i="6"/>
  <c r="AH54" i="6"/>
  <c r="AN54" i="6"/>
  <c r="AJ54" i="6"/>
  <c r="AO54" i="6"/>
  <c r="AI54" i="6"/>
  <c r="AQ54" i="6"/>
  <c r="V19" i="6"/>
  <c r="V4" i="18" s="1"/>
  <c r="V10" i="18" s="1"/>
  <c r="F19" i="6"/>
  <c r="AC20" i="6"/>
  <c r="U20" i="6"/>
  <c r="M20" i="6"/>
  <c r="E20" i="6"/>
  <c r="E5" i="34" s="1"/>
  <c r="E9" i="34" s="1"/>
  <c r="AB21" i="6"/>
  <c r="T21" i="6"/>
  <c r="L21" i="6"/>
  <c r="D21" i="6"/>
  <c r="D7" i="34" s="1"/>
  <c r="AB38" i="6"/>
  <c r="T38" i="6"/>
  <c r="T5" i="39" s="1"/>
  <c r="L38" i="6"/>
  <c r="D38" i="6"/>
  <c r="D5" i="38" s="1"/>
  <c r="J37" i="6"/>
  <c r="AL53" i="6"/>
  <c r="AM53" i="6"/>
  <c r="AH53" i="6"/>
  <c r="AN53" i="6"/>
  <c r="AI53" i="6"/>
  <c r="AK53" i="6"/>
  <c r="AO53" i="6"/>
  <c r="AP53" i="6"/>
  <c r="AQ53" i="6"/>
  <c r="AJ53" i="6"/>
  <c r="AL74" i="6"/>
  <c r="AM74" i="6"/>
  <c r="AI74" i="6"/>
  <c r="AN74" i="6"/>
  <c r="AH74" i="6"/>
  <c r="AO74" i="6"/>
  <c r="AQ74" i="6"/>
  <c r="AP74" i="6"/>
  <c r="AJ74" i="6"/>
  <c r="AK74" i="6"/>
  <c r="E73" i="6"/>
  <c r="E78" i="6" s="1"/>
  <c r="AC19" i="6"/>
  <c r="U19" i="6"/>
  <c r="U4" i="18" s="1"/>
  <c r="M19" i="6"/>
  <c r="E19" i="6"/>
  <c r="E4" i="18" s="1"/>
  <c r="E6" i="18" s="1"/>
  <c r="AB20" i="6"/>
  <c r="AB5" i="34" s="1"/>
  <c r="AB9" i="34" s="1"/>
  <c r="T20" i="6"/>
  <c r="T5" i="34" s="1"/>
  <c r="T8" i="34" s="1"/>
  <c r="L20" i="6"/>
  <c r="L5" i="34" s="1"/>
  <c r="L8" i="34" s="1"/>
  <c r="D20" i="6"/>
  <c r="D5" i="34" s="1"/>
  <c r="D8" i="34" s="1"/>
  <c r="AA21" i="6"/>
  <c r="S21" i="6"/>
  <c r="S7" i="34" s="1"/>
  <c r="K21" i="6"/>
  <c r="C37" i="6"/>
  <c r="C4" i="40" s="1"/>
  <c r="C10" i="40" s="1"/>
  <c r="S38" i="6"/>
  <c r="S5" i="40" s="1"/>
  <c r="S7" i="40" s="1"/>
  <c r="K38" i="6"/>
  <c r="K5" i="40" s="1"/>
  <c r="I37" i="6"/>
  <c r="I4" i="39" s="1"/>
  <c r="I6" i="39" s="1"/>
  <c r="AJ63" i="7"/>
  <c r="AI26" i="6"/>
  <c r="AJ53" i="7"/>
  <c r="AI4" i="6"/>
  <c r="AJ55" i="6"/>
  <c r="AQ55" i="6"/>
  <c r="AK55" i="6"/>
  <c r="AI55" i="6"/>
  <c r="AL55" i="6"/>
  <c r="AM55" i="6"/>
  <c r="AO55" i="6"/>
  <c r="AH55" i="6"/>
  <c r="AN55" i="6"/>
  <c r="AP55" i="6"/>
  <c r="AL73" i="6"/>
  <c r="AP73" i="6"/>
  <c r="AM73" i="6"/>
  <c r="AH73" i="6"/>
  <c r="AN73" i="6"/>
  <c r="AO73" i="6"/>
  <c r="AQ73" i="6"/>
  <c r="AI73" i="6"/>
  <c r="AJ73" i="6"/>
  <c r="AK73" i="6"/>
  <c r="AB19" i="6"/>
  <c r="AB4" i="34" s="1"/>
  <c r="T19" i="6"/>
  <c r="T4" i="18" s="1"/>
  <c r="T11" i="18" s="1"/>
  <c r="L19" i="6"/>
  <c r="D19" i="6"/>
  <c r="AA20" i="6"/>
  <c r="S20" i="6"/>
  <c r="K20" i="6"/>
  <c r="K5" i="34" s="1"/>
  <c r="K8" i="34" s="1"/>
  <c r="C21" i="6"/>
  <c r="Z21" i="6"/>
  <c r="Z7" i="34" s="1"/>
  <c r="R21" i="6"/>
  <c r="R7" i="34" s="1"/>
  <c r="J21" i="6"/>
  <c r="J7" i="34" s="1"/>
  <c r="C38" i="6"/>
  <c r="C5" i="41" s="1"/>
  <c r="C9" i="41" s="1"/>
  <c r="Z38" i="6"/>
  <c r="Z5" i="39" s="1"/>
  <c r="Z7" i="39" s="1"/>
  <c r="R38" i="6"/>
  <c r="R5" i="41" s="1"/>
  <c r="R7" i="41" s="1"/>
  <c r="J38" i="6"/>
  <c r="J5" i="41" s="1"/>
  <c r="J8" i="41" s="1"/>
  <c r="H37" i="6"/>
  <c r="AM33" i="6"/>
  <c r="AN33" i="6"/>
  <c r="AO33" i="6"/>
  <c r="AH33" i="6"/>
  <c r="AH37" i="6" s="1"/>
  <c r="AP33" i="6"/>
  <c r="AI33" i="6"/>
  <c r="AI37" i="6" s="1"/>
  <c r="AQ33" i="6"/>
  <c r="AK33" i="6"/>
  <c r="AL33" i="6"/>
  <c r="AG33" i="6"/>
  <c r="AG37" i="6" s="1"/>
  <c r="AA19" i="6"/>
  <c r="S19" i="6"/>
  <c r="S4" i="18" s="1"/>
  <c r="K19" i="6"/>
  <c r="Z20" i="6"/>
  <c r="Z5" i="18" s="1"/>
  <c r="Z9" i="18" s="1"/>
  <c r="J20" i="6"/>
  <c r="J5" i="34" s="1"/>
  <c r="J8" i="34" s="1"/>
  <c r="Y21" i="6"/>
  <c r="Y7" i="18" s="1"/>
  <c r="I21" i="6"/>
  <c r="I7" i="34" s="1"/>
  <c r="AG38" i="6"/>
  <c r="AG5" i="39" s="1"/>
  <c r="Y38" i="6"/>
  <c r="Y5" i="39" s="1"/>
  <c r="I38" i="6"/>
  <c r="G37" i="6"/>
  <c r="G4" i="39" s="1"/>
  <c r="G10" i="39" s="1"/>
  <c r="AI62" i="7"/>
  <c r="U73" i="6"/>
  <c r="Z19" i="6"/>
  <c r="Z4" i="18" s="1"/>
  <c r="Z3" i="18" s="1"/>
  <c r="J19" i="6"/>
  <c r="J4" i="34" s="1"/>
  <c r="J11" i="34" s="1"/>
  <c r="Y20" i="6"/>
  <c r="Q20" i="6"/>
  <c r="I20" i="6"/>
  <c r="X21" i="6"/>
  <c r="P21" i="6"/>
  <c r="H21" i="6"/>
  <c r="H7" i="34" s="1"/>
  <c r="AF38" i="6"/>
  <c r="X38" i="6"/>
  <c r="X5" i="40" s="1"/>
  <c r="P38" i="6"/>
  <c r="P5" i="41" s="1"/>
  <c r="H38" i="6"/>
  <c r="F37" i="6"/>
  <c r="F4" i="41" s="1"/>
  <c r="F3" i="41" s="1"/>
  <c r="AJ55" i="7"/>
  <c r="AF37" i="6"/>
  <c r="AF4" i="40" s="1"/>
  <c r="AF6" i="40" s="1"/>
  <c r="AB37" i="6"/>
  <c r="AB4" i="38" s="1"/>
  <c r="AB3" i="38" s="1"/>
  <c r="X37" i="6"/>
  <c r="X4" i="41" s="1"/>
  <c r="T37" i="6"/>
  <c r="T4" i="41" s="1"/>
  <c r="T6" i="41" s="1"/>
  <c r="P37" i="6"/>
  <c r="P4" i="41" s="1"/>
  <c r="P3" i="41" s="1"/>
  <c r="AE37" i="6"/>
  <c r="AE4" i="38" s="1"/>
  <c r="AE3" i="38" s="1"/>
  <c r="AA37" i="6"/>
  <c r="AA4" i="38" s="1"/>
  <c r="S37" i="6"/>
  <c r="S4" i="38" s="1"/>
  <c r="S3" i="38" s="1"/>
  <c r="AD37" i="6"/>
  <c r="AD4" i="39" s="1"/>
  <c r="AD3" i="39" s="1"/>
  <c r="Z37" i="6"/>
  <c r="Z4" i="41" s="1"/>
  <c r="V37" i="6"/>
  <c r="V4" i="40" s="1"/>
  <c r="V10" i="40" s="1"/>
  <c r="R37" i="6"/>
  <c r="R4" i="38" s="1"/>
  <c r="N37" i="6"/>
  <c r="N4" i="38" s="1"/>
  <c r="N11" i="38" s="1"/>
  <c r="AC37" i="6"/>
  <c r="AC4" i="39" s="1"/>
  <c r="AC6" i="39" s="1"/>
  <c r="Y37" i="6"/>
  <c r="Y4" i="39" s="1"/>
  <c r="U37" i="6"/>
  <c r="U4" i="39" s="1"/>
  <c r="U10" i="39" s="1"/>
  <c r="Q37" i="6"/>
  <c r="Q4" i="39" s="1"/>
  <c r="Q6" i="39" s="1"/>
  <c r="I10" i="42"/>
  <c r="H6" i="42"/>
  <c r="H11" i="42"/>
  <c r="H3" i="42"/>
  <c r="H10" i="42"/>
  <c r="AG4" i="18"/>
  <c r="D9" i="34"/>
  <c r="AN90" i="8"/>
  <c r="AO90" i="8" s="1"/>
  <c r="AP90" i="8" s="1"/>
  <c r="AQ90" i="8" s="1"/>
  <c r="AR90" i="8" s="1"/>
  <c r="AS90" i="8" s="1"/>
  <c r="AT90" i="8" s="1"/>
  <c r="AN82" i="8"/>
  <c r="AO82" i="8" s="1"/>
  <c r="AP82" i="8" s="1"/>
  <c r="AQ82" i="8" s="1"/>
  <c r="AR82" i="8" s="1"/>
  <c r="AS82" i="8" s="1"/>
  <c r="AT82" i="8" s="1"/>
  <c r="AN93" i="8"/>
  <c r="AO93" i="8" s="1"/>
  <c r="AP93" i="8" s="1"/>
  <c r="AQ93" i="8" s="1"/>
  <c r="AR93" i="8" s="1"/>
  <c r="AS93" i="8" s="1"/>
  <c r="AT93" i="8" s="1"/>
  <c r="AN77" i="8"/>
  <c r="AO77" i="8" s="1"/>
  <c r="AP77" i="8" s="1"/>
  <c r="AQ77" i="8" s="1"/>
  <c r="AR77" i="8" s="1"/>
  <c r="AS77" i="8" s="1"/>
  <c r="AT77" i="8" s="1"/>
  <c r="P9" i="34"/>
  <c r="AE7" i="40"/>
  <c r="E11" i="18"/>
  <c r="O9" i="40"/>
  <c r="Y10" i="34"/>
  <c r="E11" i="39"/>
  <c r="Y11" i="34"/>
  <c r="L9" i="34"/>
  <c r="Y10" i="39"/>
  <c r="Q11" i="39"/>
  <c r="Y6" i="39"/>
  <c r="AE8" i="40"/>
  <c r="E10" i="39"/>
  <c r="I5" i="41"/>
  <c r="I9" i="41" s="1"/>
  <c r="I5" i="39"/>
  <c r="I7" i="39" s="1"/>
  <c r="W4" i="40"/>
  <c r="W10" i="40" s="1"/>
  <c r="G4" i="41"/>
  <c r="G11" i="41" s="1"/>
  <c r="AD8" i="18"/>
  <c r="I5" i="40"/>
  <c r="I8" i="40" s="1"/>
  <c r="D4" i="39"/>
  <c r="D10" i="39" s="1"/>
  <c r="D4" i="38"/>
  <c r="D11" i="38" s="1"/>
  <c r="AE11" i="18"/>
  <c r="AE3" i="18"/>
  <c r="AE10" i="18"/>
  <c r="AA4" i="34"/>
  <c r="AA6" i="34" s="1"/>
  <c r="AA4" i="18"/>
  <c r="AA11" i="18" s="1"/>
  <c r="O6" i="18"/>
  <c r="O3" i="18"/>
  <c r="O11" i="18"/>
  <c r="N5" i="34"/>
  <c r="N5" i="18"/>
  <c r="N8" i="18" s="1"/>
  <c r="E7" i="18"/>
  <c r="E7" i="34"/>
  <c r="S4" i="40"/>
  <c r="S10" i="40" s="1"/>
  <c r="Z8" i="18"/>
  <c r="AF4" i="34"/>
  <c r="AF11" i="34" s="1"/>
  <c r="AF4" i="18"/>
  <c r="AF10" i="18" s="1"/>
  <c r="S5" i="18"/>
  <c r="S8" i="18" s="1"/>
  <c r="S5" i="34"/>
  <c r="Z5" i="34"/>
  <c r="Z9" i="34" s="1"/>
  <c r="F9" i="18"/>
  <c r="AF4" i="41"/>
  <c r="AF6" i="41" s="1"/>
  <c r="F5" i="41"/>
  <c r="F9" i="41" s="1"/>
  <c r="I5" i="38"/>
  <c r="I8" i="38" s="1"/>
  <c r="W4" i="41"/>
  <c r="W10" i="41" s="1"/>
  <c r="F5" i="39"/>
  <c r="F8" i="39" s="1"/>
  <c r="F8" i="40"/>
  <c r="X4" i="34"/>
  <c r="X4" i="18"/>
  <c r="X11" i="18" s="1"/>
  <c r="T3" i="18"/>
  <c r="L4" i="34"/>
  <c r="L10" i="34" s="1"/>
  <c r="L4" i="18"/>
  <c r="D4" i="34"/>
  <c r="D6" i="34" s="1"/>
  <c r="D4" i="18"/>
  <c r="L3" i="41"/>
  <c r="L11" i="41"/>
  <c r="L6" i="41"/>
  <c r="U8" i="39"/>
  <c r="U7" i="39"/>
  <c r="W6" i="39"/>
  <c r="W10" i="39"/>
  <c r="W3" i="39"/>
  <c r="AE6" i="18"/>
  <c r="O10" i="18"/>
  <c r="W4" i="38"/>
  <c r="W11" i="38" s="1"/>
  <c r="F5" i="38"/>
  <c r="P4" i="40"/>
  <c r="P3" i="40" s="1"/>
  <c r="AE4" i="34"/>
  <c r="AE11" i="34" s="1"/>
  <c r="O4" i="34"/>
  <c r="R5" i="40"/>
  <c r="R7" i="40" s="1"/>
  <c r="V9" i="39"/>
  <c r="V7" i="39"/>
  <c r="V8" i="39"/>
  <c r="M7" i="40"/>
  <c r="M9" i="40"/>
  <c r="P10" i="41"/>
  <c r="P6" i="41"/>
  <c r="F7" i="40"/>
  <c r="AD7" i="18"/>
  <c r="G5" i="34"/>
  <c r="R4" i="18"/>
  <c r="R6" i="18" s="1"/>
  <c r="M7" i="18"/>
  <c r="Y7" i="34"/>
  <c r="P4" i="39"/>
  <c r="P10" i="39" s="1"/>
  <c r="S4" i="39"/>
  <c r="S6" i="39" s="1"/>
  <c r="E8" i="39"/>
  <c r="Q7" i="18"/>
  <c r="S4" i="34"/>
  <c r="S11" i="34" s="1"/>
  <c r="T4" i="34"/>
  <c r="T6" i="34" s="1"/>
  <c r="AA4" i="41"/>
  <c r="AA3" i="41" s="1"/>
  <c r="P4" i="38"/>
  <c r="C5" i="40"/>
  <c r="E9" i="39"/>
  <c r="J5" i="18"/>
  <c r="R7" i="18"/>
  <c r="S10" i="18"/>
  <c r="S11" i="18"/>
  <c r="S6" i="18"/>
  <c r="S3" i="18"/>
  <c r="AA3" i="38"/>
  <c r="AA6" i="38"/>
  <c r="AA11" i="38"/>
  <c r="AA10" i="38"/>
  <c r="X6" i="41"/>
  <c r="X10" i="41"/>
  <c r="X3" i="41"/>
  <c r="X11" i="41"/>
  <c r="Z9" i="39"/>
  <c r="U9" i="39"/>
  <c r="Z4" i="34"/>
  <c r="Z11" i="34" s="1"/>
  <c r="AA4" i="40"/>
  <c r="AA3" i="40" s="1"/>
  <c r="G4" i="38"/>
  <c r="G10" i="38" s="1"/>
  <c r="R5" i="39"/>
  <c r="D4" i="41"/>
  <c r="C5" i="39"/>
  <c r="J10" i="34"/>
  <c r="P11" i="41"/>
  <c r="AD8" i="41"/>
  <c r="AA4" i="39"/>
  <c r="G4" i="40"/>
  <c r="G10" i="40" s="1"/>
  <c r="R5" i="38"/>
  <c r="D4" i="40"/>
  <c r="D3" i="40" s="1"/>
  <c r="Q5" i="38"/>
  <c r="Q7" i="38" s="1"/>
  <c r="C5" i="38"/>
  <c r="C8" i="38" s="1"/>
  <c r="AD5" i="38"/>
  <c r="R10" i="34"/>
  <c r="M8" i="40"/>
  <c r="AD9" i="41"/>
  <c r="Q5" i="39"/>
  <c r="AD5" i="40"/>
  <c r="AD7" i="40" s="1"/>
  <c r="U5" i="34"/>
  <c r="U5" i="18"/>
  <c r="I5" i="34"/>
  <c r="I5" i="18"/>
  <c r="T7" i="34"/>
  <c r="T7" i="18"/>
  <c r="L7" i="18"/>
  <c r="L7" i="34"/>
  <c r="P9" i="41"/>
  <c r="P7" i="41"/>
  <c r="P8" i="41"/>
  <c r="L5" i="38"/>
  <c r="L5" i="41"/>
  <c r="L5" i="39"/>
  <c r="L5" i="40"/>
  <c r="H5" i="41"/>
  <c r="H5" i="39"/>
  <c r="H5" i="38"/>
  <c r="H5" i="40"/>
  <c r="H9" i="40" s="1"/>
  <c r="AF5" i="41"/>
  <c r="AF9" i="41" s="1"/>
  <c r="AF5" i="39"/>
  <c r="AF5" i="38"/>
  <c r="AB5" i="38"/>
  <c r="AB5" i="41"/>
  <c r="AB5" i="39"/>
  <c r="T9" i="39"/>
  <c r="T8" i="39"/>
  <c r="T7" i="39"/>
  <c r="V4" i="41"/>
  <c r="V3" i="41" s="1"/>
  <c r="V4" i="38"/>
  <c r="V4" i="39"/>
  <c r="R4" i="40"/>
  <c r="R10" i="40" s="1"/>
  <c r="J4" i="38"/>
  <c r="J6" i="38" s="1"/>
  <c r="J4" i="39"/>
  <c r="J4" i="41"/>
  <c r="J10" i="41" s="1"/>
  <c r="F4" i="38"/>
  <c r="F4" i="39"/>
  <c r="F4" i="40"/>
  <c r="F3" i="40" s="1"/>
  <c r="Z10" i="18"/>
  <c r="R6" i="34"/>
  <c r="J6" i="34"/>
  <c r="D7" i="18"/>
  <c r="K5" i="18"/>
  <c r="O3" i="40"/>
  <c r="O11" i="40"/>
  <c r="AB5" i="40"/>
  <c r="AB8" i="40" s="1"/>
  <c r="P4" i="18"/>
  <c r="P4" i="34"/>
  <c r="K4" i="34"/>
  <c r="K4" i="18"/>
  <c r="O4" i="38"/>
  <c r="O3" i="38" s="1"/>
  <c r="O4" i="41"/>
  <c r="O4" i="39"/>
  <c r="O11" i="39" s="1"/>
  <c r="Y8" i="39"/>
  <c r="Y9" i="39"/>
  <c r="AC5" i="34"/>
  <c r="AC5" i="18"/>
  <c r="V3" i="18"/>
  <c r="R11" i="34"/>
  <c r="J3" i="34"/>
  <c r="V4" i="34"/>
  <c r="V10" i="34" s="1"/>
  <c r="J4" i="18"/>
  <c r="R8" i="41"/>
  <c r="R9" i="41"/>
  <c r="V6" i="40"/>
  <c r="V11" i="40"/>
  <c r="V3" i="40"/>
  <c r="F7" i="34"/>
  <c r="F7" i="18"/>
  <c r="AB7" i="34"/>
  <c r="AB7" i="18"/>
  <c r="AD4" i="34"/>
  <c r="AD4" i="18"/>
  <c r="AD6" i="18" s="1"/>
  <c r="AG5" i="18"/>
  <c r="AG5" i="34"/>
  <c r="Y7" i="39"/>
  <c r="AF5" i="40"/>
  <c r="H7" i="40"/>
  <c r="X7" i="40"/>
  <c r="X8" i="40"/>
  <c r="C11" i="40"/>
  <c r="I11" i="39"/>
  <c r="I3" i="39"/>
  <c r="I10" i="39"/>
  <c r="K7" i="40"/>
  <c r="K8" i="40"/>
  <c r="K9" i="40"/>
  <c r="X9" i="40"/>
  <c r="K11" i="38"/>
  <c r="K10" i="38"/>
  <c r="K3" i="38"/>
  <c r="M3" i="39"/>
  <c r="M6" i="39"/>
  <c r="M10" i="39"/>
  <c r="F4" i="34"/>
  <c r="F4" i="18"/>
  <c r="AG9" i="39"/>
  <c r="AG8" i="39"/>
  <c r="AE11" i="38"/>
  <c r="Q9" i="41"/>
  <c r="Q7" i="41"/>
  <c r="Y6" i="34"/>
  <c r="L10" i="41"/>
  <c r="AG7" i="39"/>
  <c r="N3" i="38"/>
  <c r="N4" i="39"/>
  <c r="AE4" i="41"/>
  <c r="M5" i="41"/>
  <c r="M5" i="38"/>
  <c r="M5" i="39"/>
  <c r="J5" i="38"/>
  <c r="J5" i="39"/>
  <c r="J5" i="40"/>
  <c r="X7" i="18"/>
  <c r="X7" i="34"/>
  <c r="C7" i="34"/>
  <c r="C7" i="18"/>
  <c r="AA5" i="18"/>
  <c r="AA5" i="34"/>
  <c r="Q8" i="41"/>
  <c r="J9" i="41"/>
  <c r="J7" i="41"/>
  <c r="G4" i="34"/>
  <c r="G4" i="18"/>
  <c r="H4" i="34"/>
  <c r="H4" i="18"/>
  <c r="Q5" i="18"/>
  <c r="Q5" i="34"/>
  <c r="C5" i="18"/>
  <c r="C5" i="34"/>
  <c r="T5" i="40"/>
  <c r="T5" i="38"/>
  <c r="T5" i="41"/>
  <c r="X5" i="38"/>
  <c r="X5" i="41"/>
  <c r="X5" i="39"/>
  <c r="AG5" i="40"/>
  <c r="AG5" i="38"/>
  <c r="AG5" i="41"/>
  <c r="K4" i="41"/>
  <c r="K4" i="39"/>
  <c r="K4" i="40"/>
  <c r="AB4" i="40"/>
  <c r="W11" i="39"/>
  <c r="J4" i="40"/>
  <c r="Q5" i="40"/>
  <c r="AD5" i="39"/>
  <c r="R4" i="39"/>
  <c r="M4" i="34"/>
  <c r="M4" i="18"/>
  <c r="AF5" i="18"/>
  <c r="AF5" i="34"/>
  <c r="O7" i="18"/>
  <c r="O7" i="34"/>
  <c r="G7" i="18"/>
  <c r="G5" i="41"/>
  <c r="G5" i="38"/>
  <c r="G5" i="39"/>
  <c r="G5" i="40"/>
  <c r="H4" i="38"/>
  <c r="H4" i="39"/>
  <c r="H4" i="40"/>
  <c r="C4" i="38"/>
  <c r="C4" i="41"/>
  <c r="C4" i="39"/>
  <c r="AE5" i="34"/>
  <c r="AE5" i="18"/>
  <c r="X5" i="34"/>
  <c r="X5" i="18"/>
  <c r="AG4" i="34"/>
  <c r="AC4" i="34"/>
  <c r="AC4" i="18"/>
  <c r="Q4" i="18"/>
  <c r="Q4" i="34"/>
  <c r="H5" i="34"/>
  <c r="H5" i="18"/>
  <c r="AE7" i="34"/>
  <c r="AE7" i="18"/>
  <c r="AA7" i="34"/>
  <c r="AA7" i="18"/>
  <c r="W7" i="34"/>
  <c r="W7" i="18"/>
  <c r="K7" i="18"/>
  <c r="K7" i="34"/>
  <c r="AE5" i="41"/>
  <c r="AE5" i="39"/>
  <c r="AE5" i="38"/>
  <c r="S5" i="41"/>
  <c r="S5" i="38"/>
  <c r="S5" i="39"/>
  <c r="O5" i="41"/>
  <c r="O5" i="39"/>
  <c r="O5" i="38"/>
  <c r="K5" i="41"/>
  <c r="K5" i="38"/>
  <c r="K5" i="39"/>
  <c r="Y4" i="40"/>
  <c r="Y4" i="38"/>
  <c r="Y4" i="41"/>
  <c r="U4" i="41"/>
  <c r="M4" i="40"/>
  <c r="M4" i="38"/>
  <c r="M4" i="41"/>
  <c r="I4" i="40"/>
  <c r="I4" i="38"/>
  <c r="I4" i="41"/>
  <c r="E4" i="40"/>
  <c r="E4" i="38"/>
  <c r="E4" i="41"/>
  <c r="AB5" i="18"/>
  <c r="AD5" i="34"/>
  <c r="M5" i="34"/>
  <c r="M5" i="18"/>
  <c r="Y5" i="34"/>
  <c r="Y5" i="18"/>
  <c r="P7" i="18"/>
  <c r="P7" i="34"/>
  <c r="V5" i="40"/>
  <c r="V5" i="41"/>
  <c r="V5" i="38"/>
  <c r="AG7" i="18"/>
  <c r="AG7" i="34"/>
  <c r="O6" i="40"/>
  <c r="C6" i="40"/>
  <c r="T5" i="18"/>
  <c r="Y4" i="18"/>
  <c r="D5" i="18"/>
  <c r="F5" i="34"/>
  <c r="P5" i="18"/>
  <c r="J7" i="18"/>
  <c r="W5" i="34"/>
  <c r="W5" i="18"/>
  <c r="U5" i="40"/>
  <c r="U5" i="38"/>
  <c r="U5" i="41"/>
  <c r="Z5" i="40"/>
  <c r="Z5" i="41"/>
  <c r="Z5" i="38"/>
  <c r="L4" i="38"/>
  <c r="L4" i="39"/>
  <c r="L4" i="40"/>
  <c r="AC4" i="40"/>
  <c r="X4" i="38"/>
  <c r="X4" i="39"/>
  <c r="X4" i="40"/>
  <c r="E4" i="34"/>
  <c r="L5" i="18"/>
  <c r="H4" i="41"/>
  <c r="W4" i="34"/>
  <c r="W4" i="18"/>
  <c r="P5" i="39"/>
  <c r="P5" i="38"/>
  <c r="P5" i="40"/>
  <c r="Y5" i="40"/>
  <c r="Y5" i="41"/>
  <c r="Y5" i="38"/>
  <c r="T4" i="40"/>
  <c r="E5" i="38"/>
  <c r="E5" i="40"/>
  <c r="E5" i="41"/>
  <c r="N7" i="34"/>
  <c r="N7" i="18"/>
  <c r="I3" i="42" l="1"/>
  <c r="I6" i="42"/>
  <c r="C7" i="41"/>
  <c r="F11" i="41"/>
  <c r="C8" i="41"/>
  <c r="F10" i="41"/>
  <c r="F6" i="41"/>
  <c r="N8" i="41"/>
  <c r="K9" i="34"/>
  <c r="T9" i="34"/>
  <c r="J9" i="34"/>
  <c r="R8" i="34"/>
  <c r="AB8" i="34"/>
  <c r="O8" i="40"/>
  <c r="C3" i="40"/>
  <c r="AB10" i="38"/>
  <c r="AB11" i="38"/>
  <c r="T10" i="18"/>
  <c r="T6" i="18"/>
  <c r="G8" i="18"/>
  <c r="E10" i="18"/>
  <c r="V11" i="18"/>
  <c r="E3" i="18"/>
  <c r="V6" i="18"/>
  <c r="G11" i="39"/>
  <c r="G3" i="39"/>
  <c r="Q10" i="39"/>
  <c r="G6" i="39"/>
  <c r="Z8" i="39"/>
  <c r="N4" i="34"/>
  <c r="N3" i="34" s="1"/>
  <c r="N4" i="18"/>
  <c r="V7" i="18"/>
  <c r="V7" i="34"/>
  <c r="AC7" i="18"/>
  <c r="AC7" i="34"/>
  <c r="AF7" i="18"/>
  <c r="AF7" i="34"/>
  <c r="V5" i="34"/>
  <c r="V9" i="34" s="1"/>
  <c r="V5" i="18"/>
  <c r="AE9" i="42"/>
  <c r="AE8" i="42"/>
  <c r="AE7" i="42"/>
  <c r="C4" i="18"/>
  <c r="C11" i="18" s="1"/>
  <c r="C4" i="34"/>
  <c r="AG4" i="39"/>
  <c r="AG4" i="40"/>
  <c r="AG4" i="38"/>
  <c r="AG3" i="38" s="1"/>
  <c r="AG4" i="41"/>
  <c r="AG11" i="41" s="1"/>
  <c r="W5" i="41"/>
  <c r="W5" i="40"/>
  <c r="W7" i="40" s="1"/>
  <c r="W5" i="39"/>
  <c r="W9" i="39" s="1"/>
  <c r="W5" i="38"/>
  <c r="AA5" i="40"/>
  <c r="AA5" i="41"/>
  <c r="AA5" i="38"/>
  <c r="AA8" i="38" s="1"/>
  <c r="AA5" i="39"/>
  <c r="AA8" i="39" s="1"/>
  <c r="AC5" i="40"/>
  <c r="AC5" i="41"/>
  <c r="AC8" i="41" s="1"/>
  <c r="AC5" i="38"/>
  <c r="AC8" i="38" s="1"/>
  <c r="AC5" i="39"/>
  <c r="E4" i="46"/>
  <c r="E4" i="45"/>
  <c r="U7" i="42"/>
  <c r="U8" i="42"/>
  <c r="U9" i="42"/>
  <c r="P9" i="42"/>
  <c r="P7" i="42"/>
  <c r="P8" i="42"/>
  <c r="U4" i="34"/>
  <c r="Z7" i="18"/>
  <c r="S7" i="18"/>
  <c r="H7" i="18"/>
  <c r="D5" i="39"/>
  <c r="D9" i="39" s="1"/>
  <c r="Z11" i="18"/>
  <c r="AF3" i="40"/>
  <c r="AO59" i="6"/>
  <c r="AO58" i="6"/>
  <c r="AK53" i="7"/>
  <c r="AJ4" i="6"/>
  <c r="AM78" i="6"/>
  <c r="AM79" i="6"/>
  <c r="R7" i="42"/>
  <c r="R9" i="42"/>
  <c r="R8" i="42"/>
  <c r="D5" i="46"/>
  <c r="D5" i="45"/>
  <c r="AI38" i="6"/>
  <c r="AE79" i="6"/>
  <c r="AE78" i="6"/>
  <c r="AC79" i="6"/>
  <c r="AC78" i="6"/>
  <c r="AP78" i="6"/>
  <c r="AP79" i="6"/>
  <c r="D3" i="34"/>
  <c r="AC3" i="39"/>
  <c r="AM58" i="6"/>
  <c r="AM59" i="6"/>
  <c r="AJ78" i="6"/>
  <c r="AJ79" i="6"/>
  <c r="AL78" i="6"/>
  <c r="AL79" i="6"/>
  <c r="G5" i="46"/>
  <c r="G5" i="45"/>
  <c r="AB9" i="42"/>
  <c r="AB7" i="42"/>
  <c r="AB8" i="42"/>
  <c r="AA7" i="42"/>
  <c r="AA9" i="42"/>
  <c r="AA8" i="42"/>
  <c r="D4" i="46"/>
  <c r="D4" i="45"/>
  <c r="C4" i="46"/>
  <c r="C4" i="45"/>
  <c r="AF78" i="6"/>
  <c r="AF79" i="6"/>
  <c r="S79" i="6"/>
  <c r="S78" i="6"/>
  <c r="AG11" i="42"/>
  <c r="AG6" i="42"/>
  <c r="AG3" i="42"/>
  <c r="AG10" i="42"/>
  <c r="AQ79" i="6"/>
  <c r="AQ78" i="6"/>
  <c r="T78" i="6"/>
  <c r="T79" i="6"/>
  <c r="E8" i="45"/>
  <c r="E9" i="45"/>
  <c r="E7" i="45"/>
  <c r="I4" i="18"/>
  <c r="N5" i="40"/>
  <c r="N8" i="40" s="1"/>
  <c r="I10" i="34"/>
  <c r="N9" i="41"/>
  <c r="AI59" i="6"/>
  <c r="AI58" i="6"/>
  <c r="AI79" i="6"/>
  <c r="AI78" i="6"/>
  <c r="AK79" i="6"/>
  <c r="AK78" i="6"/>
  <c r="Y8" i="42"/>
  <c r="Y7" i="42"/>
  <c r="Y9" i="42"/>
  <c r="N9" i="42"/>
  <c r="N7" i="42"/>
  <c r="N8" i="42"/>
  <c r="V79" i="6"/>
  <c r="V78" i="6"/>
  <c r="U78" i="6"/>
  <c r="U79" i="6"/>
  <c r="W78" i="6"/>
  <c r="W79" i="6"/>
  <c r="E11" i="42"/>
  <c r="E10" i="42"/>
  <c r="E3" i="42"/>
  <c r="E6" i="42"/>
  <c r="E8" i="46"/>
  <c r="E7" i="46"/>
  <c r="E9" i="46"/>
  <c r="X7" i="42"/>
  <c r="X9" i="42"/>
  <c r="X8" i="42"/>
  <c r="AI21" i="6"/>
  <c r="N5" i="39"/>
  <c r="N8" i="39" s="1"/>
  <c r="E5" i="18"/>
  <c r="E9" i="18" s="1"/>
  <c r="R9" i="40"/>
  <c r="I11" i="34"/>
  <c r="AJ25" i="6"/>
  <c r="AJ37" i="6" s="1"/>
  <c r="AK55" i="7"/>
  <c r="AK58" i="6"/>
  <c r="AK59" i="6"/>
  <c r="AG78" i="6"/>
  <c r="AG79" i="6"/>
  <c r="E3" i="39"/>
  <c r="E6" i="39"/>
  <c r="AJ19" i="6"/>
  <c r="AD9" i="42"/>
  <c r="AD7" i="42"/>
  <c r="AD8" i="42"/>
  <c r="V8" i="42"/>
  <c r="V9" i="42"/>
  <c r="V7" i="42"/>
  <c r="T9" i="42"/>
  <c r="T7" i="42"/>
  <c r="T8" i="42"/>
  <c r="N78" i="6"/>
  <c r="N79" i="6"/>
  <c r="AD79" i="6"/>
  <c r="AD78" i="6"/>
  <c r="X78" i="6"/>
  <c r="X79" i="6"/>
  <c r="E9" i="42"/>
  <c r="E7" i="42"/>
  <c r="E8" i="42"/>
  <c r="I3" i="34"/>
  <c r="AJ62" i="7"/>
  <c r="AI5" i="6"/>
  <c r="AP58" i="6"/>
  <c r="AP59" i="6"/>
  <c r="AQ59" i="6"/>
  <c r="AQ58" i="6"/>
  <c r="AJ74" i="7"/>
  <c r="AI6" i="6"/>
  <c r="AO78" i="6"/>
  <c r="AO79" i="6"/>
  <c r="Q79" i="6"/>
  <c r="Q78" i="6"/>
  <c r="O7" i="42"/>
  <c r="O9" i="42"/>
  <c r="O8" i="42"/>
  <c r="AF9" i="42"/>
  <c r="AF8" i="42"/>
  <c r="AF7" i="42"/>
  <c r="B10" i="42"/>
  <c r="B3" i="42"/>
  <c r="B11" i="42"/>
  <c r="B6" i="42"/>
  <c r="AA79" i="6"/>
  <c r="AA78" i="6"/>
  <c r="Y79" i="6"/>
  <c r="Y78" i="6"/>
  <c r="AE6" i="42"/>
  <c r="AE11" i="42"/>
  <c r="AE3" i="42"/>
  <c r="AE10" i="42"/>
  <c r="AL58" i="6"/>
  <c r="AL59" i="6"/>
  <c r="S9" i="42"/>
  <c r="S8" i="42"/>
  <c r="S7" i="42"/>
  <c r="B4" i="45"/>
  <c r="B4" i="46"/>
  <c r="AG8" i="42"/>
  <c r="AG9" i="42"/>
  <c r="AG7" i="42"/>
  <c r="AB4" i="18"/>
  <c r="AD10" i="39"/>
  <c r="AD4" i="41"/>
  <c r="R5" i="18"/>
  <c r="AF11" i="40"/>
  <c r="O5" i="18"/>
  <c r="O8" i="18" s="1"/>
  <c r="D5" i="40"/>
  <c r="AD11" i="39"/>
  <c r="AN58" i="6"/>
  <c r="AN59" i="6"/>
  <c r="AJ58" i="6"/>
  <c r="AJ59" i="6"/>
  <c r="S9" i="40"/>
  <c r="S8" i="40"/>
  <c r="AH78" i="6"/>
  <c r="AH79" i="6"/>
  <c r="AI19" i="6"/>
  <c r="Z7" i="42"/>
  <c r="Z9" i="42"/>
  <c r="Z8" i="42"/>
  <c r="C10" i="42"/>
  <c r="C3" i="42"/>
  <c r="C11" i="42"/>
  <c r="C6" i="42"/>
  <c r="AB79" i="6"/>
  <c r="AB78" i="6"/>
  <c r="O79" i="6"/>
  <c r="O78" i="6"/>
  <c r="AK63" i="7"/>
  <c r="AJ26" i="6"/>
  <c r="AJ38" i="6" s="1"/>
  <c r="G4" i="46"/>
  <c r="G4" i="45"/>
  <c r="Z79" i="6"/>
  <c r="Z78" i="6"/>
  <c r="N5" i="38"/>
  <c r="D5" i="41"/>
  <c r="AD4" i="40"/>
  <c r="AD6" i="40" s="1"/>
  <c r="Q4" i="41"/>
  <c r="V11" i="34"/>
  <c r="Z6" i="18"/>
  <c r="E8" i="34"/>
  <c r="U7" i="18"/>
  <c r="AF10" i="40"/>
  <c r="I7" i="18"/>
  <c r="AH58" i="6"/>
  <c r="AH59" i="6"/>
  <c r="AN78" i="6"/>
  <c r="AN79" i="6"/>
  <c r="W9" i="42"/>
  <c r="W8" i="42"/>
  <c r="W7" i="42"/>
  <c r="AC9" i="42"/>
  <c r="AC8" i="42"/>
  <c r="AC7" i="42"/>
  <c r="R79" i="6"/>
  <c r="R78" i="6"/>
  <c r="P78" i="6"/>
  <c r="P79" i="6"/>
  <c r="U10" i="42"/>
  <c r="U11" i="42"/>
  <c r="U3" i="42"/>
  <c r="U6" i="42"/>
  <c r="AI20" i="6"/>
  <c r="T4" i="39"/>
  <c r="U4" i="38"/>
  <c r="U3" i="38" s="1"/>
  <c r="T3" i="41"/>
  <c r="R4" i="41"/>
  <c r="S4" i="41"/>
  <c r="S11" i="41" s="1"/>
  <c r="U11" i="39"/>
  <c r="U3" i="39"/>
  <c r="T4" i="38"/>
  <c r="T3" i="38" s="1"/>
  <c r="U4" i="40"/>
  <c r="U10" i="40" s="1"/>
  <c r="T11" i="41"/>
  <c r="U6" i="39"/>
  <c r="T10" i="41"/>
  <c r="AE6" i="38"/>
  <c r="AE10" i="38"/>
  <c r="AC4" i="41"/>
  <c r="AA6" i="40"/>
  <c r="Q4" i="38"/>
  <c r="AB6" i="38"/>
  <c r="N4" i="41"/>
  <c r="N11" i="41" s="1"/>
  <c r="N6" i="38"/>
  <c r="AD6" i="39"/>
  <c r="Z4" i="40"/>
  <c r="Z3" i="40" s="1"/>
  <c r="Z4" i="38"/>
  <c r="Z11" i="38" s="1"/>
  <c r="AF4" i="39"/>
  <c r="AF10" i="39" s="1"/>
  <c r="Q3" i="39"/>
  <c r="AB4" i="39"/>
  <c r="AB11" i="39" s="1"/>
  <c r="AE4" i="40"/>
  <c r="AE10" i="40" s="1"/>
  <c r="Z4" i="39"/>
  <c r="P6" i="40"/>
  <c r="AC10" i="39"/>
  <c r="AD4" i="38"/>
  <c r="AD11" i="38" s="1"/>
  <c r="AC4" i="38"/>
  <c r="AC11" i="38" s="1"/>
  <c r="Q4" i="40"/>
  <c r="AB4" i="41"/>
  <c r="AB6" i="41" s="1"/>
  <c r="O11" i="38"/>
  <c r="AE4" i="39"/>
  <c r="N4" i="40"/>
  <c r="N3" i="40" s="1"/>
  <c r="N10" i="38"/>
  <c r="AF4" i="38"/>
  <c r="AF10" i="38" s="1"/>
  <c r="AC11" i="39"/>
  <c r="Y3" i="39"/>
  <c r="Y11" i="39"/>
  <c r="D11" i="39"/>
  <c r="S6" i="34"/>
  <c r="I7" i="38"/>
  <c r="I9" i="39"/>
  <c r="F10" i="40"/>
  <c r="V11" i="41"/>
  <c r="G6" i="38"/>
  <c r="AA10" i="40"/>
  <c r="I8" i="39"/>
  <c r="D6" i="38"/>
  <c r="G3" i="41"/>
  <c r="S9" i="18"/>
  <c r="D11" i="40"/>
  <c r="I9" i="38"/>
  <c r="D3" i="39"/>
  <c r="I8" i="41"/>
  <c r="D6" i="39"/>
  <c r="I7" i="41"/>
  <c r="G6" i="41"/>
  <c r="G10" i="41"/>
  <c r="W3" i="40"/>
  <c r="S3" i="39"/>
  <c r="AA11" i="40"/>
  <c r="W6" i="38"/>
  <c r="W6" i="40"/>
  <c r="P6" i="39"/>
  <c r="AF11" i="41"/>
  <c r="W10" i="38"/>
  <c r="P11" i="40"/>
  <c r="P10" i="40"/>
  <c r="R6" i="40"/>
  <c r="I7" i="40"/>
  <c r="S11" i="38"/>
  <c r="V6" i="41"/>
  <c r="D6" i="40"/>
  <c r="F8" i="41"/>
  <c r="J11" i="41"/>
  <c r="V10" i="41"/>
  <c r="G11" i="38"/>
  <c r="R3" i="41"/>
  <c r="W11" i="40"/>
  <c r="D10" i="38"/>
  <c r="D3" i="38"/>
  <c r="I9" i="40"/>
  <c r="G3" i="38"/>
  <c r="R10" i="41"/>
  <c r="AE3" i="34"/>
  <c r="S6" i="40"/>
  <c r="X6" i="18"/>
  <c r="S11" i="40"/>
  <c r="W3" i="38"/>
  <c r="AC7" i="41"/>
  <c r="AF3" i="41"/>
  <c r="S10" i="38"/>
  <c r="R10" i="18"/>
  <c r="R3" i="18"/>
  <c r="F7" i="39"/>
  <c r="Z8" i="34"/>
  <c r="S6" i="38"/>
  <c r="F9" i="39"/>
  <c r="AF10" i="41"/>
  <c r="AA6" i="41"/>
  <c r="AA11" i="41"/>
  <c r="AF6" i="18"/>
  <c r="AF3" i="18"/>
  <c r="F7" i="41"/>
  <c r="S10" i="39"/>
  <c r="S6" i="41"/>
  <c r="R11" i="18"/>
  <c r="N9" i="18"/>
  <c r="L6" i="34"/>
  <c r="AF6" i="39"/>
  <c r="AF11" i="18"/>
  <c r="AF10" i="34"/>
  <c r="AF6" i="34"/>
  <c r="AF3" i="34"/>
  <c r="N9" i="34"/>
  <c r="N8" i="34"/>
  <c r="AA3" i="18"/>
  <c r="AA6" i="18"/>
  <c r="AA10" i="18"/>
  <c r="S11" i="39"/>
  <c r="S10" i="34"/>
  <c r="S3" i="41"/>
  <c r="W3" i="41"/>
  <c r="W11" i="41"/>
  <c r="S8" i="34"/>
  <c r="S9" i="34"/>
  <c r="AA10" i="34"/>
  <c r="AA11" i="34"/>
  <c r="AA3" i="34"/>
  <c r="AF3" i="39"/>
  <c r="J3" i="38"/>
  <c r="S3" i="34"/>
  <c r="S10" i="41"/>
  <c r="R8" i="40"/>
  <c r="S3" i="40"/>
  <c r="W6" i="41"/>
  <c r="F9" i="38"/>
  <c r="F8" i="38"/>
  <c r="F7" i="38"/>
  <c r="D11" i="18"/>
  <c r="D6" i="18"/>
  <c r="D3" i="18"/>
  <c r="AE10" i="34"/>
  <c r="AE6" i="34"/>
  <c r="D11" i="34"/>
  <c r="D10" i="34"/>
  <c r="O11" i="34"/>
  <c r="O10" i="34"/>
  <c r="C7" i="38"/>
  <c r="Z10" i="34"/>
  <c r="O6" i="34"/>
  <c r="L10" i="18"/>
  <c r="L11" i="18"/>
  <c r="L6" i="18"/>
  <c r="L3" i="18"/>
  <c r="X3" i="18"/>
  <c r="X10" i="18"/>
  <c r="D10" i="18"/>
  <c r="T10" i="34"/>
  <c r="O3" i="34"/>
  <c r="L3" i="34"/>
  <c r="L11" i="34"/>
  <c r="X11" i="34"/>
  <c r="X3" i="34"/>
  <c r="X10" i="34"/>
  <c r="X6" i="34"/>
  <c r="G9" i="34"/>
  <c r="G8" i="34"/>
  <c r="C9" i="38"/>
  <c r="AC9" i="41"/>
  <c r="Z6" i="34"/>
  <c r="C9" i="40"/>
  <c r="C8" i="40"/>
  <c r="AD8" i="40"/>
  <c r="Z3" i="34"/>
  <c r="P3" i="39"/>
  <c r="P11" i="39"/>
  <c r="C7" i="40"/>
  <c r="J9" i="18"/>
  <c r="J8" i="18"/>
  <c r="AA10" i="41"/>
  <c r="AD9" i="40"/>
  <c r="V3" i="34"/>
  <c r="T11" i="34"/>
  <c r="T3" i="34"/>
  <c r="D10" i="40"/>
  <c r="P3" i="38"/>
  <c r="P10" i="38"/>
  <c r="P6" i="38"/>
  <c r="P11" i="38"/>
  <c r="AA11" i="39"/>
  <c r="AA3" i="39"/>
  <c r="AA6" i="39"/>
  <c r="D7" i="39"/>
  <c r="Q8" i="38"/>
  <c r="D8" i="39"/>
  <c r="V6" i="34"/>
  <c r="H8" i="40"/>
  <c r="Q9" i="38"/>
  <c r="J11" i="38"/>
  <c r="AF8" i="41"/>
  <c r="AD7" i="38"/>
  <c r="AD9" i="38"/>
  <c r="AD8" i="38"/>
  <c r="R8" i="38"/>
  <c r="R7" i="38"/>
  <c r="R9" i="38"/>
  <c r="C8" i="39"/>
  <c r="C7" i="39"/>
  <c r="C9" i="39"/>
  <c r="Q8" i="39"/>
  <c r="Q7" i="39"/>
  <c r="Q9" i="39"/>
  <c r="R9" i="39"/>
  <c r="R7" i="39"/>
  <c r="R8" i="39"/>
  <c r="AA10" i="39"/>
  <c r="J10" i="38"/>
  <c r="AF7" i="41"/>
  <c r="G3" i="40"/>
  <c r="G6" i="40"/>
  <c r="G11" i="40"/>
  <c r="D6" i="41"/>
  <c r="D10" i="41"/>
  <c r="D11" i="41"/>
  <c r="D3" i="41"/>
  <c r="R3" i="38"/>
  <c r="R10" i="38"/>
  <c r="R11" i="38"/>
  <c r="R6" i="38"/>
  <c r="AG8" i="18"/>
  <c r="AG9" i="18"/>
  <c r="J6" i="18"/>
  <c r="J3" i="18"/>
  <c r="J10" i="18"/>
  <c r="J11" i="18"/>
  <c r="AC9" i="18"/>
  <c r="AC8" i="18"/>
  <c r="K10" i="18"/>
  <c r="K11" i="18"/>
  <c r="K3" i="18"/>
  <c r="K6" i="18"/>
  <c r="P6" i="34"/>
  <c r="P10" i="34"/>
  <c r="P11" i="34"/>
  <c r="P3" i="34"/>
  <c r="F6" i="39"/>
  <c r="F11" i="39"/>
  <c r="F3" i="39"/>
  <c r="F10" i="39"/>
  <c r="J6" i="39"/>
  <c r="J3" i="39"/>
  <c r="J10" i="39"/>
  <c r="J11" i="39"/>
  <c r="V10" i="39"/>
  <c r="V3" i="39"/>
  <c r="V11" i="39"/>
  <c r="V6" i="39"/>
  <c r="D8" i="38"/>
  <c r="D7" i="38"/>
  <c r="D9" i="38"/>
  <c r="AB9" i="39"/>
  <c r="AB7" i="39"/>
  <c r="AB8" i="39"/>
  <c r="AF9" i="39"/>
  <c r="AF7" i="39"/>
  <c r="AF8" i="39"/>
  <c r="C6" i="34"/>
  <c r="C11" i="34"/>
  <c r="C3" i="34"/>
  <c r="C10" i="34"/>
  <c r="H8" i="41"/>
  <c r="H9" i="41"/>
  <c r="H7" i="41"/>
  <c r="L8" i="38"/>
  <c r="L7" i="38"/>
  <c r="L9" i="38"/>
  <c r="I8" i="18"/>
  <c r="I9" i="18"/>
  <c r="AD3" i="18"/>
  <c r="AD10" i="18"/>
  <c r="AD11" i="18"/>
  <c r="AC8" i="34"/>
  <c r="AC9" i="34"/>
  <c r="O6" i="39"/>
  <c r="O3" i="39"/>
  <c r="O10" i="39"/>
  <c r="K6" i="34"/>
  <c r="K10" i="34"/>
  <c r="K11" i="34"/>
  <c r="K3" i="34"/>
  <c r="P3" i="18"/>
  <c r="P11" i="18"/>
  <c r="P6" i="18"/>
  <c r="P10" i="18"/>
  <c r="AB7" i="40"/>
  <c r="AB9" i="40"/>
  <c r="F6" i="38"/>
  <c r="F10" i="38"/>
  <c r="F11" i="38"/>
  <c r="F3" i="38"/>
  <c r="V10" i="38"/>
  <c r="V3" i="38"/>
  <c r="V6" i="38"/>
  <c r="V11" i="38"/>
  <c r="Z3" i="41"/>
  <c r="Z6" i="41"/>
  <c r="Z11" i="41"/>
  <c r="Z10" i="41"/>
  <c r="AB8" i="41"/>
  <c r="AB9" i="41"/>
  <c r="AB7" i="41"/>
  <c r="C6" i="18"/>
  <c r="L7" i="40"/>
  <c r="L9" i="40"/>
  <c r="L8" i="40"/>
  <c r="I8" i="34"/>
  <c r="I9" i="34"/>
  <c r="V8" i="18"/>
  <c r="V9" i="18"/>
  <c r="AF9" i="40"/>
  <c r="AF7" i="40"/>
  <c r="AF8" i="40"/>
  <c r="AD11" i="34"/>
  <c r="AD3" i="34"/>
  <c r="AD6" i="34"/>
  <c r="AD10" i="34"/>
  <c r="AC7" i="39"/>
  <c r="AC8" i="39"/>
  <c r="AC9" i="39"/>
  <c r="O11" i="41"/>
  <c r="O3" i="41"/>
  <c r="O6" i="41"/>
  <c r="O10" i="41"/>
  <c r="R11" i="40"/>
  <c r="R3" i="40"/>
  <c r="D7" i="41"/>
  <c r="D8" i="41"/>
  <c r="D9" i="41"/>
  <c r="AB7" i="38"/>
  <c r="AB8" i="38"/>
  <c r="AB9" i="38"/>
  <c r="H7" i="38"/>
  <c r="H8" i="38"/>
  <c r="H9" i="38"/>
  <c r="L8" i="39"/>
  <c r="L9" i="39"/>
  <c r="L7" i="39"/>
  <c r="U9" i="18"/>
  <c r="U8" i="18"/>
  <c r="V8" i="34"/>
  <c r="AG8" i="34"/>
  <c r="AG9" i="34"/>
  <c r="O10" i="38"/>
  <c r="O6" i="38"/>
  <c r="K8" i="18"/>
  <c r="K9" i="18"/>
  <c r="F11" i="40"/>
  <c r="F6" i="40"/>
  <c r="J6" i="41"/>
  <c r="J3" i="41"/>
  <c r="Z3" i="39"/>
  <c r="Z6" i="39"/>
  <c r="Z11" i="39"/>
  <c r="Z10" i="39"/>
  <c r="D8" i="40"/>
  <c r="D9" i="40"/>
  <c r="D7" i="40"/>
  <c r="AF8" i="38"/>
  <c r="AF7" i="38"/>
  <c r="AF9" i="38"/>
  <c r="H8" i="39"/>
  <c r="H7" i="39"/>
  <c r="H9" i="39"/>
  <c r="L9" i="41"/>
  <c r="L7" i="41"/>
  <c r="L8" i="41"/>
  <c r="U9" i="34"/>
  <c r="U8" i="34"/>
  <c r="K6" i="41"/>
  <c r="K11" i="41"/>
  <c r="K3" i="41"/>
  <c r="K10" i="41"/>
  <c r="G11" i="34"/>
  <c r="G3" i="34"/>
  <c r="G6" i="34"/>
  <c r="G10" i="34"/>
  <c r="AE3" i="39"/>
  <c r="AE10" i="39"/>
  <c r="AE11" i="39"/>
  <c r="AE6" i="39"/>
  <c r="C9" i="34"/>
  <c r="C8" i="34"/>
  <c r="AA9" i="18"/>
  <c r="AA8" i="18"/>
  <c r="M7" i="39"/>
  <c r="M9" i="39"/>
  <c r="M8" i="39"/>
  <c r="AE11" i="41"/>
  <c r="AE6" i="41"/>
  <c r="AE10" i="41"/>
  <c r="AE3" i="41"/>
  <c r="N11" i="39"/>
  <c r="N3" i="39"/>
  <c r="N6" i="39"/>
  <c r="N10" i="39"/>
  <c r="AB11" i="34"/>
  <c r="AB3" i="34"/>
  <c r="AB6" i="34"/>
  <c r="AB10" i="34"/>
  <c r="Q7" i="40"/>
  <c r="Q9" i="40"/>
  <c r="Q8" i="40"/>
  <c r="X9" i="39"/>
  <c r="X8" i="39"/>
  <c r="X7" i="39"/>
  <c r="T8" i="40"/>
  <c r="T9" i="40"/>
  <c r="T7" i="40"/>
  <c r="J7" i="38"/>
  <c r="J9" i="38"/>
  <c r="J8" i="38"/>
  <c r="AG7" i="41"/>
  <c r="AG9" i="41"/>
  <c r="AG8" i="41"/>
  <c r="N9" i="38"/>
  <c r="N8" i="38"/>
  <c r="N7" i="38"/>
  <c r="H10" i="18"/>
  <c r="H11" i="18"/>
  <c r="H3" i="18"/>
  <c r="H6" i="18"/>
  <c r="R10" i="39"/>
  <c r="R6" i="39"/>
  <c r="R11" i="39"/>
  <c r="R3" i="39"/>
  <c r="K6" i="40"/>
  <c r="K10" i="40"/>
  <c r="K11" i="40"/>
  <c r="K3" i="40"/>
  <c r="AG9" i="38"/>
  <c r="AG8" i="38"/>
  <c r="AG7" i="38"/>
  <c r="X7" i="38"/>
  <c r="X8" i="38"/>
  <c r="X9" i="38"/>
  <c r="T8" i="41"/>
  <c r="T9" i="41"/>
  <c r="T7" i="41"/>
  <c r="C9" i="18"/>
  <c r="C8" i="18"/>
  <c r="H10" i="34"/>
  <c r="H6" i="34"/>
  <c r="H11" i="34"/>
  <c r="H3" i="34"/>
  <c r="J7" i="40"/>
  <c r="J9" i="40"/>
  <c r="J8" i="40"/>
  <c r="M7" i="38"/>
  <c r="M8" i="38"/>
  <c r="M9" i="38"/>
  <c r="AE11" i="40"/>
  <c r="AE6" i="40"/>
  <c r="AE3" i="40"/>
  <c r="F3" i="18"/>
  <c r="F6" i="18"/>
  <c r="F10" i="18"/>
  <c r="F11" i="18"/>
  <c r="AB6" i="40"/>
  <c r="AB10" i="40"/>
  <c r="AB11" i="40"/>
  <c r="AB3" i="40"/>
  <c r="Q8" i="18"/>
  <c r="Q9" i="18"/>
  <c r="AA9" i="34"/>
  <c r="AA8" i="34"/>
  <c r="N6" i="40"/>
  <c r="N10" i="40"/>
  <c r="AB10" i="18"/>
  <c r="AB11" i="18"/>
  <c r="AB3" i="18"/>
  <c r="AB6" i="18"/>
  <c r="J3" i="40"/>
  <c r="J10" i="40"/>
  <c r="J6" i="40"/>
  <c r="J11" i="40"/>
  <c r="X9" i="41"/>
  <c r="X7" i="41"/>
  <c r="X8" i="41"/>
  <c r="AD7" i="39"/>
  <c r="AD8" i="39"/>
  <c r="AD9" i="39"/>
  <c r="AB3" i="41"/>
  <c r="AB11" i="41"/>
  <c r="AB10" i="41"/>
  <c r="K6" i="39"/>
  <c r="K10" i="39"/>
  <c r="K11" i="39"/>
  <c r="K3" i="39"/>
  <c r="AG7" i="40"/>
  <c r="AG9" i="40"/>
  <c r="AG8" i="40"/>
  <c r="T7" i="38"/>
  <c r="T9" i="38"/>
  <c r="T8" i="38"/>
  <c r="Q9" i="34"/>
  <c r="Q8" i="34"/>
  <c r="G3" i="18"/>
  <c r="G6" i="18"/>
  <c r="G10" i="18"/>
  <c r="G11" i="18"/>
  <c r="O8" i="34"/>
  <c r="O9" i="34"/>
  <c r="J8" i="39"/>
  <c r="J9" i="39"/>
  <c r="J7" i="39"/>
  <c r="M9" i="41"/>
  <c r="M8" i="41"/>
  <c r="M7" i="41"/>
  <c r="F10" i="34"/>
  <c r="F11" i="34"/>
  <c r="F6" i="34"/>
  <c r="F3" i="34"/>
  <c r="P8" i="40"/>
  <c r="P9" i="40"/>
  <c r="P7" i="40"/>
  <c r="E11" i="34"/>
  <c r="E3" i="34"/>
  <c r="E10" i="34"/>
  <c r="E6" i="34"/>
  <c r="U9" i="41"/>
  <c r="U7" i="41"/>
  <c r="U8" i="41"/>
  <c r="P9" i="18"/>
  <c r="P8" i="18"/>
  <c r="E7" i="38"/>
  <c r="E8" i="38"/>
  <c r="E9" i="38"/>
  <c r="Y7" i="38"/>
  <c r="Y9" i="38"/>
  <c r="Y8" i="38"/>
  <c r="P7" i="38"/>
  <c r="P9" i="38"/>
  <c r="P8" i="38"/>
  <c r="W8" i="40"/>
  <c r="W9" i="40"/>
  <c r="X11" i="40"/>
  <c r="X3" i="40"/>
  <c r="X6" i="40"/>
  <c r="X10" i="40"/>
  <c r="AD6" i="41"/>
  <c r="AD10" i="41"/>
  <c r="AD11" i="41"/>
  <c r="AD3" i="41"/>
  <c r="AC6" i="40"/>
  <c r="AC10" i="40"/>
  <c r="AC11" i="40"/>
  <c r="AC3" i="40"/>
  <c r="Z7" i="38"/>
  <c r="Z9" i="38"/>
  <c r="Z8" i="38"/>
  <c r="U8" i="38"/>
  <c r="U9" i="38"/>
  <c r="U7" i="38"/>
  <c r="AG6" i="39"/>
  <c r="AG10" i="39"/>
  <c r="AG11" i="39"/>
  <c r="AG3" i="39"/>
  <c r="F8" i="34"/>
  <c r="F9" i="34"/>
  <c r="N6" i="34"/>
  <c r="N11" i="34"/>
  <c r="V7" i="41"/>
  <c r="V8" i="41"/>
  <c r="V9" i="41"/>
  <c r="Y8" i="18"/>
  <c r="Y9" i="18"/>
  <c r="I3" i="18"/>
  <c r="I11" i="18"/>
  <c r="I10" i="18"/>
  <c r="I6" i="18"/>
  <c r="E3" i="38"/>
  <c r="E6" i="38"/>
  <c r="E10" i="38"/>
  <c r="E11" i="38"/>
  <c r="I6" i="40"/>
  <c r="I10" i="40"/>
  <c r="I11" i="40"/>
  <c r="I3" i="40"/>
  <c r="Q3" i="41"/>
  <c r="Q6" i="41"/>
  <c r="Q10" i="41"/>
  <c r="Q11" i="41"/>
  <c r="Y6" i="40"/>
  <c r="Y10" i="40"/>
  <c r="Y11" i="40"/>
  <c r="Y3" i="40"/>
  <c r="O9" i="38"/>
  <c r="O8" i="38"/>
  <c r="O7" i="38"/>
  <c r="S9" i="38"/>
  <c r="S8" i="38"/>
  <c r="S7" i="38"/>
  <c r="W7" i="41"/>
  <c r="W9" i="41"/>
  <c r="W8" i="41"/>
  <c r="AE7" i="38"/>
  <c r="AE9" i="38"/>
  <c r="AE8" i="38"/>
  <c r="Q3" i="18"/>
  <c r="Q11" i="18"/>
  <c r="Q10" i="18"/>
  <c r="Q6" i="18"/>
  <c r="AC6" i="34"/>
  <c r="AC10" i="34"/>
  <c r="AC11" i="34"/>
  <c r="AC3" i="34"/>
  <c r="X8" i="34"/>
  <c r="X9" i="34"/>
  <c r="C11" i="41"/>
  <c r="C3" i="41"/>
  <c r="C6" i="41"/>
  <c r="C10" i="41"/>
  <c r="AG6" i="40"/>
  <c r="AG10" i="40"/>
  <c r="AG11" i="40"/>
  <c r="AG3" i="40"/>
  <c r="G7" i="40"/>
  <c r="G9" i="40"/>
  <c r="G8" i="40"/>
  <c r="AF9" i="34"/>
  <c r="AF8" i="34"/>
  <c r="E7" i="41"/>
  <c r="E9" i="41"/>
  <c r="E8" i="41"/>
  <c r="T11" i="40"/>
  <c r="T3" i="40"/>
  <c r="T6" i="40"/>
  <c r="T10" i="40"/>
  <c r="Y9" i="41"/>
  <c r="Y7" i="41"/>
  <c r="Y8" i="41"/>
  <c r="P9" i="39"/>
  <c r="P7" i="39"/>
  <c r="P8" i="39"/>
  <c r="H6" i="41"/>
  <c r="H10" i="41"/>
  <c r="H11" i="41"/>
  <c r="H3" i="41"/>
  <c r="X6" i="39"/>
  <c r="X10" i="39"/>
  <c r="X11" i="39"/>
  <c r="X3" i="39"/>
  <c r="L11" i="40"/>
  <c r="L3" i="40"/>
  <c r="L6" i="40"/>
  <c r="L10" i="40"/>
  <c r="Z8" i="41"/>
  <c r="Z9" i="41"/>
  <c r="Z7" i="41"/>
  <c r="U7" i="40"/>
  <c r="U9" i="40"/>
  <c r="U8" i="40"/>
  <c r="D9" i="18"/>
  <c r="D8" i="18"/>
  <c r="V8" i="40"/>
  <c r="V7" i="40"/>
  <c r="V9" i="40"/>
  <c r="Y9" i="34"/>
  <c r="Y8" i="34"/>
  <c r="AD9" i="34"/>
  <c r="AD8" i="34"/>
  <c r="E3" i="40"/>
  <c r="E6" i="40"/>
  <c r="E10" i="40"/>
  <c r="E11" i="40"/>
  <c r="M3" i="41"/>
  <c r="M10" i="41"/>
  <c r="M6" i="41"/>
  <c r="M11" i="41"/>
  <c r="Q11" i="38"/>
  <c r="Q3" i="38"/>
  <c r="Q6" i="38"/>
  <c r="Q10" i="38"/>
  <c r="U3" i="40"/>
  <c r="K8" i="39"/>
  <c r="K9" i="39"/>
  <c r="K7" i="39"/>
  <c r="O9" i="39"/>
  <c r="O7" i="39"/>
  <c r="O8" i="39"/>
  <c r="S8" i="41"/>
  <c r="S9" i="41"/>
  <c r="S7" i="41"/>
  <c r="AA7" i="39"/>
  <c r="AE9" i="39"/>
  <c r="AE7" i="39"/>
  <c r="AE8" i="39"/>
  <c r="H9" i="18"/>
  <c r="H8" i="18"/>
  <c r="U6" i="18"/>
  <c r="U11" i="18"/>
  <c r="U10" i="18"/>
  <c r="U3" i="18"/>
  <c r="AG10" i="34"/>
  <c r="AG11" i="34"/>
  <c r="AG3" i="34"/>
  <c r="AG6" i="34"/>
  <c r="AE9" i="18"/>
  <c r="AE8" i="18"/>
  <c r="C10" i="38"/>
  <c r="C11" i="38"/>
  <c r="C6" i="38"/>
  <c r="C3" i="38"/>
  <c r="H11" i="40"/>
  <c r="H3" i="40"/>
  <c r="H6" i="40"/>
  <c r="H10" i="40"/>
  <c r="G9" i="39"/>
  <c r="G7" i="39"/>
  <c r="G8" i="39"/>
  <c r="AF8" i="18"/>
  <c r="AF9" i="18"/>
  <c r="T6" i="39"/>
  <c r="T10" i="39"/>
  <c r="T11" i="39"/>
  <c r="T3" i="39"/>
  <c r="Y9" i="40"/>
  <c r="Y7" i="40"/>
  <c r="Y8" i="40"/>
  <c r="W11" i="18"/>
  <c r="W3" i="18"/>
  <c r="W10" i="18"/>
  <c r="W6" i="18"/>
  <c r="L8" i="18"/>
  <c r="L9" i="18"/>
  <c r="X10" i="38"/>
  <c r="X6" i="38"/>
  <c r="X3" i="38"/>
  <c r="X11" i="38"/>
  <c r="AC11" i="41"/>
  <c r="AC3" i="41"/>
  <c r="AC6" i="41"/>
  <c r="AC10" i="41"/>
  <c r="L6" i="39"/>
  <c r="L10" i="39"/>
  <c r="L11" i="39"/>
  <c r="L3" i="39"/>
  <c r="Z9" i="40"/>
  <c r="Z7" i="40"/>
  <c r="Z8" i="40"/>
  <c r="W8" i="18"/>
  <c r="W9" i="18"/>
  <c r="R9" i="18"/>
  <c r="R8" i="18"/>
  <c r="Y3" i="18"/>
  <c r="Y11" i="18"/>
  <c r="Y10" i="18"/>
  <c r="Y6" i="18"/>
  <c r="M8" i="18"/>
  <c r="M9" i="18"/>
  <c r="AB9" i="18"/>
  <c r="AB8" i="18"/>
  <c r="I11" i="41"/>
  <c r="I10" i="41"/>
  <c r="I3" i="41"/>
  <c r="I6" i="41"/>
  <c r="M11" i="38"/>
  <c r="M3" i="38"/>
  <c r="M6" i="38"/>
  <c r="M10" i="38"/>
  <c r="Q10" i="40"/>
  <c r="Q11" i="40"/>
  <c r="Q3" i="40"/>
  <c r="Q6" i="40"/>
  <c r="Y11" i="41"/>
  <c r="Y6" i="41"/>
  <c r="Y3" i="41"/>
  <c r="Y10" i="41"/>
  <c r="K9" i="38"/>
  <c r="K8" i="38"/>
  <c r="K7" i="38"/>
  <c r="O9" i="41"/>
  <c r="O7" i="41"/>
  <c r="O8" i="41"/>
  <c r="W7" i="39"/>
  <c r="AE9" i="41"/>
  <c r="AE7" i="41"/>
  <c r="AE8" i="41"/>
  <c r="H9" i="34"/>
  <c r="H8" i="34"/>
  <c r="U3" i="34"/>
  <c r="U6" i="34"/>
  <c r="U10" i="34"/>
  <c r="U11" i="34"/>
  <c r="AG3" i="18"/>
  <c r="AG6" i="18"/>
  <c r="AG11" i="18"/>
  <c r="AG10" i="18"/>
  <c r="AE9" i="34"/>
  <c r="AE8" i="34"/>
  <c r="AG6" i="41"/>
  <c r="H6" i="39"/>
  <c r="H10" i="39"/>
  <c r="H11" i="39"/>
  <c r="H3" i="39"/>
  <c r="G9" i="38"/>
  <c r="G8" i="38"/>
  <c r="G7" i="38"/>
  <c r="M3" i="18"/>
  <c r="M11" i="18"/>
  <c r="M6" i="18"/>
  <c r="M10" i="18"/>
  <c r="E7" i="40"/>
  <c r="E8" i="40"/>
  <c r="E9" i="40"/>
  <c r="W11" i="34"/>
  <c r="W3" i="34"/>
  <c r="W6" i="34"/>
  <c r="W10" i="34"/>
  <c r="L11" i="38"/>
  <c r="L10" i="38"/>
  <c r="L3" i="38"/>
  <c r="L6" i="38"/>
  <c r="W9" i="34"/>
  <c r="W8" i="34"/>
  <c r="T9" i="18"/>
  <c r="T8" i="18"/>
  <c r="N11" i="18"/>
  <c r="N3" i="18"/>
  <c r="N6" i="18"/>
  <c r="N10" i="18"/>
  <c r="V9" i="38"/>
  <c r="V8" i="38"/>
  <c r="V7" i="38"/>
  <c r="M8" i="34"/>
  <c r="M9" i="34"/>
  <c r="E10" i="41"/>
  <c r="E11" i="41"/>
  <c r="E3" i="41"/>
  <c r="E6" i="41"/>
  <c r="I10" i="38"/>
  <c r="I11" i="38"/>
  <c r="I3" i="38"/>
  <c r="I6" i="38"/>
  <c r="M10" i="40"/>
  <c r="M11" i="40"/>
  <c r="M3" i="40"/>
  <c r="M6" i="40"/>
  <c r="U3" i="41"/>
  <c r="U6" i="41"/>
  <c r="U10" i="41"/>
  <c r="U11" i="41"/>
  <c r="Y11" i="38"/>
  <c r="Y10" i="38"/>
  <c r="Y3" i="38"/>
  <c r="Y6" i="38"/>
  <c r="K9" i="41"/>
  <c r="K7" i="41"/>
  <c r="K8" i="41"/>
  <c r="S9" i="39"/>
  <c r="S7" i="39"/>
  <c r="S8" i="39"/>
  <c r="W7" i="38"/>
  <c r="W8" i="38"/>
  <c r="W9" i="38"/>
  <c r="AA8" i="41"/>
  <c r="AA9" i="41"/>
  <c r="AA7" i="41"/>
  <c r="Q3" i="34"/>
  <c r="Q6" i="34"/>
  <c r="Q10" i="34"/>
  <c r="Q11" i="34"/>
  <c r="AC11" i="18"/>
  <c r="AC3" i="18"/>
  <c r="AC10" i="18"/>
  <c r="AC6" i="18"/>
  <c r="X9" i="18"/>
  <c r="X8" i="18"/>
  <c r="C6" i="39"/>
  <c r="C11" i="39"/>
  <c r="C3" i="39"/>
  <c r="C10" i="39"/>
  <c r="H6" i="38"/>
  <c r="H10" i="38"/>
  <c r="H3" i="38"/>
  <c r="H11" i="38"/>
  <c r="G8" i="41"/>
  <c r="G9" i="41"/>
  <c r="G7" i="41"/>
  <c r="M6" i="34"/>
  <c r="M10" i="34"/>
  <c r="M11" i="34"/>
  <c r="M3" i="34"/>
  <c r="AG10" i="41" l="1"/>
  <c r="AG3" i="41"/>
  <c r="N10" i="34"/>
  <c r="N11" i="40"/>
  <c r="N7" i="40"/>
  <c r="N9" i="40"/>
  <c r="Z10" i="40"/>
  <c r="AC6" i="38"/>
  <c r="AG6" i="38"/>
  <c r="AC3" i="38"/>
  <c r="AG11" i="38"/>
  <c r="AA7" i="38"/>
  <c r="AG10" i="38"/>
  <c r="AA9" i="38"/>
  <c r="AC10" i="38"/>
  <c r="Z3" i="38"/>
  <c r="AD10" i="38"/>
  <c r="Z6" i="38"/>
  <c r="AF3" i="38"/>
  <c r="Z10" i="38"/>
  <c r="E8" i="18"/>
  <c r="AB10" i="39"/>
  <c r="N9" i="39"/>
  <c r="N7" i="39"/>
  <c r="AA9" i="39"/>
  <c r="AD10" i="40"/>
  <c r="U6" i="38"/>
  <c r="T10" i="38"/>
  <c r="C10" i="18"/>
  <c r="T11" i="38"/>
  <c r="N3" i="41"/>
  <c r="C3" i="18"/>
  <c r="Z4" i="46"/>
  <c r="Z4" i="45"/>
  <c r="Y4" i="46"/>
  <c r="Y4" i="45"/>
  <c r="N5" i="46"/>
  <c r="N5" i="45"/>
  <c r="AG4" i="45"/>
  <c r="AG4" i="46"/>
  <c r="W5" i="46"/>
  <c r="W5" i="45"/>
  <c r="AE5" i="46"/>
  <c r="AE5" i="45"/>
  <c r="E3" i="46"/>
  <c r="E10" i="46"/>
  <c r="E6" i="46"/>
  <c r="E11" i="46"/>
  <c r="AA9" i="40"/>
  <c r="AA7" i="40"/>
  <c r="AA8" i="40"/>
  <c r="O4" i="46"/>
  <c r="O4" i="45"/>
  <c r="N6" i="41"/>
  <c r="Z5" i="45"/>
  <c r="Z5" i="46"/>
  <c r="Y5" i="45"/>
  <c r="Y5" i="46"/>
  <c r="Q4" i="45"/>
  <c r="Q4" i="46"/>
  <c r="N4" i="46"/>
  <c r="N4" i="45"/>
  <c r="W4" i="46"/>
  <c r="W4" i="45"/>
  <c r="S4" i="46"/>
  <c r="S4" i="45"/>
  <c r="P5" i="46"/>
  <c r="P5" i="45"/>
  <c r="G6" i="45"/>
  <c r="G11" i="45"/>
  <c r="G3" i="45"/>
  <c r="G10" i="45"/>
  <c r="AA4" i="46"/>
  <c r="AA4" i="45"/>
  <c r="Q5" i="46"/>
  <c r="Q5" i="45"/>
  <c r="U5" i="45"/>
  <c r="U5" i="46"/>
  <c r="S5" i="46"/>
  <c r="S5" i="45"/>
  <c r="D7" i="45"/>
  <c r="D8" i="45"/>
  <c r="D9" i="45"/>
  <c r="W8" i="39"/>
  <c r="O9" i="18"/>
  <c r="AC7" i="38"/>
  <c r="P4" i="46"/>
  <c r="P4" i="45"/>
  <c r="G3" i="46"/>
  <c r="G6" i="46"/>
  <c r="G11" i="46"/>
  <c r="G10" i="46"/>
  <c r="O5" i="46"/>
  <c r="O5" i="45"/>
  <c r="B11" i="46"/>
  <c r="B10" i="46"/>
  <c r="B6" i="46"/>
  <c r="B3" i="46"/>
  <c r="AA5" i="46"/>
  <c r="AA5" i="45"/>
  <c r="U4" i="46"/>
  <c r="U4" i="45"/>
  <c r="AF5" i="45"/>
  <c r="AF5" i="46"/>
  <c r="D7" i="46"/>
  <c r="D9" i="46"/>
  <c r="D8" i="46"/>
  <c r="AD3" i="40"/>
  <c r="U11" i="38"/>
  <c r="AC9" i="38"/>
  <c r="R4" i="45"/>
  <c r="R4" i="46"/>
  <c r="AB4" i="46"/>
  <c r="AB4" i="45"/>
  <c r="B3" i="45"/>
  <c r="B11" i="45"/>
  <c r="B10" i="45"/>
  <c r="B6" i="45"/>
  <c r="AJ5" i="6"/>
  <c r="AJ20" i="6" s="1"/>
  <c r="AK62" i="7"/>
  <c r="X5" i="46"/>
  <c r="X5" i="45"/>
  <c r="AL55" i="7"/>
  <c r="AK25" i="6"/>
  <c r="AK37" i="6" s="1"/>
  <c r="V4" i="46"/>
  <c r="V4" i="45"/>
  <c r="AF4" i="46"/>
  <c r="AF4" i="45"/>
  <c r="D11" i="45"/>
  <c r="D10" i="45"/>
  <c r="D6" i="45"/>
  <c r="D3" i="45"/>
  <c r="G9" i="45"/>
  <c r="G8" i="45"/>
  <c r="G7" i="45"/>
  <c r="AC9" i="40"/>
  <c r="AC8" i="40"/>
  <c r="AC7" i="40"/>
  <c r="AD11" i="40"/>
  <c r="U10" i="38"/>
  <c r="T6" i="38"/>
  <c r="N10" i="41"/>
  <c r="R5" i="46"/>
  <c r="R5" i="45"/>
  <c r="AB5" i="45"/>
  <c r="AB5" i="46"/>
  <c r="X4" i="46"/>
  <c r="X4" i="45"/>
  <c r="V5" i="46"/>
  <c r="V5" i="45"/>
  <c r="T5" i="46"/>
  <c r="T5" i="45"/>
  <c r="C11" i="45"/>
  <c r="C6" i="45"/>
  <c r="C3" i="45"/>
  <c r="C10" i="45"/>
  <c r="D6" i="46"/>
  <c r="D10" i="46"/>
  <c r="D11" i="46"/>
  <c r="D3" i="46"/>
  <c r="G9" i="46"/>
  <c r="G7" i="46"/>
  <c r="G8" i="46"/>
  <c r="AC4" i="46"/>
  <c r="AC4" i="45"/>
  <c r="AL53" i="7"/>
  <c r="AK4" i="6"/>
  <c r="AK19" i="6" s="1"/>
  <c r="Z6" i="40"/>
  <c r="Z11" i="40"/>
  <c r="AL63" i="7"/>
  <c r="AK26" i="6"/>
  <c r="AK38" i="6" s="1"/>
  <c r="AK74" i="7"/>
  <c r="AJ6" i="6"/>
  <c r="AJ21" i="6" s="1"/>
  <c r="AD4" i="46"/>
  <c r="AD4" i="45"/>
  <c r="T4" i="46"/>
  <c r="T4" i="45"/>
  <c r="C11" i="46"/>
  <c r="C10" i="46"/>
  <c r="C6" i="46"/>
  <c r="C3" i="46"/>
  <c r="AC5" i="46"/>
  <c r="AC5" i="45"/>
  <c r="AD5" i="46"/>
  <c r="AD5" i="45"/>
  <c r="AG5" i="46"/>
  <c r="AG5" i="45"/>
  <c r="AE4" i="46"/>
  <c r="AE4" i="45"/>
  <c r="E10" i="45"/>
  <c r="E3" i="45"/>
  <c r="E11" i="45"/>
  <c r="E6" i="45"/>
  <c r="AD3" i="38"/>
  <c r="U11" i="40"/>
  <c r="AB6" i="39"/>
  <c r="AD6" i="38"/>
  <c r="U6" i="40"/>
  <c r="AB3" i="39"/>
  <c r="AF11" i="39"/>
  <c r="R11" i="41"/>
  <c r="R6" i="41"/>
  <c r="AF6" i="38"/>
  <c r="AF11" i="38"/>
  <c r="AD8" i="46" l="1"/>
  <c r="AD9" i="46"/>
  <c r="AD7" i="46"/>
  <c r="AC11" i="46"/>
  <c r="AC6" i="46"/>
  <c r="AC10" i="46"/>
  <c r="AC3" i="46"/>
  <c r="AB11" i="46"/>
  <c r="AB10" i="46"/>
  <c r="AB3" i="46"/>
  <c r="AB6" i="46"/>
  <c r="AF10" i="45"/>
  <c r="AF6" i="45"/>
  <c r="AF11" i="45"/>
  <c r="AF3" i="45"/>
  <c r="X8" i="45"/>
  <c r="X9" i="45"/>
  <c r="X7" i="45"/>
  <c r="R3" i="46"/>
  <c r="R6" i="46"/>
  <c r="R11" i="46"/>
  <c r="R10" i="46"/>
  <c r="AF7" i="46"/>
  <c r="AF9" i="46"/>
  <c r="AF8" i="46"/>
  <c r="P3" i="45"/>
  <c r="P6" i="45"/>
  <c r="P11" i="45"/>
  <c r="P10" i="45"/>
  <c r="S8" i="46"/>
  <c r="S7" i="46"/>
  <c r="S9" i="46"/>
  <c r="Q11" i="46"/>
  <c r="Q10" i="46"/>
  <c r="Q6" i="46"/>
  <c r="Q3" i="46"/>
  <c r="Z9" i="46"/>
  <c r="Z8" i="46"/>
  <c r="Z7" i="46"/>
  <c r="W8" i="45"/>
  <c r="W9" i="45"/>
  <c r="W7" i="45"/>
  <c r="Z11" i="45"/>
  <c r="Z6" i="45"/>
  <c r="Z10" i="45"/>
  <c r="Z3" i="45"/>
  <c r="S8" i="45"/>
  <c r="S9" i="45"/>
  <c r="S7" i="45"/>
  <c r="Q9" i="45"/>
  <c r="Q7" i="45"/>
  <c r="Q8" i="45"/>
  <c r="Q11" i="45"/>
  <c r="Q3" i="45"/>
  <c r="Q10" i="45"/>
  <c r="Q6" i="45"/>
  <c r="Y6" i="45"/>
  <c r="Y11" i="45"/>
  <c r="Y10" i="45"/>
  <c r="Y3" i="45"/>
  <c r="AA8" i="46"/>
  <c r="AA9" i="46"/>
  <c r="AA7" i="46"/>
  <c r="O9" i="45"/>
  <c r="O8" i="45"/>
  <c r="O7" i="45"/>
  <c r="Q9" i="46"/>
  <c r="Q7" i="46"/>
  <c r="Q8" i="46"/>
  <c r="S6" i="45"/>
  <c r="S11" i="45"/>
  <c r="S10" i="45"/>
  <c r="S3" i="45"/>
  <c r="Y8" i="46"/>
  <c r="Y7" i="46"/>
  <c r="Y9" i="46"/>
  <c r="AG10" i="46"/>
  <c r="AG6" i="46"/>
  <c r="AG11" i="46"/>
  <c r="AG3" i="46"/>
  <c r="Y10" i="46"/>
  <c r="Y6" i="46"/>
  <c r="Y11" i="46"/>
  <c r="Y3" i="46"/>
  <c r="AD6" i="46"/>
  <c r="AD3" i="46"/>
  <c r="AD10" i="46"/>
  <c r="AD11" i="46"/>
  <c r="Z8" i="45"/>
  <c r="Z9" i="45"/>
  <c r="Z7" i="45"/>
  <c r="Z11" i="46"/>
  <c r="Z6" i="46"/>
  <c r="Z3" i="46"/>
  <c r="Z10" i="46"/>
  <c r="R9" i="45"/>
  <c r="R8" i="45"/>
  <c r="R7" i="45"/>
  <c r="V3" i="45"/>
  <c r="V6" i="45"/>
  <c r="V10" i="45"/>
  <c r="V11" i="45"/>
  <c r="AK5" i="6"/>
  <c r="AK20" i="6" s="1"/>
  <c r="AL62" i="7"/>
  <c r="T6" i="46"/>
  <c r="T10" i="46"/>
  <c r="T11" i="46"/>
  <c r="T3" i="46"/>
  <c r="T8" i="45"/>
  <c r="T7" i="45"/>
  <c r="T9" i="45"/>
  <c r="X6" i="45"/>
  <c r="X3" i="45"/>
  <c r="X10" i="45"/>
  <c r="X11" i="45"/>
  <c r="R9" i="46"/>
  <c r="R8" i="46"/>
  <c r="R7" i="46"/>
  <c r="V3" i="46"/>
  <c r="V10" i="46"/>
  <c r="V6" i="46"/>
  <c r="V11" i="46"/>
  <c r="O8" i="46"/>
  <c r="O7" i="46"/>
  <c r="O9" i="46"/>
  <c r="AA3" i="45"/>
  <c r="AA10" i="45"/>
  <c r="AA11" i="45"/>
  <c r="AA6" i="45"/>
  <c r="S3" i="46"/>
  <c r="S6" i="46"/>
  <c r="S11" i="46"/>
  <c r="S10" i="46"/>
  <c r="N3" i="45"/>
  <c r="N6" i="45"/>
  <c r="N10" i="45"/>
  <c r="N11" i="45"/>
  <c r="Y8" i="45"/>
  <c r="Y9" i="45"/>
  <c r="Y7" i="45"/>
  <c r="AE8" i="45"/>
  <c r="AE9" i="45"/>
  <c r="AE7" i="45"/>
  <c r="AG10" i="45"/>
  <c r="AG11" i="45"/>
  <c r="AG6" i="45"/>
  <c r="AG3" i="45"/>
  <c r="AB7" i="45"/>
  <c r="AB9" i="45"/>
  <c r="AB8" i="45"/>
  <c r="AE3" i="45"/>
  <c r="AE11" i="45"/>
  <c r="AE6" i="45"/>
  <c r="AE10" i="45"/>
  <c r="T9" i="46"/>
  <c r="T7" i="46"/>
  <c r="T8" i="46"/>
  <c r="X3" i="46"/>
  <c r="X11" i="46"/>
  <c r="X10" i="46"/>
  <c r="X6" i="46"/>
  <c r="AA3" i="46"/>
  <c r="AA6" i="46"/>
  <c r="AA11" i="46"/>
  <c r="AA10" i="46"/>
  <c r="N11" i="46"/>
  <c r="N6" i="46"/>
  <c r="N3" i="46"/>
  <c r="N10" i="46"/>
  <c r="AE9" i="46"/>
  <c r="AE7" i="46"/>
  <c r="AE8" i="46"/>
  <c r="N9" i="45"/>
  <c r="N8" i="45"/>
  <c r="N7" i="45"/>
  <c r="AB9" i="46"/>
  <c r="AB8" i="46"/>
  <c r="AB7" i="46"/>
  <c r="AM63" i="7"/>
  <c r="AL26" i="6"/>
  <c r="AL38" i="6" s="1"/>
  <c r="AF3" i="46"/>
  <c r="AF6" i="46"/>
  <c r="AF11" i="46"/>
  <c r="AF10" i="46"/>
  <c r="AA8" i="45"/>
  <c r="AA7" i="45"/>
  <c r="AA9" i="45"/>
  <c r="P6" i="46"/>
  <c r="P10" i="46"/>
  <c r="P11" i="46"/>
  <c r="P3" i="46"/>
  <c r="W8" i="46"/>
  <c r="W7" i="46"/>
  <c r="W9" i="46"/>
  <c r="AG9" i="46"/>
  <c r="AG8" i="46"/>
  <c r="AG7" i="46"/>
  <c r="AC8" i="46"/>
  <c r="AC7" i="46"/>
  <c r="AC9" i="46"/>
  <c r="V7" i="45"/>
  <c r="V9" i="45"/>
  <c r="V8" i="45"/>
  <c r="AM55" i="7"/>
  <c r="AL25" i="6"/>
  <c r="AL37" i="6" s="1"/>
  <c r="U11" i="45"/>
  <c r="U10" i="45"/>
  <c r="U3" i="45"/>
  <c r="U6" i="45"/>
  <c r="U7" i="46"/>
  <c r="U9" i="46"/>
  <c r="U8" i="46"/>
  <c r="P9" i="45"/>
  <c r="P7" i="45"/>
  <c r="P8" i="45"/>
  <c r="N9" i="46"/>
  <c r="N7" i="46"/>
  <c r="N8" i="46"/>
  <c r="W10" i="46"/>
  <c r="W3" i="46"/>
  <c r="W11" i="46"/>
  <c r="W6" i="46"/>
  <c r="O11" i="46"/>
  <c r="O10" i="46"/>
  <c r="O3" i="46"/>
  <c r="O6" i="46"/>
  <c r="AL74" i="7"/>
  <c r="AK6" i="6"/>
  <c r="AK21" i="6" s="1"/>
  <c r="X9" i="46"/>
  <c r="X8" i="46"/>
  <c r="X7" i="46"/>
  <c r="R3" i="45"/>
  <c r="R10" i="45"/>
  <c r="R11" i="45"/>
  <c r="R6" i="45"/>
  <c r="AF9" i="45"/>
  <c r="AF7" i="45"/>
  <c r="AF8" i="45"/>
  <c r="T10" i="45"/>
  <c r="T11" i="45"/>
  <c r="T3" i="45"/>
  <c r="T6" i="45"/>
  <c r="AG9" i="45"/>
  <c r="AG8" i="45"/>
  <c r="AG7" i="45"/>
  <c r="AC7" i="45"/>
  <c r="AC8" i="45"/>
  <c r="AC9" i="45"/>
  <c r="AE3" i="46"/>
  <c r="AE10" i="46"/>
  <c r="AE11" i="46"/>
  <c r="AE6" i="46"/>
  <c r="AM53" i="7"/>
  <c r="AL4" i="6"/>
  <c r="AL19" i="6" s="1"/>
  <c r="AD8" i="45"/>
  <c r="AD9" i="45"/>
  <c r="AD7" i="45"/>
  <c r="AD3" i="45"/>
  <c r="AD6" i="45"/>
  <c r="AD11" i="45"/>
  <c r="AD10" i="45"/>
  <c r="AC6" i="45"/>
  <c r="AC10" i="45"/>
  <c r="AC3" i="45"/>
  <c r="AC11" i="45"/>
  <c r="V9" i="46"/>
  <c r="V8" i="46"/>
  <c r="V7" i="46"/>
  <c r="AB11" i="45"/>
  <c r="AB10" i="45"/>
  <c r="AB6" i="45"/>
  <c r="AB3" i="45"/>
  <c r="U10" i="46"/>
  <c r="U11" i="46"/>
  <c r="U3" i="46"/>
  <c r="U6" i="46"/>
  <c r="U7" i="45"/>
  <c r="U9" i="45"/>
  <c r="U8" i="45"/>
  <c r="P9" i="46"/>
  <c r="P8" i="46"/>
  <c r="P7" i="46"/>
  <c r="W3" i="45"/>
  <c r="W11" i="45"/>
  <c r="W10" i="45"/>
  <c r="W6" i="45"/>
  <c r="O11" i="45"/>
  <c r="O3" i="45"/>
  <c r="O10" i="45"/>
  <c r="O6" i="45"/>
  <c r="AM74" i="7" l="1"/>
  <c r="AL6" i="6"/>
  <c r="AL21" i="6" s="1"/>
  <c r="AN53" i="7"/>
  <c r="AM4" i="6"/>
  <c r="AM19" i="6" s="1"/>
  <c r="AM62" i="7"/>
  <c r="AL5" i="6"/>
  <c r="AL20" i="6" s="1"/>
  <c r="AN63" i="7"/>
  <c r="AM26" i="6"/>
  <c r="AM38" i="6" s="1"/>
  <c r="AN55" i="7"/>
  <c r="AM25" i="6"/>
  <c r="AM37" i="6" s="1"/>
  <c r="AO63" i="7" l="1"/>
  <c r="AN26" i="6"/>
  <c r="AN38" i="6" s="1"/>
  <c r="AO53" i="7"/>
  <c r="AN4" i="6"/>
  <c r="AN19" i="6" s="1"/>
  <c r="AN74" i="7"/>
  <c r="AM6" i="6"/>
  <c r="AM21" i="6" s="1"/>
  <c r="AN62" i="7"/>
  <c r="AM5" i="6"/>
  <c r="AM20" i="6" s="1"/>
  <c r="AO55" i="7"/>
  <c r="AN25" i="6"/>
  <c r="AN37" i="6" s="1"/>
  <c r="AO62" i="7" l="1"/>
  <c r="AN5" i="6"/>
  <c r="AN20" i="6" s="1"/>
  <c r="AP53" i="7"/>
  <c r="AO4" i="6"/>
  <c r="AO19" i="6" s="1"/>
  <c r="AP55" i="7"/>
  <c r="AO25" i="6"/>
  <c r="AO37" i="6" s="1"/>
  <c r="AO74" i="7"/>
  <c r="AN6" i="6"/>
  <c r="AN21" i="6" s="1"/>
  <c r="AP63" i="7"/>
  <c r="AO26" i="6"/>
  <c r="AO38" i="6" s="1"/>
  <c r="AQ63" i="7" l="1"/>
  <c r="AQ26" i="6" s="1"/>
  <c r="AQ38" i="6" s="1"/>
  <c r="AP26" i="6"/>
  <c r="AP38" i="6" s="1"/>
  <c r="AQ55" i="7"/>
  <c r="AQ25" i="6" s="1"/>
  <c r="AQ37" i="6" s="1"/>
  <c r="AP25" i="6"/>
  <c r="AP37" i="6" s="1"/>
  <c r="AO5" i="6"/>
  <c r="AO20" i="6" s="1"/>
  <c r="AP62" i="7"/>
  <c r="AP74" i="7"/>
  <c r="AO6" i="6"/>
  <c r="AO21" i="6" s="1"/>
  <c r="AQ53" i="7"/>
  <c r="AQ4" i="6" s="1"/>
  <c r="AQ19" i="6" s="1"/>
  <c r="AP4" i="6"/>
  <c r="AP19" i="6" s="1"/>
  <c r="AQ74" i="7" l="1"/>
  <c r="AQ6" i="6" s="1"/>
  <c r="AQ21" i="6" s="1"/>
  <c r="AP6" i="6"/>
  <c r="AP21" i="6" s="1"/>
  <c r="AQ62" i="7"/>
  <c r="AQ5" i="6" s="1"/>
  <c r="AQ20" i="6" s="1"/>
  <c r="AP5" i="6"/>
  <c r="AP20" i="6" s="1"/>
</calcChain>
</file>

<file path=xl/sharedStrings.xml><?xml version="1.0" encoding="utf-8"?>
<sst xmlns="http://schemas.openxmlformats.org/spreadsheetml/2006/main" count="1222" uniqueCount="629">
  <si>
    <t xml:space="preserve">Installed Base </t>
  </si>
  <si>
    <t xml:space="preserve">Current Standard </t>
  </si>
  <si>
    <t xml:space="preserve">Typical </t>
  </si>
  <si>
    <t xml:space="preserve">ENERGY STAR </t>
  </si>
  <si>
    <t xml:space="preserve">High </t>
  </si>
  <si>
    <t xml:space="preserve">Average Life (yrs) </t>
  </si>
  <si>
    <t xml:space="preserve">Retail Equipment Cost (2017$) </t>
  </si>
  <si>
    <t xml:space="preserve">Typical Capacity (gal) </t>
  </si>
  <si>
    <t xml:space="preserve">Uniform Energy Factor (UEF)* </t>
  </si>
  <si>
    <t xml:space="preserve">Total Installed Cost (2017$)** </t>
  </si>
  <si>
    <t xml:space="preserve">Annual Maintenance Cost (2017$)*** </t>
  </si>
  <si>
    <t xml:space="preserve">- </t>
  </si>
  <si>
    <t>Residential Equipment</t>
  </si>
  <si>
    <t>natural gas</t>
  </si>
  <si>
    <t>oil</t>
  </si>
  <si>
    <t>Report</t>
  </si>
  <si>
    <t>Scenario</t>
  </si>
  <si>
    <t>Reference case</t>
  </si>
  <si>
    <t>Datekey</t>
  </si>
  <si>
    <t>Release Date</t>
  </si>
  <si>
    <t>RKI000</t>
  </si>
  <si>
    <t>4. Residential Sector Key Indicators and Consumption</t>
  </si>
  <si>
    <t>(quadrillion Btu, unless otherwise noted)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</si>
  <si>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</si>
  <si>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</si>
  <si>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</si>
  <si>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</si>
  <si>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</si>
  <si>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</si>
  <si>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</si>
  <si>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</si>
  <si>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</si>
  <si>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</si>
  <si>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</si>
  <si>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</si>
  <si>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</si>
  <si>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</si>
  <si>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</si>
  <si>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</si>
  <si>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</si>
  <si>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</si>
  <si>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</si>
  <si>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</si>
  <si>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</si>
  <si>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</si>
  <si>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</si>
  <si>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</si>
  <si>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</si>
  <si>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</si>
  <si>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</si>
  <si>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</si>
  <si>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</si>
  <si>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</si>
  <si>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</si>
  <si>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</si>
  <si>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</si>
  <si>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</si>
  <si>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</si>
  <si>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</si>
  <si>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</si>
  <si>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</si>
  <si>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</si>
  <si>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</si>
  <si>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</si>
  <si>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</si>
  <si>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</si>
  <si>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</si>
  <si>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</si>
  <si>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</si>
  <si>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</si>
  <si>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</si>
  <si>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</si>
  <si>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</si>
  <si>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</si>
  <si>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</si>
  <si>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</si>
  <si>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</si>
  <si>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</si>
  <si>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</si>
  <si>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</si>
  <si>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</si>
  <si>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</si>
  <si>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</si>
  <si>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</si>
  <si>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</si>
  <si>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</si>
  <si>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8/</t>
  </si>
  <si>
    <t>RKI000:ia_DeliveredEner</t>
  </si>
  <si>
    <t>RKI000:ja_MarketedRenew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</si>
  <si>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</si>
  <si>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</si>
  <si>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</si>
  <si>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</si>
  <si>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</si>
  <si>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</si>
  <si>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</si>
  <si>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</si>
  <si>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</si>
  <si>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</si>
  <si>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</si>
  <si>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</si>
  <si>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</si>
  <si>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</si>
  <si>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</si>
  <si>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</si>
  <si>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</si>
  <si>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>RKI000:ka_Dishwashers</t>
  </si>
  <si>
    <t>RKI000:ka_ColorTelevisi</t>
  </si>
  <si>
    <t>RKI000:ka_PersonalCompu</t>
  </si>
  <si>
    <t>RKI000:ka_FurnaceFans</t>
  </si>
  <si>
    <t xml:space="preserve"> Furnace Fans and Boiler Circulation Pumps</t>
  </si>
  <si>
    <t>RKI000:ka_OtherUses</t>
  </si>
  <si>
    <t>RKI000:ka_DeliveredEner</t>
  </si>
  <si>
    <t>RKI000:la_ElectricityRe</t>
  </si>
  <si>
    <t>Electricity Related Losses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</si>
  <si>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</si>
  <si>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</si>
  <si>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</si>
  <si>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</si>
  <si>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</si>
  <si>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</si>
  <si>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</si>
  <si>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</si>
  <si>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</si>
  <si>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</si>
  <si>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</si>
  <si>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</si>
  <si>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</si>
  <si>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</si>
  <si>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</si>
  <si>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</si>
  <si>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</si>
  <si>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</si>
  <si>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</si>
  <si>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</si>
  <si>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</si>
  <si>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</si>
  <si>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</si>
  <si>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</si>
  <si>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</si>
  <si>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</si>
  <si>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</si>
  <si>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</si>
  <si>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</si>
  <si>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</si>
  <si>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</si>
  <si>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</si>
  <si>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</si>
  <si>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</si>
  <si>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</si>
  <si>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</si>
  <si>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</si>
  <si>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</si>
  <si>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</si>
  <si>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</si>
  <si>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</si>
  <si>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</si>
  <si>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</si>
  <si>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</si>
  <si>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</si>
  <si>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</si>
  <si>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</si>
  <si>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</si>
  <si>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</si>
  <si>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</si>
  <si>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</si>
  <si>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</si>
  <si>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</si>
  <si>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</si>
  <si>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</si>
  <si>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</si>
  <si>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</si>
  <si>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</si>
  <si>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</si>
  <si>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heaters, spa heaters, and backup electricity generators not listed above.  Electric vehicles are included in the transportation sector.</t>
  </si>
  <si>
    <t>Equipment Stock (million units)</t>
  </si>
  <si>
    <t>Stock Average Equipment Efficiency</t>
  </si>
  <si>
    <t>- -</t>
  </si>
  <si>
    <t>Heating Energy Consumption per Unit per Year by Fuel (btu/unit)</t>
  </si>
  <si>
    <t>Incremental Equipment Cost</t>
  </si>
  <si>
    <r>
      <rPr>
        <b/>
        <sz val="11"/>
        <color rgb="FFFFFFFF"/>
        <rFont val="Calibri"/>
        <family val="2"/>
      </rPr>
      <t>DATA</t>
    </r>
  </si>
  <si>
    <r>
      <rPr>
        <b/>
        <sz val="11"/>
        <rFont val="Calibri"/>
        <family val="2"/>
      </rPr>
      <t>Installed Base</t>
    </r>
  </si>
  <si>
    <r>
      <rPr>
        <b/>
        <sz val="11"/>
        <rFont val="Calibri"/>
        <family val="2"/>
      </rPr>
      <t>Current Standard</t>
    </r>
  </si>
  <si>
    <r>
      <rPr>
        <b/>
        <sz val="11"/>
        <rFont val="Calibri"/>
        <family val="2"/>
      </rPr>
      <t>Typical</t>
    </r>
  </si>
  <si>
    <r>
      <rPr>
        <b/>
        <sz val="11"/>
        <rFont val="Calibri"/>
        <family val="2"/>
      </rPr>
      <t>ENERGY STAR</t>
    </r>
  </si>
  <si>
    <r>
      <rPr>
        <b/>
        <sz val="11"/>
        <rFont val="Calibri"/>
        <family val="2"/>
      </rPr>
      <t>High</t>
    </r>
  </si>
  <si>
    <r>
      <rPr>
        <b/>
        <sz val="11"/>
        <rFont val="Calibri"/>
        <family val="2"/>
      </rPr>
      <t>High      Typical</t>
    </r>
  </si>
  <si>
    <r>
      <rPr>
        <b/>
        <sz val="11"/>
        <rFont val="Calibri"/>
        <family val="2"/>
      </rPr>
      <t>Typical Input Capacity (kBtu/h)</t>
    </r>
  </si>
  <si>
    <r>
      <rPr>
        <b/>
        <sz val="11"/>
        <rFont val="Calibri"/>
        <family val="2"/>
      </rPr>
      <t>AFUE (%)</t>
    </r>
  </si>
  <si>
    <r>
      <rPr>
        <b/>
        <sz val="11"/>
        <rFont val="Calibri"/>
        <family val="2"/>
      </rPr>
      <t>Electric Consumption (kWh/yr)*</t>
    </r>
  </si>
  <si>
    <r>
      <rPr>
        <b/>
        <sz val="11"/>
        <rFont val="Calibri"/>
        <family val="2"/>
      </rPr>
      <t>Average Life (yrs)**</t>
    </r>
  </si>
  <si>
    <r>
      <rPr>
        <b/>
        <sz val="11"/>
        <rFont val="Calibri"/>
        <family val="2"/>
      </rPr>
      <t>Retail Equipment Cost (2017$)</t>
    </r>
  </si>
  <si>
    <r>
      <rPr>
        <b/>
        <sz val="11"/>
        <rFont val="Calibri"/>
        <family val="2"/>
      </rPr>
      <t>Total Installed Cost (2017$)</t>
    </r>
  </si>
  <si>
    <r>
      <rPr>
        <b/>
        <sz val="11"/>
        <rFont val="Calibri"/>
        <family val="2"/>
      </rPr>
      <t>Annual Maintenance Cost (2017$)</t>
    </r>
  </si>
  <si>
    <t>Residential Oil Fired Furnaces</t>
  </si>
  <si>
    <r>
      <rPr>
        <b/>
        <sz val="11"/>
        <rFont val="Calibri"/>
        <family val="2"/>
      </rPr>
      <t xml:space="preserve">ENERGY STAR
</t>
    </r>
    <r>
      <rPr>
        <b/>
        <sz val="11"/>
        <rFont val="Calibri"/>
        <family val="2"/>
      </rPr>
      <t>(South)</t>
    </r>
  </si>
  <si>
    <t>Residential Gas Fired Furnaces</t>
  </si>
  <si>
    <r>
      <rPr>
        <b/>
        <sz val="11"/>
        <color rgb="FFFFFFFF"/>
        <rFont val="Calibri"/>
        <family val="2"/>
      </rPr>
      <t>2030**</t>
    </r>
  </si>
  <si>
    <r>
      <rPr>
        <b/>
        <sz val="11"/>
        <rFont val="Calibri"/>
        <family val="2"/>
      </rPr>
      <t>Typical Capacity (kBtu/h)</t>
    </r>
  </si>
  <si>
    <r>
      <rPr>
        <b/>
        <sz val="11"/>
        <rFont val="Calibri"/>
        <family val="2"/>
      </rPr>
      <t>SEER (Cooling)*</t>
    </r>
  </si>
  <si>
    <r>
      <rPr>
        <b/>
        <sz val="11"/>
        <rFont val="Calibri"/>
        <family val="2"/>
      </rPr>
      <t>HSPF (Heating)*</t>
    </r>
  </si>
  <si>
    <r>
      <rPr>
        <sz val="11"/>
        <rFont val="Calibri"/>
        <family val="2"/>
      </rPr>
      <t>7 .0</t>
    </r>
  </si>
  <si>
    <r>
      <rPr>
        <b/>
        <sz val="11"/>
        <rFont val="Calibri"/>
        <family val="2"/>
      </rPr>
      <t>Average Life (yrs)</t>
    </r>
  </si>
  <si>
    <r>
      <rPr>
        <b/>
        <sz val="11"/>
        <rFont val="Calibri"/>
        <family val="2"/>
      </rPr>
      <t>Retail Equipment Cost (2017$)*</t>
    </r>
  </si>
  <si>
    <r>
      <rPr>
        <b/>
        <sz val="11"/>
        <rFont val="Calibri"/>
        <family val="2"/>
      </rPr>
      <t>Total Installed Cost (2017$)*</t>
    </r>
  </si>
  <si>
    <t>Residential Air Source Heat Pumps</t>
  </si>
  <si>
    <t>Annualized Incremental Equipment Cost</t>
  </si>
  <si>
    <t>biomass</t>
  </si>
  <si>
    <r>
      <rPr>
        <b/>
        <sz val="11"/>
        <rFont val="Calibri"/>
        <family val="2"/>
      </rPr>
      <t xml:space="preserve">Installed
</t>
    </r>
    <r>
      <rPr>
        <b/>
        <sz val="11"/>
        <rFont val="Calibri"/>
        <family val="2"/>
      </rPr>
      <t>Base</t>
    </r>
  </si>
  <si>
    <r>
      <rPr>
        <b/>
        <sz val="11"/>
        <rFont val="Calibri"/>
        <family val="2"/>
      </rPr>
      <t>Efficiency (HHV)</t>
    </r>
  </si>
  <si>
    <r>
      <rPr>
        <b/>
        <sz val="11"/>
        <rFont val="Calibri"/>
        <family val="2"/>
      </rPr>
      <t>Annual Electricity Consumption (kWh)</t>
    </r>
  </si>
  <si>
    <t>Residential Wood Pellet Stoves</t>
  </si>
  <si>
    <t>Annualized Incremental Cost per BTU Shifted</t>
  </si>
  <si>
    <t>Heating</t>
  </si>
  <si>
    <t>Appliances Energy Consumption per Unit per Year by Fuel (btu/unit)</t>
  </si>
  <si>
    <r>
      <rPr>
        <b/>
        <sz val="11"/>
        <rFont val="Calibri"/>
        <family val="2"/>
      </rPr>
      <t xml:space="preserve">Current
</t>
    </r>
    <r>
      <rPr>
        <b/>
        <sz val="11"/>
        <rFont val="Calibri"/>
        <family val="2"/>
      </rPr>
      <t>Standard</t>
    </r>
  </si>
  <si>
    <r>
      <rPr>
        <b/>
        <sz val="11"/>
        <rFont val="Calibri"/>
        <family val="2"/>
      </rPr>
      <t>Typical Capacity (gal)</t>
    </r>
  </si>
  <si>
    <r>
      <rPr>
        <b/>
        <sz val="11"/>
        <rFont val="Calibri"/>
        <family val="2"/>
      </rPr>
      <t>Uniform Energy Factor (UEF)*</t>
    </r>
  </si>
  <si>
    <t>Residential Oil Water Heater</t>
  </si>
  <si>
    <r>
      <rPr>
        <sz val="11"/>
        <rFont val="Calibri"/>
        <family val="2"/>
      </rPr>
      <t>-</t>
    </r>
  </si>
  <si>
    <t>Residential Gas Water Heater</t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</si>
  <si>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</t>
    </r>
  </si>
  <si>
    <t>Residential Heat Pump Water Heater</t>
  </si>
  <si>
    <t>Appliances (water heaters)</t>
  </si>
  <si>
    <t>Commercial Equipment</t>
  </si>
  <si>
    <t>Figure Notes:</t>
  </si>
  <si>
    <t>Technology</t>
  </si>
  <si>
    <t>Air Source Heat Pump</t>
  </si>
  <si>
    <t>Cold Climate Air Source Heat Pump</t>
  </si>
  <si>
    <t>Heat Pump Water Heater</t>
  </si>
  <si>
    <t>Figure 22. Installed unit costs (left) and performance projections (right) for commercial air-source heat pumps</t>
  </si>
  <si>
    <t xml:space="preserve">Installed costs include both capital and installation costs.
</t>
  </si>
  <si>
    <t>Year</t>
  </si>
  <si>
    <t>EFS Case</t>
  </si>
  <si>
    <t>Installed Cost ($/kBtu/hr)</t>
  </si>
  <si>
    <t>Efficiency (COP)</t>
  </si>
  <si>
    <t>Moderate Advancement</t>
  </si>
  <si>
    <t>Rapid Advancement</t>
  </si>
  <si>
    <t>Slow Advancement</t>
  </si>
  <si>
    <t>Figure 23. Installed costs (left) and performance projections (right) for commercial HPWHs</t>
  </si>
  <si>
    <t>Installed costs include both capital and installation costs.</t>
  </si>
  <si>
    <t>Annualized Incremental Capital Cost per BTU Shifted</t>
  </si>
  <si>
    <r>
      <rPr>
        <b/>
        <sz val="11"/>
        <rFont val="Calibri"/>
        <family val="2"/>
      </rPr>
      <t>Thermal Efficiency (%)*</t>
    </r>
  </si>
  <si>
    <r>
      <rPr>
        <b/>
        <sz val="11"/>
        <rFont val="Calibri"/>
        <family val="2"/>
      </rPr>
      <t>Annual Maintenance Cost (2017$)**</t>
    </r>
  </si>
  <si>
    <r>
      <rPr>
        <sz val="10"/>
        <rFont val="Palatino Linotype"/>
        <family val="1"/>
      </rPr>
      <t>* DOE's efficiency metric for commercial furnaces accounts only for flue losses, not jacket losses.</t>
    </r>
  </si>
  <si>
    <r>
      <rPr>
        <b/>
        <sz val="11"/>
        <color rgb="FFFFFFFF"/>
        <rFont val="Calibri"/>
        <family val="2"/>
      </rPr>
      <t>2020***</t>
    </r>
  </si>
  <si>
    <r>
      <rPr>
        <b/>
        <sz val="11"/>
        <color rgb="FFFFFFFF"/>
        <rFont val="Calibri"/>
        <family val="2"/>
      </rPr>
      <t>2030****</t>
    </r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</si>
  <si>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STAR**</t>
    </r>
  </si>
  <si>
    <r>
      <rPr>
        <b/>
        <sz val="11"/>
        <rFont val="Calibri"/>
        <family val="2"/>
      </rPr>
      <t>Efficiency (EER)*</t>
    </r>
  </si>
  <si>
    <r>
      <rPr>
        <b/>
        <sz val="11"/>
        <rFont val="Calibri"/>
        <family val="2"/>
      </rPr>
      <t>Part Load Efficiency (IEER)</t>
    </r>
  </si>
  <si>
    <r>
      <rPr>
        <b/>
        <sz val="11"/>
        <rFont val="Calibri"/>
        <family val="2"/>
      </rPr>
      <t>COP (Heating)</t>
    </r>
  </si>
  <si>
    <t>Commercial Gas Furnace</t>
  </si>
  <si>
    <t>Commercial Oil Furnace</t>
  </si>
  <si>
    <t>Commercial Heat Pump</t>
  </si>
  <si>
    <t>space heating</t>
  </si>
  <si>
    <t>water heating</t>
  </si>
  <si>
    <t>Utilization Assumption</t>
  </si>
  <si>
    <t>Installed Cost ($/kBTU/hr)</t>
  </si>
  <si>
    <t xml:space="preserve">Annualized Installed Cost ($/kBTU/hr) </t>
  </si>
  <si>
    <t>ASHP (2016 USD)</t>
  </si>
  <si>
    <t>natural gas (2017 USD)</t>
  </si>
  <si>
    <t>oil (2017 USD)</t>
  </si>
  <si>
    <t>2017 to 2012 USD</t>
  </si>
  <si>
    <t>2016 to 2012 USD</t>
  </si>
  <si>
    <t>natural gas (2012 USD)</t>
  </si>
  <si>
    <t>oil (2012 USD)</t>
  </si>
  <si>
    <t>ASHP (2012 USD)</t>
  </si>
  <si>
    <r>
      <rPr>
        <b/>
        <sz val="11"/>
        <rFont val="Calibri"/>
        <family val="2"/>
      </rPr>
      <t>Typical Storage Capacity (gal)</t>
    </r>
  </si>
  <si>
    <r>
      <rPr>
        <b/>
        <sz val="11"/>
        <rFont val="Calibri"/>
        <family val="2"/>
      </rPr>
      <t>Thermal Efficiency (%)</t>
    </r>
  </si>
  <si>
    <r>
      <rPr>
        <b/>
        <sz val="11"/>
        <rFont val="Calibri"/>
        <family val="2"/>
      </rPr>
      <t>Retail Equipment Cost (2017$)**</t>
    </r>
  </si>
  <si>
    <r>
      <rPr>
        <b/>
        <sz val="11"/>
        <rFont val="Calibri"/>
        <family val="2"/>
      </rPr>
      <t>Total Installed Cost (2017$)**</t>
    </r>
  </si>
  <si>
    <t>Commercial Gas Water Heater</t>
  </si>
  <si>
    <t>Commercial Oil Water Heater</t>
  </si>
  <si>
    <t>biomass (2017 USD)</t>
  </si>
  <si>
    <t>biomass (2012 USD)</t>
  </si>
  <si>
    <t>Sources:</t>
  </si>
  <si>
    <t>EIA</t>
  </si>
  <si>
    <t>Cost of technologies except commerial heat pumps</t>
  </si>
  <si>
    <t>Updated Buildings Sector Appliance and Equipment Costs and Efficiencies</t>
  </si>
  <si>
    <t>https://www.eia.gov/analysis/studies/buildings/equipcosts/pdf/full.pdf</t>
  </si>
  <si>
    <t>p. 9, 12, 29, 46, 51, 54, 58, 90, 92, 120, 123</t>
  </si>
  <si>
    <t>Residential building equipment stock and average annual energy consumption</t>
  </si>
  <si>
    <t>Tables 4 and 21</t>
  </si>
  <si>
    <t>Commercial heating and water heating heat pump costs</t>
  </si>
  <si>
    <t>NREL</t>
  </si>
  <si>
    <t>Electrification Futures Study Technology Report Figure Data</t>
  </si>
  <si>
    <t>https://data.nrel.gov/system/files/93/EFS_70485_figure_data.xlsx</t>
  </si>
  <si>
    <t>Tables 22 and 23</t>
  </si>
  <si>
    <t>Notes:</t>
  </si>
  <si>
    <t>For residential buildings, we calculate the average energy used by equipment</t>
  </si>
  <si>
    <t>of different types, which allows us to find a $/BTU value. We then estimate</t>
  </si>
  <si>
    <t>the cost of switching to heat pump equipment based on the data from EIA</t>
  </si>
  <si>
    <t xml:space="preserve">and annual energy consumption. </t>
  </si>
  <si>
    <t>For commercial buildings, we lack data on annual energy use, but the NREL</t>
  </si>
  <si>
    <t>Commercial building equipment load factors</t>
  </si>
  <si>
    <t>https://www.nrel.gov/docs/fy18osti/70485.pdf</t>
  </si>
  <si>
    <t>P.90</t>
  </si>
  <si>
    <t>Electrification Futures Study: End-Use Electric Technology Cost and Performance Projections through 2050</t>
  </si>
  <si>
    <t>report provides data on annual heating and water heating utilization rates</t>
  </si>
  <si>
    <t>and the costs are normalized to $/(kBTU/hr) input, so we standardize the costs</t>
  </si>
  <si>
    <t>from EIA and then estimate the cost per BTU shifted using the annual load factors.</t>
  </si>
  <si>
    <t>For residential heating equipment, we have data for natural gas, oil, and biomass.</t>
  </si>
  <si>
    <t xml:space="preserve">Other liquids are assumed to have the same costs as petroleum. Propane and coal are </t>
  </si>
  <si>
    <t>assigned to natural gas.</t>
  </si>
  <si>
    <t xml:space="preserve">For residential and commercial appliances, we use data for water heaters for </t>
  </si>
  <si>
    <t xml:space="preserve">natural gas and oil water heaters following the mapping above. All appliance </t>
  </si>
  <si>
    <t>energy shifting assumes the costs of water heating shifting, which is the dominant</t>
  </si>
  <si>
    <t>energy consumer among all the appliance equipment.</t>
  </si>
  <si>
    <t>Other equipment also uses the appliance values.</t>
  </si>
  <si>
    <t>For commercial heating, we only have data for natural gas and oil, and assign</t>
  </si>
  <si>
    <t>other fuels based on the above mapping, with biomass mapped to petroleum.</t>
  </si>
  <si>
    <t>All policy-driven electrification in the EPS is assumed to rely on heat pumps,</t>
  </si>
  <si>
    <t>not electric resistance heating</t>
  </si>
  <si>
    <t>Methodology:</t>
  </si>
  <si>
    <t>ICpUEfEBE Incremental Cost per Unit Energy for Electrified Building Equipment</t>
  </si>
  <si>
    <t>electricity</t>
  </si>
  <si>
    <t>coal</t>
  </si>
  <si>
    <t>petroleum diesel</t>
  </si>
  <si>
    <t>heat</t>
  </si>
  <si>
    <t>kerosene</t>
  </si>
  <si>
    <t>heavy or residual fuel oil</t>
  </si>
  <si>
    <t>LPG propane or butane</t>
  </si>
  <si>
    <t>hydrogen</t>
  </si>
  <si>
    <t>than thermal fuels, and this adjustment is made within Vensim.</t>
  </si>
  <si>
    <t>Data in this variable are reported in $/(BTU/yr) of fuel burned by the equipment</t>
  </si>
  <si>
    <t>that would have been purchased in the absence of the fuel shifting policy (e.g.</t>
  </si>
  <si>
    <t>a natural gas appliance, an oil appliance, etc.), not $/(BTU/yr) of electricity used by</t>
  </si>
  <si>
    <t>the electrified appliance that is purchased instead.  Electricity is used more efficiently</t>
  </si>
  <si>
    <t>Unit: $/(BTU/yr) - a measure of capacity of the fuel-burning equipment that would have been purchased in the absence of an electrification policy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</si>
  <si>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</si>
  <si>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</si>
  <si>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</si>
  <si>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</si>
  <si>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</si>
  <si>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</si>
  <si>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</si>
  <si>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</si>
  <si>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</si>
  <si>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</si>
  <si>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 xml:space="preserve">   Delivered Energy Consumption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</si>
  <si>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</si>
  <si>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</si>
  <si>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</si>
  <si>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</si>
  <si>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</si>
  <si>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</si>
  <si>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</si>
  <si>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</si>
  <si>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</si>
  <si>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</si>
  <si>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</si>
  <si>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  Other Uses 6/</t>
  </si>
  <si>
    <t xml:space="preserve"> Distillate Fuel Oil 7/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</si>
  <si>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</si>
  <si>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</si>
  <si>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</si>
  <si>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</si>
  <si>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</si>
  <si>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</si>
  <si>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</si>
  <si>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</si>
  <si>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</si>
  <si>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</si>
  <si>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</si>
  <si>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</si>
  <si>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</si>
  <si>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</si>
  <si>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</si>
  <si>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</si>
  <si>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</si>
  <si>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</si>
  <si>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</si>
  <si>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</si>
  <si>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</si>
  <si>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</si>
  <si>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</si>
  <si>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</si>
  <si>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</si>
  <si>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</si>
  <si>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</si>
  <si>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</si>
  <si>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</si>
  <si>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</si>
  <si>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</si>
  <si>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</si>
  <si>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</si>
  <si>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</si>
  <si>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</si>
  <si>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</si>
  <si>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</si>
  <si>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</si>
  <si>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Table 21.  Residential Sector Equipment Stock and Efficiency, and Distributed Generation</t>
  </si>
  <si>
    <t>https://www.eia.gov/outlooks/aeo/data/browser/#/?id=30-AEO2021&amp;region=0-0&amp;cases=highogs&amp;start=2019&amp;end=2050&amp;f=A&amp;sourcekey=0</t>
  </si>
  <si>
    <t>Wed Mar 03 2021 12:12:30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</si>
  <si>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</si>
  <si>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</si>
  <si>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</si>
  <si>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</si>
  <si>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</si>
  <si>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30-AEO2021.2.</t>
  </si>
  <si>
    <t>Main Space Heaters</t>
  </si>
  <si>
    <t>30-AEO2021.3.</t>
  </si>
  <si>
    <t>Electric Heat Pumps</t>
  </si>
  <si>
    <t>Residential Equipment: Equipment Stock: Main Space Heaters: Electric Heat Pumps: High oil and gas supply</t>
  </si>
  <si>
    <t>30-AEO2021.4.highogs-d120120a</t>
  </si>
  <si>
    <t>millions</t>
  </si>
  <si>
    <t>Electric Other</t>
  </si>
  <si>
    <t>Residential Equipment: Equipment Stock: Main Space Heaters: Electric Other: High oil and gas supply</t>
  </si>
  <si>
    <t>30-AEO2021.5.highogs-d120120a</t>
  </si>
  <si>
    <t>Natural Gas Heat Pumps</t>
  </si>
  <si>
    <t>Residential Equipment: Equipment Stock: Main Space Heaters: Natural Gas Heat Pumps: High oil and gas supply</t>
  </si>
  <si>
    <t>30-AEO2021.6.highogs-d120120a</t>
  </si>
  <si>
    <t>Natural Gas Other</t>
  </si>
  <si>
    <t>Residential Equipment: Equipment Stock: Main Space Heaters: Natural Gas Other: High oil and gas supply</t>
  </si>
  <si>
    <t>30-AEO2021.7.highogs-d120120a</t>
  </si>
  <si>
    <t>Distillate Fuel Oil</t>
  </si>
  <si>
    <t>Residential Equipment: Equipment Stock: Main Space Heaters: Distillate Fuel Oil: High oil and gas supply</t>
  </si>
  <si>
    <t>30-AEO2021.8.highogs-d120120a</t>
  </si>
  <si>
    <t>Propane</t>
  </si>
  <si>
    <t>Residential Equipment: Equipment Stock: Main Space Heaters: Propane: High oil and gas supply</t>
  </si>
  <si>
    <t>30-AEO2021.9.highogs-d120120a</t>
  </si>
  <si>
    <t>Kerosene</t>
  </si>
  <si>
    <t>Residential Equipment: Equipment Stock: Main Space Heaters: Kerosene: High oil and gas supply</t>
  </si>
  <si>
    <t>30-AEO2021.10.highogs-d120120a</t>
  </si>
  <si>
    <t>Wood Stoves</t>
  </si>
  <si>
    <t>Residential Equipment: Equipment Stock: Main Space Heaters: Wood Stoves: High oil and gas supply</t>
  </si>
  <si>
    <t>30-AEO2021.11.highogs-d120120a</t>
  </si>
  <si>
    <t>Geothermal Heat Pumps</t>
  </si>
  <si>
    <t>Residential Equipment: Equipment Stock: Main Space Heaters: Geothermal Heat Pumps: High oil and gas supply</t>
  </si>
  <si>
    <t>30-AEO2021.12.highogs-d120120a</t>
  </si>
  <si>
    <t>Total</t>
  </si>
  <si>
    <t>Residential Equipment: Equipment Stock: Main Space Heaters: Total: High oil and gas supply</t>
  </si>
  <si>
    <t>30-AEO2021.13.highogs-d120120a</t>
  </si>
  <si>
    <t>Space Cooling (million units)</t>
  </si>
  <si>
    <t>30-AEO2021.15.</t>
  </si>
  <si>
    <t>Residential Equipment: Equipment Stock: Space Cooling: Electric Heat Pumps: High oil and gas supply</t>
  </si>
  <si>
    <t>30-AEO2021.16.highogs-d120120a</t>
  </si>
  <si>
    <t>Residential Equipment: Equipment Stock: Space Cooling: Natural Gas Heat Pumps: High oil and gas supply</t>
  </si>
  <si>
    <t>30-AEO2021.17.highogs-d120120a</t>
  </si>
  <si>
    <t>Residential Equipment: Equipment Stock: Space Cooling: Geothermal Heat Pumps: High oil and gas supply</t>
  </si>
  <si>
    <t>30-AEO2021.18.highogs-d120120a</t>
  </si>
  <si>
    <t>Central Air Conditioners</t>
  </si>
  <si>
    <t>Residential Equipment: Equipment Stock: Space Cooling: Central Air Conditioners: High oil and gas supply</t>
  </si>
  <si>
    <t>30-AEO2021.19.highogs-d120120a</t>
  </si>
  <si>
    <t>Room Air Conditioners</t>
  </si>
  <si>
    <t>Residential Equipment: Equipment Stock: Space Cooling: Room Air Conditioners: High oil and gas supply</t>
  </si>
  <si>
    <t>30-AEO2021.20.highogs-d120120a</t>
  </si>
  <si>
    <t>Residential Equipment: Equipment Stock: Space Cooling: Total: High oil and gas supply</t>
  </si>
  <si>
    <t>30-AEO2021.21.highogs-d120120a</t>
  </si>
  <si>
    <t>Water Heaters (million units)</t>
  </si>
  <si>
    <t>30-AEO2021.23.</t>
  </si>
  <si>
    <t>Electric</t>
  </si>
  <si>
    <t>Residential Equipment: Equipment Stock: Water Heaters: Electric: High oil and gas supply</t>
  </si>
  <si>
    <t>30-AEO2021.24.highogs-d120120a</t>
  </si>
  <si>
    <t>Natural Gas</t>
  </si>
  <si>
    <t>Residential Equipment: Equipment Stock: Water Heaters: Natural Gas: High oil and gas supply</t>
  </si>
  <si>
    <t>30-AEO2021.25.highogs-d120120a</t>
  </si>
  <si>
    <t>Residential Equipment: Equipment Stock: Water Heaters: Distillate Fuel Oil: High oil and gas supply</t>
  </si>
  <si>
    <t>30-AEO2021.26.highogs-d120120a</t>
  </si>
  <si>
    <t>Residential Equipment: Equipment Stock: Water Heaters: Propane: High oil and gas supply</t>
  </si>
  <si>
    <t>30-AEO2021.27.highogs-d120120a</t>
  </si>
  <si>
    <t>Solar Thermal</t>
  </si>
  <si>
    <t>Residential Equipment: Equipment Stock: Water Heaters: Solar Thermal: High oil and gas supply</t>
  </si>
  <si>
    <t>30-AEO2021.28.highogs-d120120a</t>
  </si>
  <si>
    <t>Residential Equipment: Equipment Stock: Water Heaters: Total: High oil and gas supply</t>
  </si>
  <si>
    <t>30-AEO2021.29.highogs-d120120a</t>
  </si>
  <si>
    <t>Cooking Equipment (million units)</t>
  </si>
  <si>
    <t>30-AEO2021.31.</t>
  </si>
  <si>
    <t>Residential Equipment: Equipment Stock: Cooking Equipment: Electric: High oil and gas supply</t>
  </si>
  <si>
    <t>30-AEO2021.32.highogs-d120120a</t>
  </si>
  <si>
    <t>Residential Equipment: Equipment Stock: Cooking Equipment: Natural Gas: High oil and gas supply</t>
  </si>
  <si>
    <t>30-AEO2021.33.highogs-d120120a</t>
  </si>
  <si>
    <t>Residential Equipment: Equipment Stock: Cooking Equipment: Propane: High oil and gas supply</t>
  </si>
  <si>
    <t>30-AEO2021.34.highogs-d120120a</t>
  </si>
  <si>
    <t>Residential Equipment: Equipment Stock: Cooking Equipment: Total: High oil and gas supply</t>
  </si>
  <si>
    <t>30-AEO2021.35.highogs-d120120a</t>
  </si>
  <si>
    <t>Clothes Dryers (million units)</t>
  </si>
  <si>
    <t>30-AEO2021.37.</t>
  </si>
  <si>
    <t>Residential Equipment: Equipment Stock: Clothes Dryers: Electric: High oil and gas supply</t>
  </si>
  <si>
    <t>30-AEO2021.38.highogs-d120120a</t>
  </si>
  <si>
    <t>Residential Equipment: Equipment Stock: Clothes Dryers: Natural Gas: High oil and gas supply</t>
  </si>
  <si>
    <t>30-AEO2021.39.highogs-d120120a</t>
  </si>
  <si>
    <t>Residential Equipment: Equipment Stock: Clothes Dryers: Total: High oil and gas supply</t>
  </si>
  <si>
    <t>30-AEO2021.40.highogs-d120120a</t>
  </si>
  <si>
    <t>Other Appliances (million units)</t>
  </si>
  <si>
    <t>30-AEO2021.42.</t>
  </si>
  <si>
    <t>Refrigerators</t>
  </si>
  <si>
    <t>Residential Equipment: Equipment Stock: Other Appliances: Refrigerators: High oil and gas supply</t>
  </si>
  <si>
    <t>30-AEO2021.43.highogs-d120120a</t>
  </si>
  <si>
    <t>Freezers</t>
  </si>
  <si>
    <t>Residential Equipment: Equipment Stock: Other Appliances: Freezers: High oil and gas supply</t>
  </si>
  <si>
    <t>30-AEO2021.44.highogs-d120120a</t>
  </si>
  <si>
    <t>30-AEO2021.46.</t>
  </si>
  <si>
    <t>30-AEO2021.47.</t>
  </si>
  <si>
    <t>Electric Heat Pumps (HSPF)</t>
  </si>
  <si>
    <t>Residential Equipment: Stock Average Efficiency: Main Space Heaters: Electric Heat Pumps: High oil and gas supply</t>
  </si>
  <si>
    <t>30-AEO2021.48.highogs-d120120a</t>
  </si>
  <si>
    <t>HSPF</t>
  </si>
  <si>
    <t>Natural Gas Heat Pumps (GCOP)</t>
  </si>
  <si>
    <t>Residential Equipment: Stock Average Efficiency: Main Space Heaters: Natural Gas Heat Pumps: High oil and gas supply</t>
  </si>
  <si>
    <t>30-AEO2021.49.highogs-d120120a</t>
  </si>
  <si>
    <t>GCOP</t>
  </si>
  <si>
    <t>Geothermal Heat Pumps (COP)</t>
  </si>
  <si>
    <t>Residential Equipment: Stock Average Efficiency: Main Space Heaters: Geothermal Heat Pumps: High oil and gas supply</t>
  </si>
  <si>
    <t>30-AEO2021.50.highogs-d120120a</t>
  </si>
  <si>
    <t>COP</t>
  </si>
  <si>
    <t>Natural Gas Furnace (AFUE)</t>
  </si>
  <si>
    <t>Residential Equipment: Stock Average Efficiency: Main Space Heaters: Natural Gas Furnace: High oil and gas supply</t>
  </si>
  <si>
    <t>30-AEO2021.51.highogs-d120120a</t>
  </si>
  <si>
    <t>AFUE</t>
  </si>
  <si>
    <t>Distillate Furnace (AFUE)</t>
  </si>
  <si>
    <t>Residential Equipment: Stock Average Efficiency: Main Space Heaters: Distillate Furnace: High oil and gas supply</t>
  </si>
  <si>
    <t>30-AEO2021.52.highogs-d120120a</t>
  </si>
  <si>
    <t>Space Cooling</t>
  </si>
  <si>
    <t>30-AEO2021.54.</t>
  </si>
  <si>
    <t>Electric Heat Pumps (SEER)</t>
  </si>
  <si>
    <t>Residential Equipment: Stock Average Efficiency: Space Cooling: Electric Heat Pumps: High oil and gas supply</t>
  </si>
  <si>
    <t>30-AEO2021.55.highogs-d120120a</t>
  </si>
  <si>
    <t>SEER</t>
  </si>
  <si>
    <t>Residential Equipment: Stock Average Efficiency: Space Cooling: Natural Gas Heat Pumps: High oil and gas supply</t>
  </si>
  <si>
    <t>30-AEO2021.56.highogs-d120120a</t>
  </si>
  <si>
    <t>Geothermal Heat Pumps (EER)</t>
  </si>
  <si>
    <t>Residential Equipment: Stock Average Efficiency: Space Cooling: Geothermal Heat Pumps: High oil and gas supply</t>
  </si>
  <si>
    <t>30-AEO2021.57.highogs-d120120a</t>
  </si>
  <si>
    <t>EER</t>
  </si>
  <si>
    <t>Central Air Conditioners (SEER)</t>
  </si>
  <si>
    <t>Residential Equipment: Stock Average Efficiency: Space Cooling: Central Air Conditioners: High oil and gas supply</t>
  </si>
  <si>
    <t>30-AEO2021.58.highogs-d120120a</t>
  </si>
  <si>
    <t>Room Air Conditioners (EER)</t>
  </si>
  <si>
    <t>Residential Equipment: Stock Average Efficiency: Space Cooling: Room Air Conditioners: High oil and gas supply</t>
  </si>
  <si>
    <t>30-AEO2021.59.highogs-d120120a</t>
  </si>
  <si>
    <t>Water Heaters</t>
  </si>
  <si>
    <t>30-AEO2021.61.</t>
  </si>
  <si>
    <t>Electric (EF)</t>
  </si>
  <si>
    <t>Residential Equipment: Stock Average Efficiency: Water Heaters: Electric: High oil and gas supply</t>
  </si>
  <si>
    <t>30-AEO2021.62.highogs-d120120a</t>
  </si>
  <si>
    <t>EF</t>
  </si>
  <si>
    <t>Natural Gas (EF)</t>
  </si>
  <si>
    <t>Residential Equipment: Stock Average Efficiency: Water Heaters: Natural Gas: High oil and gas supply</t>
  </si>
  <si>
    <t>30-AEO2021.63.highogs-d120120a</t>
  </si>
  <si>
    <t>Distillate Fuel Oil (EF)</t>
  </si>
  <si>
    <t>Residential Equipment: Stock Average Efficiency: Water Heaters: Distillate Fuel Oil: High oil and gas supply</t>
  </si>
  <si>
    <t>30-AEO2021.64.highogs-d120120a</t>
  </si>
  <si>
    <t>Propane (EF)</t>
  </si>
  <si>
    <t>Residential Equipment: Stock Average Efficiency: Water Heaters: Propane: High oil and gas supply</t>
  </si>
  <si>
    <t>30-AEO2021.65.highogs-d120120a</t>
  </si>
  <si>
    <t>Other Appliances (kilowatthours per year)</t>
  </si>
  <si>
    <t>30-AEO2021.67.</t>
  </si>
  <si>
    <t>Residential Equipment: Stock Average Efficiency: Other Appliances: Refrigerators: High oil and gas supply</t>
  </si>
  <si>
    <t>30-AEO2021.68.highogs-d120120a</t>
  </si>
  <si>
    <t>kWh</t>
  </si>
  <si>
    <t>Residential Equipment: Stock Average Efficiency: Other Appliances: Freezers: High oil and gas supply</t>
  </si>
  <si>
    <t>30-AEO2021.69.highogs-d120120a</t>
  </si>
  <si>
    <t>Building Shell Efficiency Index</t>
  </si>
  <si>
    <t>30-AEO2021.71.</t>
  </si>
  <si>
    <t>Space Heating</t>
  </si>
  <si>
    <t>30-AEO2021.72.</t>
  </si>
  <si>
    <t>Pre-2015 Homes</t>
  </si>
  <si>
    <t>Residential Equipment: Building Shell Efficiency Index: Space Heating: Pre-2015 Homes: High oil and gas supply</t>
  </si>
  <si>
    <t>30-AEO2021.73.highogs-d120120a</t>
  </si>
  <si>
    <t>2015=1.00</t>
  </si>
  <si>
    <t>New Construction</t>
  </si>
  <si>
    <t>Residential Equipment: Building Shell Efficiency Index: Space Heating: New Construction: High oil and gas supply</t>
  </si>
  <si>
    <t>30-AEO2021.74.highogs-d120120a</t>
  </si>
  <si>
    <t>All Homes</t>
  </si>
  <si>
    <t>Residential Equipment: Building Shell Efficiency Index: Space Heating: All Homes: High oil and gas supply</t>
  </si>
  <si>
    <t>30-AEO2021.75.highogs-d120120a</t>
  </si>
  <si>
    <t>30-AEO2021.77.</t>
  </si>
  <si>
    <t>Residential Equipment: Building Shell Efficiency Index: Space Cooling: Pre-2015 Homes: High oil and gas supply</t>
  </si>
  <si>
    <t>30-AEO2021.78.highogs-d120120a</t>
  </si>
  <si>
    <t>Residential Equipment: Building Shell Efficiency Index: Space Cooling: New Construction: High oil and gas supply</t>
  </si>
  <si>
    <t>30-AEO2021.79.highogs-d120120a</t>
  </si>
  <si>
    <t>Residential Equipment: Building Shell Efficiency Index: Space Cooling: All Homes: High oil and gas supply</t>
  </si>
  <si>
    <t>30-AEO2021.80.highogs-d120120a</t>
  </si>
  <si>
    <t>Distributed Generation and</t>
  </si>
  <si>
    <t>30-AEO2021.82.</t>
  </si>
  <si>
    <t>Combined Heat and Power</t>
  </si>
  <si>
    <t>30-AEO2021.83.</t>
  </si>
  <si>
    <t>Generating Capacity (gigawatts)</t>
  </si>
  <si>
    <t>30-AEO2021.84.</t>
  </si>
  <si>
    <t>Natural Gas Fuel Cells</t>
  </si>
  <si>
    <t>Residential: Combined Heat and Power: Generating Capacity: Fuel Cells: High oil and gas supply</t>
  </si>
  <si>
    <t>30-AEO2021.85.highogs-d120120a</t>
  </si>
  <si>
    <t>GW</t>
  </si>
  <si>
    <t>Solar Photovoltaic</t>
  </si>
  <si>
    <t>Residential: Combined Heat and Power: Generating Capacity: Solar Photovoltaic: High oil and gas supply</t>
  </si>
  <si>
    <t>30-AEO2021.86.highogs-d120120a</t>
  </si>
  <si>
    <t>Wind</t>
  </si>
  <si>
    <t>Residential: Combined Heat and Power: Generating Capacity: Wind: High oil and gas supply</t>
  </si>
  <si>
    <t>30-AEO2021.87.highogs-d120120a</t>
  </si>
  <si>
    <t>Residential: Combined Heat and Power: Generating Capacity: Total: High oil and gas supply</t>
  </si>
  <si>
    <t>30-AEO2021.88.highogs-d120120a</t>
  </si>
  <si>
    <t>Net Generation (billion kilowatthours)</t>
  </si>
  <si>
    <t>30-AEO2021.89.</t>
  </si>
  <si>
    <t>Residential: Combined Heat and Power: Net Generation: Fuel Cells: High oil and gas supply</t>
  </si>
  <si>
    <t>30-AEO2021.90.highogs-d120120a</t>
  </si>
  <si>
    <t>billion kWh</t>
  </si>
  <si>
    <t>Residential: Combined Heat and Power: Net Generation: Solar Photovoltaic: High oil and gas supply</t>
  </si>
  <si>
    <t>30-AEO2021.91.highogs-d120120a</t>
  </si>
  <si>
    <t>Residential: Combined Heat and Power: Net Generation: Wind: High oil and gas supply</t>
  </si>
  <si>
    <t>30-AEO2021.92.highogs-d120120a</t>
  </si>
  <si>
    <t>Residential: Combined Heat and Power: Net Generation: Total: High oil and gas supply</t>
  </si>
  <si>
    <t>30-AEO2021.93.highogs-d120120a</t>
  </si>
  <si>
    <t>Disposition</t>
  </si>
  <si>
    <t>30-AEO2021.94.</t>
  </si>
  <si>
    <t>Sales to the Grid</t>
  </si>
  <si>
    <t>Residential: Combined Heat and Power: Net Generation: Sales to the Grid: High oil and gas supply</t>
  </si>
  <si>
    <t>30-AEO2021.95.highogs-d120120a</t>
  </si>
  <si>
    <t>Generation for Own Use</t>
  </si>
  <si>
    <t>Residential: Combined Heat and Power: Net Generation: Generation for Own Use: High oil and gas supply</t>
  </si>
  <si>
    <t>30-AEO2021.96.highogs-d120120a</t>
  </si>
  <si>
    <t>Energy Input (trillion Btu)</t>
  </si>
  <si>
    <t>30-AEO2021.97.</t>
  </si>
  <si>
    <t>Residential: Combined Heat and Power: Energy Input: Fuel Cells: High oil and gas supply</t>
  </si>
  <si>
    <t>30-AEO2021.98.highogs-d120120a</t>
  </si>
  <si>
    <t>trillion Btu</t>
  </si>
  <si>
    <t>Residential: Combined Heat and Power: Energy Input: Solar Photovoltaic: High oil and gas supply</t>
  </si>
  <si>
    <t>30-AEO2021.99.highogs-d120120a</t>
  </si>
  <si>
    <t>Residential: Combined Heat and Power: Energy Input: Wind: High oil and gas supply</t>
  </si>
  <si>
    <t>30-AEO2021.100.highogs-d120120a</t>
  </si>
  <si>
    <t>Residential: Combined Heat and Power: Energy Input: Total: High oil and gas supply</t>
  </si>
  <si>
    <t>30-AEO2021.101.highogs-d120120a</t>
  </si>
  <si>
    <t>AEO 2021</t>
  </si>
  <si>
    <t>https://www.eia.gov/outlooks/aeo/tables_side.php</t>
  </si>
  <si>
    <t>年增速</t>
    <phoneticPr fontId="22" type="noConversion"/>
  </si>
  <si>
    <t>假定2060年与2050年保持一致</t>
    <phoneticPr fontId="22" type="noConversion"/>
  </si>
  <si>
    <t>2051-2060年数据用2020-2050年增速计算</t>
    <phoneticPr fontId="22" type="noConversion"/>
  </si>
  <si>
    <t>2051-2060年数据用2050年增速计算得到</t>
    <phoneticPr fontId="22" type="noConversion"/>
  </si>
  <si>
    <t>时间序列更新到2060年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</si>
</sst>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0.0%"/>
    <numFmt numFmtId="166" formatCode="#,##0.0"/>
    <numFmt numFmtId="167" formatCode="###0;###0"/>
    <numFmt numFmtId="168" formatCode="#,##0;#,##0"/>
    <numFmt numFmtId="169" formatCode="###0.0;###0.0"/>
    <numFmt numFmtId="170" formatCode="###0.00;###0.00"/>
    <numFmt numFmtId="171" formatCode="0.000E+00"/>
    <numFmt numFmtId="172" formatCode="0.000%"/>
    <numFmt numFmtId="173" formatCode="0.00_);[Red]\(0.0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name val="Palatino Linotype"/>
      <family val="1"/>
    </font>
    <font>
      <i/>
      <sz val="11"/>
      <color indexed="8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93678"/>
      </patternFill>
    </fill>
    <fill>
      <patternFill patternType="solid">
        <fgColor rgb="FFCCCED6"/>
      </patternFill>
    </fill>
    <fill>
      <patternFill patternType="solid">
        <fgColor rgb="FFE7E8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2" applyNumberFormat="0" applyProtection="0">
      <alignment horizontal="left" wrapText="1"/>
    </xf>
    <xf numFmtId="0" fontId="6" fillId="0" borderId="1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vertical="top" wrapText="1"/>
    </xf>
    <xf numFmtId="0" fontId="8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10" fillId="0" borderId="0" xfId="0" applyFont="1"/>
    <xf numFmtId="0" fontId="11" fillId="0" borderId="0" xfId="0" applyFont="1"/>
    <xf numFmtId="1" fontId="0" fillId="0" borderId="0" xfId="0" applyNumberFormat="1"/>
    <xf numFmtId="0" fontId="2" fillId="2" borderId="0" xfId="0" applyFont="1" applyFill="1"/>
    <xf numFmtId="0" fontId="4" fillId="0" borderId="0" xfId="0" applyFont="1"/>
    <xf numFmtId="167" fontId="13" fillId="3" borderId="8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left" vertical="top" wrapText="1"/>
    </xf>
    <xf numFmtId="167" fontId="14" fillId="5" borderId="8" xfId="0" applyNumberFormat="1" applyFont="1" applyFill="1" applyBorder="1" applyAlignment="1">
      <alignment horizontal="left" vertical="top" wrapText="1"/>
    </xf>
    <xf numFmtId="167" fontId="14" fillId="5" borderId="9" xfId="0" applyNumberFormat="1" applyFont="1" applyFill="1" applyBorder="1" applyAlignment="1">
      <alignment horizontal="left" vertical="top" wrapText="1"/>
    </xf>
    <xf numFmtId="167" fontId="14" fillId="5" borderId="11" xfId="0" applyNumberFormat="1" applyFont="1" applyFill="1" applyBorder="1" applyAlignment="1">
      <alignment horizontal="left" vertical="top" wrapText="1"/>
    </xf>
    <xf numFmtId="167" fontId="14" fillId="4" borderId="8" xfId="0" applyNumberFormat="1" applyFont="1" applyFill="1" applyBorder="1" applyAlignment="1">
      <alignment horizontal="left" vertical="top" wrapText="1"/>
    </xf>
    <xf numFmtId="167" fontId="14" fillId="4" borderId="9" xfId="0" applyNumberFormat="1" applyFont="1" applyFill="1" applyBorder="1" applyAlignment="1">
      <alignment horizontal="left" vertical="top" wrapText="1"/>
    </xf>
    <xf numFmtId="167" fontId="14" fillId="4" borderId="11" xfId="0" applyNumberFormat="1" applyFont="1" applyFill="1" applyBorder="1" applyAlignment="1">
      <alignment horizontal="left" vertical="top" wrapText="1"/>
    </xf>
    <xf numFmtId="168" fontId="14" fillId="5" borderId="8" xfId="0" applyNumberFormat="1" applyFont="1" applyFill="1" applyBorder="1" applyAlignment="1">
      <alignment horizontal="left" vertical="top" wrapText="1"/>
    </xf>
    <xf numFmtId="168" fontId="14" fillId="5" borderId="9" xfId="0" applyNumberFormat="1" applyFont="1" applyFill="1" applyBorder="1" applyAlignment="1">
      <alignment horizontal="left" vertical="top" wrapText="1"/>
    </xf>
    <xf numFmtId="168" fontId="14" fillId="5" borderId="11" xfId="0" applyNumberFormat="1" applyFont="1" applyFill="1" applyBorder="1" applyAlignment="1">
      <alignment horizontal="left" vertical="top" wrapText="1"/>
    </xf>
    <xf numFmtId="168" fontId="14" fillId="4" borderId="8" xfId="0" applyNumberFormat="1" applyFont="1" applyFill="1" applyBorder="1" applyAlignment="1">
      <alignment horizontal="left" vertical="top" wrapText="1"/>
    </xf>
    <xf numFmtId="168" fontId="14" fillId="4" borderId="9" xfId="0" applyNumberFormat="1" applyFont="1" applyFill="1" applyBorder="1" applyAlignment="1">
      <alignment horizontal="left" vertical="top" wrapText="1"/>
    </xf>
    <xf numFmtId="168" fontId="14" fillId="4" borderId="11" xfId="0" applyNumberFormat="1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top" wrapText="1"/>
    </xf>
    <xf numFmtId="167" fontId="13" fillId="3" borderId="11" xfId="0" applyNumberFormat="1" applyFont="1" applyFill="1" applyBorder="1" applyAlignment="1">
      <alignment horizontal="left" vertical="top" wrapText="1"/>
    </xf>
    <xf numFmtId="0" fontId="12" fillId="5" borderId="9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169" fontId="14" fillId="4" borderId="11" xfId="0" applyNumberFormat="1" applyFont="1" applyFill="1" applyBorder="1" applyAlignment="1">
      <alignment horizontal="left" vertical="top" wrapText="1"/>
    </xf>
    <xf numFmtId="169" fontId="14" fillId="4" borderId="8" xfId="0" applyNumberFormat="1" applyFont="1" applyFill="1" applyBorder="1" applyAlignment="1">
      <alignment horizontal="left" vertical="top" wrapText="1"/>
    </xf>
    <xf numFmtId="0" fontId="17" fillId="5" borderId="11" xfId="0" applyFont="1" applyFill="1" applyBorder="1" applyAlignment="1">
      <alignment horizontal="left" vertical="top" wrapText="1"/>
    </xf>
    <xf numFmtId="169" fontId="14" fillId="5" borderId="8" xfId="0" applyNumberFormat="1" applyFont="1" applyFill="1" applyBorder="1" applyAlignment="1">
      <alignment horizontal="left" vertical="top" wrapText="1"/>
    </xf>
    <xf numFmtId="167" fontId="14" fillId="4" borderId="11" xfId="0" applyNumberFormat="1" applyFont="1" applyFill="1" applyBorder="1" applyAlignment="1">
      <alignment horizontal="right" vertical="top" wrapText="1"/>
    </xf>
    <xf numFmtId="167" fontId="14" fillId="4" borderId="8" xfId="0" applyNumberFormat="1" applyFont="1" applyFill="1" applyBorder="1" applyAlignment="1">
      <alignment horizontal="right" vertical="top" wrapText="1"/>
    </xf>
    <xf numFmtId="0" fontId="0" fillId="2" borderId="0" xfId="0" applyFill="1"/>
    <xf numFmtId="2" fontId="0" fillId="0" borderId="0" xfId="0" applyNumberFormat="1"/>
    <xf numFmtId="11" fontId="0" fillId="0" borderId="0" xfId="0" applyNumberFormat="1"/>
    <xf numFmtId="0" fontId="12" fillId="3" borderId="7" xfId="0" applyFont="1" applyFill="1" applyBorder="1" applyAlignment="1">
      <alignment horizontal="center" vertical="center" wrapText="1"/>
    </xf>
    <xf numFmtId="167" fontId="13" fillId="3" borderId="15" xfId="0" applyNumberFormat="1" applyFont="1" applyFill="1" applyBorder="1" applyAlignment="1">
      <alignment horizontal="left" vertical="top" wrapText="1"/>
    </xf>
    <xf numFmtId="167" fontId="13" fillId="3" borderId="16" xfId="0" applyNumberFormat="1" applyFont="1" applyFill="1" applyBorder="1" applyAlignment="1">
      <alignment horizontal="left" vertical="top" wrapText="1"/>
    </xf>
    <xf numFmtId="167" fontId="13" fillId="3" borderId="7" xfId="0" applyNumberFormat="1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17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center" wrapText="1"/>
    </xf>
    <xf numFmtId="167" fontId="14" fillId="4" borderId="7" xfId="0" applyNumberFormat="1" applyFont="1" applyFill="1" applyBorder="1" applyAlignment="1">
      <alignment horizontal="left" vertical="top" wrapText="1"/>
    </xf>
    <xf numFmtId="167" fontId="14" fillId="4" borderId="16" xfId="0" applyNumberFormat="1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167" fontId="14" fillId="4" borderId="12" xfId="0" applyNumberFormat="1" applyFont="1" applyFill="1" applyBorder="1" applyAlignment="1">
      <alignment horizontal="left" vertical="top" wrapText="1"/>
    </xf>
    <xf numFmtId="167" fontId="14" fillId="4" borderId="17" xfId="0" applyNumberFormat="1" applyFont="1" applyFill="1" applyBorder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0" fillId="3" borderId="7" xfId="0" applyFill="1" applyBorder="1" applyAlignment="1">
      <alignment horizontal="left" vertical="top" wrapText="1"/>
    </xf>
    <xf numFmtId="0" fontId="12" fillId="4" borderId="14" xfId="0" applyFont="1" applyFill="1" applyBorder="1" applyAlignment="1">
      <alignment horizontal="left" vertical="top" wrapText="1"/>
    </xf>
    <xf numFmtId="170" fontId="14" fillId="4" borderId="8" xfId="0" applyNumberFormat="1" applyFont="1" applyFill="1" applyBorder="1" applyAlignment="1">
      <alignment horizontal="left" vertical="top" wrapText="1"/>
    </xf>
    <xf numFmtId="170" fontId="14" fillId="4" borderId="9" xfId="0" applyNumberFormat="1" applyFont="1" applyFill="1" applyBorder="1" applyAlignment="1">
      <alignment horizontal="left" vertical="top" wrapText="1"/>
    </xf>
    <xf numFmtId="170" fontId="14" fillId="4" borderId="11" xfId="0" applyNumberFormat="1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center" wrapText="1"/>
    </xf>
    <xf numFmtId="167" fontId="14" fillId="5" borderId="13" xfId="0" applyNumberFormat="1" applyFont="1" applyFill="1" applyBorder="1" applyAlignment="1">
      <alignment horizontal="right" vertical="top" wrapText="1"/>
    </xf>
    <xf numFmtId="167" fontId="14" fillId="5" borderId="7" xfId="0" applyNumberFormat="1" applyFont="1" applyFill="1" applyBorder="1" applyAlignment="1">
      <alignment horizontal="left" vertical="top" wrapText="1"/>
    </xf>
    <xf numFmtId="167" fontId="14" fillId="5" borderId="16" xfId="0" applyNumberFormat="1" applyFont="1" applyFill="1" applyBorder="1" applyAlignment="1">
      <alignment horizontal="right" vertical="top" wrapText="1"/>
    </xf>
    <xf numFmtId="0" fontId="0" fillId="5" borderId="14" xfId="0" applyFill="1" applyBorder="1" applyAlignment="1">
      <alignment horizontal="left" vertical="top" wrapText="1"/>
    </xf>
    <xf numFmtId="167" fontId="14" fillId="5" borderId="14" xfId="0" applyNumberFormat="1" applyFont="1" applyFill="1" applyBorder="1" applyAlignment="1">
      <alignment horizontal="left" vertical="top" wrapText="1"/>
    </xf>
    <xf numFmtId="167" fontId="14" fillId="5" borderId="12" xfId="0" applyNumberFormat="1" applyFont="1" applyFill="1" applyBorder="1" applyAlignment="1">
      <alignment horizontal="left" vertical="top" wrapText="1"/>
    </xf>
    <xf numFmtId="167" fontId="14" fillId="5" borderId="17" xfId="0" applyNumberFormat="1" applyFont="1" applyFill="1" applyBorder="1" applyAlignment="1">
      <alignment horizontal="left" vertical="top" wrapText="1"/>
    </xf>
    <xf numFmtId="168" fontId="14" fillId="4" borderId="13" xfId="0" applyNumberFormat="1" applyFont="1" applyFill="1" applyBorder="1" applyAlignment="1">
      <alignment horizontal="left" vertical="top" wrapText="1"/>
    </xf>
    <xf numFmtId="168" fontId="14" fillId="4" borderId="7" xfId="0" applyNumberFormat="1" applyFont="1" applyFill="1" applyBorder="1" applyAlignment="1">
      <alignment horizontal="left" vertical="top" wrapText="1"/>
    </xf>
    <xf numFmtId="168" fontId="14" fillId="4" borderId="16" xfId="0" applyNumberFormat="1" applyFont="1" applyFill="1" applyBorder="1" applyAlignment="1">
      <alignment horizontal="left" vertical="top" wrapText="1"/>
    </xf>
    <xf numFmtId="168" fontId="14" fillId="4" borderId="14" xfId="0" applyNumberFormat="1" applyFont="1" applyFill="1" applyBorder="1" applyAlignment="1">
      <alignment horizontal="left" vertical="top" wrapText="1"/>
    </xf>
    <xf numFmtId="168" fontId="14" fillId="4" borderId="12" xfId="0" applyNumberFormat="1" applyFont="1" applyFill="1" applyBorder="1" applyAlignment="1">
      <alignment horizontal="left" vertical="top" wrapText="1"/>
    </xf>
    <xf numFmtId="168" fontId="14" fillId="4" borderId="17" xfId="0" applyNumberFormat="1" applyFont="1" applyFill="1" applyBorder="1" applyAlignment="1">
      <alignment horizontal="left" vertical="top" wrapText="1"/>
    </xf>
    <xf numFmtId="168" fontId="14" fillId="5" borderId="13" xfId="0" applyNumberFormat="1" applyFont="1" applyFill="1" applyBorder="1" applyAlignment="1">
      <alignment horizontal="left" vertical="top" wrapText="1"/>
    </xf>
    <xf numFmtId="168" fontId="14" fillId="5" borderId="7" xfId="0" applyNumberFormat="1" applyFont="1" applyFill="1" applyBorder="1" applyAlignment="1">
      <alignment horizontal="left" vertical="top" wrapText="1"/>
    </xf>
    <xf numFmtId="168" fontId="14" fillId="5" borderId="16" xfId="0" applyNumberFormat="1" applyFont="1" applyFill="1" applyBorder="1" applyAlignment="1">
      <alignment horizontal="left" vertical="top" wrapText="1"/>
    </xf>
    <xf numFmtId="168" fontId="14" fillId="5" borderId="14" xfId="0" applyNumberFormat="1" applyFont="1" applyFill="1" applyBorder="1" applyAlignment="1">
      <alignment horizontal="left" vertical="top" wrapText="1"/>
    </xf>
    <xf numFmtId="168" fontId="14" fillId="5" borderId="12" xfId="0" applyNumberFormat="1" applyFont="1" applyFill="1" applyBorder="1" applyAlignment="1">
      <alignment horizontal="left" vertical="top" wrapText="1"/>
    </xf>
    <xf numFmtId="168" fontId="14" fillId="5" borderId="17" xfId="0" applyNumberFormat="1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167" fontId="14" fillId="5" borderId="10" xfId="0" applyNumberFormat="1" applyFont="1" applyFill="1" applyBorder="1" applyAlignment="1">
      <alignment horizontal="left" vertical="top" wrapText="1"/>
    </xf>
    <xf numFmtId="167" fontId="14" fillId="5" borderId="1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2" fillId="4" borderId="18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top" wrapText="1"/>
    </xf>
    <xf numFmtId="164" fontId="0" fillId="0" borderId="0" xfId="1" applyFont="1"/>
    <xf numFmtId="164" fontId="0" fillId="0" borderId="0" xfId="0" applyNumberFormat="1"/>
    <xf numFmtId="167" fontId="14" fillId="5" borderId="9" xfId="0" applyNumberFormat="1" applyFont="1" applyFill="1" applyBorder="1" applyAlignment="1">
      <alignment horizontal="center" vertical="top" wrapText="1"/>
    </xf>
    <xf numFmtId="167" fontId="14" fillId="4" borderId="9" xfId="0" applyNumberFormat="1" applyFont="1" applyFill="1" applyBorder="1" applyAlignment="1">
      <alignment horizontal="center" vertical="top" wrapText="1"/>
    </xf>
    <xf numFmtId="167" fontId="14" fillId="4" borderId="10" xfId="0" applyNumberFormat="1" applyFont="1" applyFill="1" applyBorder="1" applyAlignment="1">
      <alignment horizontal="left" vertical="top" wrapText="1"/>
    </xf>
    <xf numFmtId="168" fontId="14" fillId="4" borderId="10" xfId="0" applyNumberFormat="1" applyFont="1" applyFill="1" applyBorder="1" applyAlignment="1">
      <alignment horizontal="left" vertical="top" wrapText="1"/>
    </xf>
    <xf numFmtId="168" fontId="14" fillId="5" borderId="10" xfId="0" applyNumberFormat="1" applyFont="1" applyFill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167" fontId="13" fillId="3" borderId="9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center" vertical="top" wrapText="1"/>
    </xf>
    <xf numFmtId="167" fontId="14" fillId="5" borderId="8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2" fillId="4" borderId="11" xfId="0" applyFont="1" applyFill="1" applyBorder="1" applyAlignment="1">
      <alignment horizontal="left" vertical="top" wrapText="1"/>
    </xf>
    <xf numFmtId="0" fontId="17" fillId="5" borderId="8" xfId="0" applyFont="1" applyFill="1" applyBorder="1" applyAlignment="1">
      <alignment horizontal="right" vertical="top" wrapText="1"/>
    </xf>
    <xf numFmtId="9" fontId="0" fillId="0" borderId="0" xfId="0" applyNumberFormat="1"/>
    <xf numFmtId="9" fontId="0" fillId="0" borderId="0" xfId="2" applyFont="1"/>
    <xf numFmtId="171" fontId="0" fillId="0" borderId="0" xfId="0" applyNumberFormat="1"/>
    <xf numFmtId="0" fontId="0" fillId="3" borderId="12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left" vertical="top" wrapText="1"/>
    </xf>
    <xf numFmtId="167" fontId="14" fillId="5" borderId="9" xfId="0" applyNumberFormat="1" applyFont="1" applyFill="1" applyBorder="1" applyAlignment="1">
      <alignment horizontal="right" vertical="top" wrapText="1"/>
    </xf>
    <xf numFmtId="167" fontId="14" fillId="4" borderId="9" xfId="0" applyNumberFormat="1" applyFont="1" applyFill="1" applyBorder="1" applyAlignment="1">
      <alignment horizontal="right" vertical="top" wrapText="1"/>
    </xf>
    <xf numFmtId="167" fontId="14" fillId="5" borderId="13" xfId="0" applyNumberFormat="1" applyFont="1" applyFill="1" applyBorder="1" applyAlignment="1">
      <alignment horizontal="left" vertical="top" wrapText="1"/>
    </xf>
    <xf numFmtId="168" fontId="0" fillId="4" borderId="14" xfId="0" applyNumberFormat="1" applyFill="1" applyBorder="1" applyAlignment="1">
      <alignment horizontal="center" vertical="top" wrapText="1"/>
    </xf>
    <xf numFmtId="0" fontId="0" fillId="4" borderId="12" xfId="0" applyFill="1" applyBorder="1" applyAlignment="1">
      <alignment vertical="top" wrapText="1"/>
    </xf>
    <xf numFmtId="0" fontId="12" fillId="4" borderId="12" xfId="0" applyFont="1" applyFill="1" applyBorder="1" applyAlignment="1">
      <alignment vertical="top" wrapText="1"/>
    </xf>
    <xf numFmtId="168" fontId="14" fillId="5" borderId="7" xfId="0" applyNumberFormat="1" applyFont="1" applyFill="1" applyBorder="1" applyAlignment="1">
      <alignment vertical="top" wrapText="1"/>
    </xf>
    <xf numFmtId="168" fontId="14" fillId="5" borderId="12" xfId="0" applyNumberFormat="1" applyFont="1" applyFill="1" applyBorder="1" applyAlignment="1">
      <alignment vertical="top" wrapText="1"/>
    </xf>
    <xf numFmtId="168" fontId="14" fillId="4" borderId="7" xfId="0" applyNumberFormat="1" applyFont="1" applyFill="1" applyBorder="1" applyAlignment="1">
      <alignment vertical="top" wrapText="1"/>
    </xf>
    <xf numFmtId="168" fontId="14" fillId="4" borderId="12" xfId="0" applyNumberFormat="1" applyFont="1" applyFill="1" applyBorder="1" applyAlignment="1">
      <alignment vertical="top" wrapText="1"/>
    </xf>
    <xf numFmtId="171" fontId="0" fillId="2" borderId="0" xfId="0" applyNumberFormat="1" applyFill="1"/>
    <xf numFmtId="171" fontId="0" fillId="7" borderId="0" xfId="0" applyNumberFormat="1" applyFill="1"/>
    <xf numFmtId="0" fontId="19" fillId="0" borderId="0" xfId="0" applyFont="1"/>
    <xf numFmtId="0" fontId="8" fillId="0" borderId="0" xfId="10"/>
    <xf numFmtId="0" fontId="6" fillId="0" borderId="1" xfId="6">
      <alignment wrapText="1"/>
    </xf>
    <xf numFmtId="0" fontId="20" fillId="0" borderId="0" xfId="0" applyFont="1"/>
    <xf numFmtId="0" fontId="21" fillId="0" borderId="0" xfId="0" applyFont="1"/>
    <xf numFmtId="0" fontId="5" fillId="0" borderId="0" xfId="4">
      <alignment horizontal="left"/>
    </xf>
    <xf numFmtId="0" fontId="9" fillId="0" borderId="0" xfId="0" applyFont="1" applyAlignment="1">
      <alignment horizontal="right"/>
    </xf>
    <xf numFmtId="0" fontId="6" fillId="0" borderId="1" xfId="6" applyAlignment="1">
      <alignment horizontal="right" wrapText="1"/>
    </xf>
    <xf numFmtId="0" fontId="6" fillId="0" borderId="4" xfId="8">
      <alignment wrapText="1"/>
    </xf>
    <xf numFmtId="0" fontId="0" fillId="0" borderId="3" xfId="7" applyFont="1">
      <alignment wrapText="1"/>
    </xf>
    <xf numFmtId="4" fontId="0" fillId="0" borderId="3" xfId="7" applyNumberFormat="1" applyFont="1" applyAlignment="1">
      <alignment horizontal="right" wrapText="1"/>
    </xf>
    <xf numFmtId="165" fontId="0" fillId="0" borderId="3" xfId="7" applyNumberFormat="1" applyFont="1" applyAlignment="1">
      <alignment horizontal="right" wrapText="1"/>
    </xf>
    <xf numFmtId="4" fontId="6" fillId="0" borderId="4" xfId="8" applyNumberFormat="1" applyAlignment="1">
      <alignment horizontal="right" wrapText="1"/>
    </xf>
    <xf numFmtId="165" fontId="6" fillId="0" borderId="4" xfId="8" applyNumberFormat="1" applyAlignment="1">
      <alignment horizontal="right" wrapText="1"/>
    </xf>
    <xf numFmtId="3" fontId="6" fillId="0" borderId="4" xfId="8" applyNumberFormat="1" applyAlignment="1">
      <alignment horizontal="right" wrapText="1"/>
    </xf>
    <xf numFmtId="166" fontId="0" fillId="0" borderId="3" xfId="7" applyNumberFormat="1" applyFont="1" applyAlignment="1">
      <alignment horizontal="right" wrapText="1"/>
    </xf>
    <xf numFmtId="3" fontId="0" fillId="0" borderId="3" xfId="7" applyNumberFormat="1" applyFont="1" applyAlignment="1">
      <alignment horizontal="right" wrapText="1"/>
    </xf>
    <xf numFmtId="0" fontId="0" fillId="0" borderId="6" xfId="0" applyBorder="1"/>
    <xf numFmtId="10" fontId="0" fillId="0" borderId="0" xfId="0" applyNumberFormat="1"/>
    <xf numFmtId="0" fontId="10" fillId="8" borderId="0" xfId="0" applyFont="1" applyFill="1"/>
    <xf numFmtId="0" fontId="0" fillId="8" borderId="3" xfId="7" applyFont="1" applyFill="1">
      <alignment wrapText="1"/>
    </xf>
    <xf numFmtId="4" fontId="0" fillId="8" borderId="3" xfId="7" applyNumberFormat="1" applyFont="1" applyFill="1" applyAlignment="1">
      <alignment horizontal="right" wrapText="1"/>
    </xf>
    <xf numFmtId="165" fontId="0" fillId="8" borderId="3" xfId="7" applyNumberFormat="1" applyFont="1" applyFill="1" applyAlignment="1">
      <alignment horizontal="right" wrapText="1"/>
    </xf>
    <xf numFmtId="0" fontId="0" fillId="8" borderId="0" xfId="0" applyFill="1"/>
    <xf numFmtId="10" fontId="0" fillId="8" borderId="0" xfId="0" applyNumberFormat="1" applyFill="1"/>
    <xf numFmtId="0" fontId="0" fillId="9" borderId="0" xfId="0" applyFill="1"/>
    <xf numFmtId="10" fontId="0" fillId="9" borderId="0" xfId="0" applyNumberFormat="1" applyFill="1"/>
    <xf numFmtId="0" fontId="10" fillId="9" borderId="0" xfId="0" applyFont="1" applyFill="1"/>
    <xf numFmtId="0" fontId="0" fillId="9" borderId="3" xfId="7" applyFont="1" applyFill="1">
      <alignment wrapText="1"/>
    </xf>
    <xf numFmtId="4" fontId="0" fillId="9" borderId="3" xfId="7" applyNumberFormat="1" applyFont="1" applyFill="1" applyAlignment="1">
      <alignment horizontal="right" wrapText="1"/>
    </xf>
    <xf numFmtId="165" fontId="0" fillId="9" borderId="3" xfId="7" applyNumberFormat="1" applyFont="1" applyFill="1" applyAlignment="1">
      <alignment horizontal="right" wrapText="1"/>
    </xf>
    <xf numFmtId="0" fontId="10" fillId="10" borderId="0" xfId="0" applyFont="1" applyFill="1"/>
    <xf numFmtId="0" fontId="0" fillId="10" borderId="3" xfId="7" applyFont="1" applyFill="1">
      <alignment wrapText="1"/>
    </xf>
    <xf numFmtId="4" fontId="0" fillId="10" borderId="3" xfId="7" applyNumberFormat="1" applyFont="1" applyFill="1" applyAlignment="1">
      <alignment horizontal="right" wrapText="1"/>
    </xf>
    <xf numFmtId="165" fontId="0" fillId="10" borderId="3" xfId="7" applyNumberFormat="1" applyFont="1" applyFill="1" applyAlignment="1">
      <alignment horizontal="right" wrapText="1"/>
    </xf>
    <xf numFmtId="0" fontId="0" fillId="10" borderId="0" xfId="0" applyFill="1"/>
    <xf numFmtId="10" fontId="0" fillId="10" borderId="0" xfId="0" applyNumberFormat="1" applyFill="1"/>
    <xf numFmtId="0" fontId="10" fillId="11" borderId="0" xfId="0" applyFont="1" applyFill="1"/>
    <xf numFmtId="0" fontId="0" fillId="11" borderId="3" xfId="7" applyFont="1" applyFill="1">
      <alignment wrapText="1"/>
    </xf>
    <xf numFmtId="4" fontId="0" fillId="11" borderId="3" xfId="7" applyNumberFormat="1" applyFont="1" applyFill="1" applyAlignment="1">
      <alignment horizontal="right" wrapText="1"/>
    </xf>
    <xf numFmtId="165" fontId="0" fillId="11" borderId="3" xfId="7" applyNumberFormat="1" applyFont="1" applyFill="1" applyAlignment="1">
      <alignment horizontal="right" wrapText="1"/>
    </xf>
    <xf numFmtId="0" fontId="0" fillId="11" borderId="0" xfId="0" applyFill="1"/>
    <xf numFmtId="0" fontId="0" fillId="12" borderId="0" xfId="0" applyFill="1"/>
    <xf numFmtId="10" fontId="0" fillId="12" borderId="0" xfId="0" applyNumberFormat="1" applyFill="1"/>
    <xf numFmtId="10" fontId="0" fillId="6" borderId="0" xfId="0" applyNumberFormat="1" applyFill="1"/>
    <xf numFmtId="10" fontId="0" fillId="0" borderId="0" xfId="2" applyNumberFormat="1" applyFont="1"/>
    <xf numFmtId="172" fontId="0" fillId="0" borderId="0" xfId="2" applyNumberFormat="1" applyFont="1"/>
    <xf numFmtId="173" fontId="0" fillId="0" borderId="0" xfId="2" applyNumberFormat="1" applyFont="1"/>
    <xf numFmtId="10" fontId="0" fillId="8" borderId="0" xfId="2" applyNumberFormat="1" applyFont="1" applyFill="1"/>
    <xf numFmtId="10" fontId="0" fillId="9" borderId="0" xfId="2" applyNumberFormat="1" applyFont="1" applyFill="1"/>
    <xf numFmtId="10" fontId="0" fillId="10" borderId="0" xfId="2" applyNumberFormat="1" applyFont="1" applyFill="1"/>
    <xf numFmtId="10" fontId="0" fillId="12" borderId="0" xfId="2" applyNumberFormat="1" applyFont="1" applyFill="1"/>
    <xf numFmtId="10" fontId="0" fillId="6" borderId="0" xfId="2" applyNumberFormat="1" applyFont="1" applyFill="1"/>
    <xf numFmtId="0" fontId="23" fillId="0" borderId="0" xfId="0" applyFont="1"/>
    <xf numFmtId="164" fontId="0" fillId="6" borderId="0" xfId="1" applyFont="1" applyFill="1"/>
    <xf numFmtId="0" fontId="6" fillId="6" borderId="1" xfId="6" applyFill="1">
      <alignment wrapText="1"/>
    </xf>
    <xf numFmtId="167" fontId="13" fillId="3" borderId="9" xfId="0" applyNumberFormat="1" applyFont="1" applyFill="1" applyBorder="1" applyAlignment="1">
      <alignment horizontal="center" vertical="top" wrapText="1"/>
    </xf>
    <xf numFmtId="167" fontId="13" fillId="3" borderId="11" xfId="0" applyNumberFormat="1" applyFont="1" applyFill="1" applyBorder="1" applyAlignment="1">
      <alignment horizontal="center" vertical="top" wrapText="1"/>
    </xf>
    <xf numFmtId="0" fontId="12" fillId="3" borderId="7" xfId="0" applyFont="1" applyFill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167" fontId="13" fillId="3" borderId="10" xfId="0" applyNumberFormat="1" applyFont="1" applyFill="1" applyBorder="1" applyAlignment="1">
      <alignment horizontal="center" vertical="top" wrapText="1"/>
    </xf>
    <xf numFmtId="167" fontId="13" fillId="3" borderId="15" xfId="0" applyNumberFormat="1" applyFont="1" applyFill="1" applyBorder="1" applyAlignment="1">
      <alignment horizontal="center" vertical="top" wrapText="1"/>
    </xf>
    <xf numFmtId="167" fontId="13" fillId="3" borderId="7" xfId="0" applyNumberFormat="1" applyFont="1" applyFill="1" applyBorder="1" applyAlignment="1">
      <alignment horizontal="left" vertical="top" wrapText="1"/>
    </xf>
    <xf numFmtId="167" fontId="13" fillId="3" borderId="15" xfId="0" applyNumberFormat="1" applyFont="1" applyFill="1" applyBorder="1" applyAlignment="1">
      <alignment horizontal="left" vertical="top" wrapText="1"/>
    </xf>
    <xf numFmtId="167" fontId="13" fillId="3" borderId="7" xfId="0" applyNumberFormat="1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left" vertical="top" wrapText="1"/>
    </xf>
    <xf numFmtId="0" fontId="12" fillId="3" borderId="11" xfId="0" applyFont="1" applyFill="1" applyBorder="1" applyAlignment="1">
      <alignment horizontal="left" vertical="top" wrapText="1"/>
    </xf>
    <xf numFmtId="167" fontId="13" fillId="3" borderId="16" xfId="0" applyNumberFormat="1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4" xfId="0" applyFont="1" applyFill="1" applyBorder="1" applyAlignment="1">
      <alignment horizontal="center" wrapText="1"/>
    </xf>
    <xf numFmtId="0" fontId="15" fillId="3" borderId="9" xfId="0" applyFont="1" applyFill="1" applyBorder="1" applyAlignment="1">
      <alignment horizontal="center" vertical="top" wrapText="1"/>
    </xf>
    <xf numFmtId="0" fontId="15" fillId="3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5" borderId="13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4" borderId="7" xfId="0" applyFont="1" applyFill="1" applyBorder="1" applyAlignment="1">
      <alignment horizontal="left" wrapText="1"/>
    </xf>
    <xf numFmtId="0" fontId="12" fillId="4" borderId="12" xfId="0" applyFont="1" applyFill="1" applyBorder="1" applyAlignment="1">
      <alignment horizontal="left" wrapText="1"/>
    </xf>
    <xf numFmtId="0" fontId="12" fillId="5" borderId="7" xfId="0" applyFont="1" applyFill="1" applyBorder="1" applyAlignment="1">
      <alignment horizontal="left" vertical="top" wrapText="1"/>
    </xf>
    <xf numFmtId="0" fontId="12" fillId="5" borderId="12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left" vertical="top" wrapText="1"/>
    </xf>
    <xf numFmtId="0" fontId="6" fillId="0" borderId="4" xfId="8">
      <alignment wrapText="1"/>
    </xf>
    <xf numFmtId="4" fontId="6" fillId="0" borderId="4" xfId="8" applyNumberFormat="1" applyAlignment="1">
      <alignment horizontal="right" wrapText="1"/>
    </xf>
    <xf numFmtId="165" fontId="6" fillId="0" borderId="4" xfId="8" applyNumberFormat="1" applyAlignment="1">
      <alignment horizontal="right" wrapText="1"/>
    </xf>
    <xf numFmtId="0" fontId="11" fillId="0" borderId="5" xfId="9" applyFont="1" applyAlignment="1">
      <alignment wrapText="1"/>
    </xf>
    <xf numFmtId="0" fontId="0" fillId="0" borderId="6" xfId="0" applyBorder="1"/>
    <xf numFmtId="0" fontId="0" fillId="0" borderId="0" xfId="0"/>
  </cellXfs>
  <cellStyles count="11">
    <cellStyle name="Body: normal cell" xfId="7" xr:uid="{00000000-0005-0000-0000-000000000000}"/>
    <cellStyle name="Comma" xfId="1" builtinId="3"/>
    <cellStyle name="Font: Calibri, 9pt regular" xfId="10" xr:uid="{00000000-0005-0000-0000-000002000000}"/>
    <cellStyle name="Footnotes: top row" xfId="9" xr:uid="{00000000-0005-0000-0000-000003000000}"/>
    <cellStyle name="Header: bottom row" xfId="6" xr:uid="{00000000-0005-0000-0000-000004000000}"/>
    <cellStyle name="Header: top rows" xfId="5" xr:uid="{00000000-0005-0000-0000-000005000000}"/>
    <cellStyle name="Hyperlink" xfId="3" builtinId="8"/>
    <cellStyle name="Normal" xfId="0" builtinId="0"/>
    <cellStyle name="Parent row" xfId="8" xr:uid="{00000000-0005-0000-0000-000008000000}"/>
    <cellStyle name="Percent" xfId="2" builtinId="5"/>
    <cellStyle name="Table title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rvis/Dropbox%20(Energy%20InNovation)/My%20Documents/Energy%20Policy%20Solutions/US/Models/eps-us/InputData/bldgs/BCEU/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>
        <row r="50">
          <cell r="C50">
            <v>0.04</v>
          </cell>
        </row>
        <row r="76">
          <cell r="A76">
            <v>0.80118443316412857</v>
          </cell>
        </row>
        <row r="77">
          <cell r="A77">
            <v>0.1988155668358714</v>
          </cell>
        </row>
        <row r="79">
          <cell r="B79">
            <v>1000000000000000</v>
          </cell>
        </row>
      </sheetData>
      <sheetData sheetId="1">
        <row r="34">
          <cell r="C34">
            <v>0.71245800000000004</v>
          </cell>
        </row>
      </sheetData>
      <sheetData sheetId="2">
        <row r="31">
          <cell r="C31">
            <v>0.123686</v>
          </cell>
        </row>
      </sheetData>
      <sheetData sheetId="3" refreshError="1"/>
      <sheetData sheetId="4" refreshError="1"/>
      <sheetData sheetId="5">
        <row r="4">
          <cell r="J4">
            <v>570810258883248.75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8osti/70485.pdf" TargetMode="External"/><Relationship Id="rId2" Type="http://schemas.openxmlformats.org/officeDocument/2006/relationships/hyperlink" Target="https://data.nrel.gov/system/files/93/EFS_70485_figure_data.xlsx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opLeftCell="A41" workbookViewId="0">
      <selection activeCell="B50" sqref="B50"/>
    </sheetView>
  </sheetViews>
  <sheetFormatPr defaultRowHeight="14.5"/>
  <cols>
    <col min="1" max="1" width="13.26953125" customWidth="1"/>
    <col min="2" max="2" width="69.453125" customWidth="1"/>
    <col min="4" max="4" width="61.81640625" customWidth="1"/>
  </cols>
  <sheetData>
    <row r="1" spans="1:4">
      <c r="A1" s="1" t="s">
        <v>314</v>
      </c>
    </row>
    <row r="3" spans="1:4">
      <c r="A3" s="1" t="s">
        <v>275</v>
      </c>
      <c r="B3" s="7" t="s">
        <v>277</v>
      </c>
      <c r="D3" s="7" t="s">
        <v>283</v>
      </c>
    </row>
    <row r="4" spans="1:4">
      <c r="B4" t="s">
        <v>276</v>
      </c>
      <c r="D4" t="s">
        <v>284</v>
      </c>
    </row>
    <row r="5" spans="1:4">
      <c r="B5" s="2">
        <v>2018</v>
      </c>
      <c r="D5" s="2">
        <v>2018</v>
      </c>
    </row>
    <row r="6" spans="1:4">
      <c r="B6" t="s">
        <v>278</v>
      </c>
      <c r="D6" t="s">
        <v>285</v>
      </c>
    </row>
    <row r="7" spans="1:4">
      <c r="B7" s="3" t="s">
        <v>279</v>
      </c>
      <c r="D7" s="3" t="s">
        <v>286</v>
      </c>
    </row>
    <row r="8" spans="1:4">
      <c r="B8" t="s">
        <v>280</v>
      </c>
      <c r="D8" t="s">
        <v>287</v>
      </c>
    </row>
    <row r="10" spans="1:4">
      <c r="B10" s="7" t="s">
        <v>281</v>
      </c>
      <c r="D10" s="7" t="s">
        <v>294</v>
      </c>
    </row>
    <row r="11" spans="1:4">
      <c r="B11" t="s">
        <v>276</v>
      </c>
      <c r="D11" t="s">
        <v>284</v>
      </c>
    </row>
    <row r="12" spans="1:4">
      <c r="B12" s="2">
        <v>2021</v>
      </c>
      <c r="D12" s="2">
        <v>2018</v>
      </c>
    </row>
    <row r="13" spans="1:4">
      <c r="B13" t="s">
        <v>622</v>
      </c>
      <c r="D13" t="s">
        <v>297</v>
      </c>
    </row>
    <row r="14" spans="1:4">
      <c r="B14" s="3" t="s">
        <v>623</v>
      </c>
      <c r="D14" s="3" t="s">
        <v>295</v>
      </c>
    </row>
    <row r="15" spans="1:4">
      <c r="B15" t="s">
        <v>282</v>
      </c>
      <c r="D15" t="s">
        <v>296</v>
      </c>
    </row>
    <row r="17" spans="1:1">
      <c r="A17" s="1" t="s">
        <v>288</v>
      </c>
    </row>
    <row r="18" spans="1:1">
      <c r="A18" t="s">
        <v>311</v>
      </c>
    </row>
    <row r="19" spans="1:1">
      <c r="A19" t="s">
        <v>312</v>
      </c>
    </row>
    <row r="21" spans="1:1">
      <c r="A21" s="1" t="s">
        <v>313</v>
      </c>
    </row>
    <row r="22" spans="1:1">
      <c r="A22" t="s">
        <v>289</v>
      </c>
    </row>
    <row r="23" spans="1:1">
      <c r="A23" t="s">
        <v>290</v>
      </c>
    </row>
    <row r="24" spans="1:1">
      <c r="A24" t="s">
        <v>291</v>
      </c>
    </row>
    <row r="25" spans="1:1">
      <c r="A25" t="s">
        <v>292</v>
      </c>
    </row>
    <row r="27" spans="1:1">
      <c r="A27" t="s">
        <v>293</v>
      </c>
    </row>
    <row r="28" spans="1:1">
      <c r="A28" t="s">
        <v>298</v>
      </c>
    </row>
    <row r="29" spans="1:1">
      <c r="A29" t="s">
        <v>299</v>
      </c>
    </row>
    <row r="30" spans="1:1">
      <c r="A30" t="s">
        <v>300</v>
      </c>
    </row>
    <row r="32" spans="1:1">
      <c r="A32" t="s">
        <v>324</v>
      </c>
    </row>
    <row r="33" spans="1:1">
      <c r="A33" t="s">
        <v>325</v>
      </c>
    </row>
    <row r="34" spans="1:1">
      <c r="A34" t="s">
        <v>326</v>
      </c>
    </row>
    <row r="35" spans="1:1">
      <c r="A35" t="s">
        <v>327</v>
      </c>
    </row>
    <row r="36" spans="1:1">
      <c r="A36" t="s">
        <v>323</v>
      </c>
    </row>
    <row r="38" spans="1:1">
      <c r="A38" t="s">
        <v>301</v>
      </c>
    </row>
    <row r="39" spans="1:1">
      <c r="A39" t="s">
        <v>302</v>
      </c>
    </row>
    <row r="40" spans="1:1">
      <c r="A40" t="s">
        <v>303</v>
      </c>
    </row>
    <row r="42" spans="1:1">
      <c r="A42" t="s">
        <v>304</v>
      </c>
    </row>
    <row r="43" spans="1:1">
      <c r="A43" t="s">
        <v>305</v>
      </c>
    </row>
    <row r="44" spans="1:1">
      <c r="A44" t="s">
        <v>306</v>
      </c>
    </row>
    <row r="45" spans="1:1">
      <c r="A45" t="s">
        <v>307</v>
      </c>
    </row>
    <row r="47" spans="1:1">
      <c r="A47" t="s">
        <v>308</v>
      </c>
    </row>
    <row r="49" spans="1:1">
      <c r="A49" t="s">
        <v>309</v>
      </c>
    </row>
    <row r="50" spans="1:1">
      <c r="A50" t="s">
        <v>310</v>
      </c>
    </row>
    <row r="52" spans="1:1">
      <c r="A52" s="1" t="s">
        <v>262</v>
      </c>
    </row>
    <row r="53" spans="1:1">
      <c r="A53">
        <v>0.93665959530026111</v>
      </c>
    </row>
    <row r="54" spans="1:1">
      <c r="A54" s="1" t="s">
        <v>263</v>
      </c>
    </row>
    <row r="55" spans="1:1">
      <c r="A55">
        <v>0.95661376543184151</v>
      </c>
    </row>
  </sheetData>
  <phoneticPr fontId="22" type="noConversion"/>
  <hyperlinks>
    <hyperlink ref="B7" r:id="rId1" xr:uid="{00000000-0004-0000-0000-000000000000}"/>
    <hyperlink ref="D7" r:id="rId2" xr:uid="{00000000-0004-0000-0000-000002000000}"/>
    <hyperlink ref="D14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9"/>
  <sheetViews>
    <sheetView topLeftCell="B79" workbookViewId="0">
      <selection activeCell="I111" sqref="I111"/>
    </sheetView>
  </sheetViews>
  <sheetFormatPr defaultRowHeight="14.5"/>
  <cols>
    <col min="1" max="1" width="28" bestFit="1" customWidth="1"/>
    <col min="16" max="16" width="12" bestFit="1" customWidth="1"/>
  </cols>
  <sheetData>
    <row r="1" spans="1:17" ht="18.5">
      <c r="A1" s="26" t="s">
        <v>196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7">
      <c r="A2" s="190" t="s">
        <v>180</v>
      </c>
      <c r="B2" s="9">
        <v>2009</v>
      </c>
      <c r="C2" s="9">
        <v>2015</v>
      </c>
      <c r="D2" s="178">
        <v>2017</v>
      </c>
      <c r="E2" s="182"/>
      <c r="F2" s="182"/>
      <c r="G2" s="179"/>
      <c r="H2" s="178">
        <v>2020</v>
      </c>
      <c r="I2" s="179"/>
      <c r="J2" s="178">
        <v>2030</v>
      </c>
      <c r="K2" s="179"/>
      <c r="L2" s="178">
        <v>2040</v>
      </c>
      <c r="M2" s="179"/>
      <c r="N2" s="178">
        <v>2050</v>
      </c>
      <c r="O2" s="179"/>
      <c r="P2" s="178">
        <v>2060</v>
      </c>
      <c r="Q2" s="179"/>
    </row>
    <row r="3" spans="1:17" ht="43.5">
      <c r="A3" s="191"/>
      <c r="B3" s="10" t="s">
        <v>181</v>
      </c>
      <c r="C3" s="10" t="s">
        <v>181</v>
      </c>
      <c r="D3" s="10" t="s">
        <v>182</v>
      </c>
      <c r="E3" s="27" t="s">
        <v>183</v>
      </c>
      <c r="F3" s="28" t="s">
        <v>195</v>
      </c>
      <c r="G3" s="27" t="s">
        <v>185</v>
      </c>
      <c r="H3" s="27" t="s">
        <v>183</v>
      </c>
      <c r="I3" s="27" t="s">
        <v>185</v>
      </c>
      <c r="J3" s="27" t="s">
        <v>183</v>
      </c>
      <c r="K3" s="27" t="s">
        <v>185</v>
      </c>
      <c r="L3" s="27" t="s">
        <v>183</v>
      </c>
      <c r="M3" s="27" t="s">
        <v>185</v>
      </c>
      <c r="N3" s="27" t="s">
        <v>183</v>
      </c>
      <c r="O3" s="27" t="s">
        <v>185</v>
      </c>
      <c r="P3" s="27" t="s">
        <v>183</v>
      </c>
      <c r="Q3" s="27" t="s">
        <v>185</v>
      </c>
    </row>
    <row r="4" spans="1:17">
      <c r="A4" s="11" t="s">
        <v>187</v>
      </c>
      <c r="B4" s="12">
        <v>80</v>
      </c>
      <c r="C4" s="12">
        <v>80</v>
      </c>
      <c r="D4" s="12">
        <v>80</v>
      </c>
      <c r="E4" s="12">
        <v>80</v>
      </c>
      <c r="F4" s="12">
        <v>80</v>
      </c>
      <c r="G4" s="12">
        <v>80</v>
      </c>
      <c r="H4" s="12">
        <v>80</v>
      </c>
      <c r="I4" s="12">
        <v>80</v>
      </c>
      <c r="J4" s="12">
        <v>80</v>
      </c>
      <c r="K4" s="12">
        <v>80</v>
      </c>
      <c r="L4" s="12">
        <v>80</v>
      </c>
      <c r="M4" s="12">
        <v>80</v>
      </c>
      <c r="N4" s="12">
        <v>80</v>
      </c>
      <c r="O4" s="12">
        <v>80</v>
      </c>
      <c r="P4" s="12">
        <v>80</v>
      </c>
      <c r="Q4" s="12">
        <v>80</v>
      </c>
    </row>
    <row r="5" spans="1:17">
      <c r="A5" s="10" t="s">
        <v>188</v>
      </c>
      <c r="B5" s="15">
        <v>80</v>
      </c>
      <c r="C5" s="15">
        <v>80</v>
      </c>
      <c r="D5" s="15">
        <v>80</v>
      </c>
      <c r="E5" s="15">
        <v>80</v>
      </c>
      <c r="F5" s="15">
        <v>90</v>
      </c>
      <c r="G5" s="15">
        <v>99</v>
      </c>
      <c r="H5" s="15">
        <v>80</v>
      </c>
      <c r="I5" s="15">
        <v>99</v>
      </c>
      <c r="J5" s="15">
        <v>80</v>
      </c>
      <c r="K5" s="15">
        <v>99</v>
      </c>
      <c r="L5" s="15">
        <v>80</v>
      </c>
      <c r="M5" s="15">
        <v>99</v>
      </c>
      <c r="N5" s="15">
        <v>80</v>
      </c>
      <c r="O5" s="15">
        <v>99</v>
      </c>
      <c r="P5" s="15">
        <v>80</v>
      </c>
      <c r="Q5" s="15">
        <v>99</v>
      </c>
    </row>
    <row r="6" spans="1:17">
      <c r="A6" s="11" t="s">
        <v>189</v>
      </c>
      <c r="B6" s="12">
        <v>548</v>
      </c>
      <c r="C6" s="12">
        <v>522</v>
      </c>
      <c r="D6" s="12">
        <v>470</v>
      </c>
      <c r="E6" s="12">
        <v>470</v>
      </c>
      <c r="F6" s="12">
        <v>408</v>
      </c>
      <c r="G6" s="12">
        <v>418</v>
      </c>
      <c r="H6" s="12">
        <v>329</v>
      </c>
      <c r="I6" s="12">
        <v>334</v>
      </c>
      <c r="J6" s="12">
        <v>329</v>
      </c>
      <c r="K6" s="12">
        <v>334</v>
      </c>
      <c r="L6" s="12">
        <v>329</v>
      </c>
      <c r="M6" s="12">
        <v>334</v>
      </c>
      <c r="N6" s="12">
        <v>329</v>
      </c>
      <c r="O6" s="12">
        <v>334</v>
      </c>
      <c r="P6" s="12">
        <v>329</v>
      </c>
      <c r="Q6" s="12">
        <v>334</v>
      </c>
    </row>
    <row r="7" spans="1:17">
      <c r="A7" s="194" t="s">
        <v>190</v>
      </c>
      <c r="B7" s="15">
        <v>16</v>
      </c>
      <c r="C7" s="15">
        <v>16</v>
      </c>
      <c r="D7" s="15">
        <v>16</v>
      </c>
      <c r="E7" s="15">
        <v>16</v>
      </c>
      <c r="F7" s="15">
        <v>16</v>
      </c>
      <c r="G7" s="15">
        <v>16</v>
      </c>
      <c r="H7" s="15">
        <v>16</v>
      </c>
      <c r="I7" s="15">
        <v>16</v>
      </c>
      <c r="J7" s="15">
        <v>16</v>
      </c>
      <c r="K7" s="15">
        <v>16</v>
      </c>
      <c r="L7" s="15">
        <v>16</v>
      </c>
      <c r="M7" s="15">
        <v>16</v>
      </c>
      <c r="N7" s="15">
        <v>16</v>
      </c>
      <c r="O7" s="15">
        <v>16</v>
      </c>
      <c r="P7" s="15">
        <v>16</v>
      </c>
      <c r="Q7" s="15">
        <v>16</v>
      </c>
    </row>
    <row r="8" spans="1:17">
      <c r="A8" s="195"/>
      <c r="B8" s="15">
        <v>27</v>
      </c>
      <c r="C8" s="15">
        <v>27</v>
      </c>
      <c r="D8" s="15">
        <v>27</v>
      </c>
      <c r="E8" s="15">
        <v>27</v>
      </c>
      <c r="F8" s="15">
        <v>27</v>
      </c>
      <c r="G8" s="15">
        <v>27</v>
      </c>
      <c r="H8" s="15">
        <v>27</v>
      </c>
      <c r="I8" s="15">
        <v>27</v>
      </c>
      <c r="J8" s="15">
        <v>27</v>
      </c>
      <c r="K8" s="15">
        <v>27</v>
      </c>
      <c r="L8" s="15">
        <v>27</v>
      </c>
      <c r="M8" s="15">
        <v>27</v>
      </c>
      <c r="N8" s="15">
        <v>27</v>
      </c>
      <c r="O8" s="15">
        <v>27</v>
      </c>
      <c r="P8" s="15">
        <v>27</v>
      </c>
      <c r="Q8" s="15">
        <v>27</v>
      </c>
    </row>
    <row r="9" spans="1:17">
      <c r="A9" s="11" t="s">
        <v>191</v>
      </c>
      <c r="B9" s="12">
        <v>840</v>
      </c>
      <c r="C9" s="12">
        <v>860</v>
      </c>
      <c r="D9" s="12">
        <v>890</v>
      </c>
      <c r="E9" s="12">
        <v>890</v>
      </c>
      <c r="F9" s="18">
        <v>1150</v>
      </c>
      <c r="G9" s="18">
        <v>1620</v>
      </c>
      <c r="H9" s="18">
        <v>1080</v>
      </c>
      <c r="I9" s="18">
        <v>1620</v>
      </c>
      <c r="J9" s="18">
        <v>1080</v>
      </c>
      <c r="K9" s="18">
        <v>1620</v>
      </c>
      <c r="L9" s="18">
        <v>1080</v>
      </c>
      <c r="M9" s="18">
        <v>1620</v>
      </c>
      <c r="N9" s="18">
        <v>1080</v>
      </c>
      <c r="O9" s="18">
        <v>1620</v>
      </c>
      <c r="P9" s="18">
        <v>1080</v>
      </c>
      <c r="Q9" s="18">
        <v>1620</v>
      </c>
    </row>
    <row r="10" spans="1:17">
      <c r="A10" s="10" t="s">
        <v>192</v>
      </c>
      <c r="B10" s="21">
        <v>2000</v>
      </c>
      <c r="C10" s="21">
        <v>2020</v>
      </c>
      <c r="D10" s="21">
        <v>2050</v>
      </c>
      <c r="E10" s="21">
        <v>2050</v>
      </c>
      <c r="F10" s="21">
        <v>2560</v>
      </c>
      <c r="G10" s="21">
        <v>3040</v>
      </c>
      <c r="H10" s="21">
        <v>2240</v>
      </c>
      <c r="I10" s="21">
        <v>3040</v>
      </c>
      <c r="J10" s="21">
        <v>2240</v>
      </c>
      <c r="K10" s="21">
        <v>3040</v>
      </c>
      <c r="L10" s="21">
        <v>2240</v>
      </c>
      <c r="M10" s="21">
        <v>3040</v>
      </c>
      <c r="N10" s="21">
        <v>2240</v>
      </c>
      <c r="O10" s="21">
        <v>3040</v>
      </c>
      <c r="P10" s="21">
        <v>2240</v>
      </c>
      <c r="Q10" s="21">
        <v>3040</v>
      </c>
    </row>
    <row r="11" spans="1:17" ht="29">
      <c r="A11" s="11" t="s">
        <v>193</v>
      </c>
      <c r="B11" s="12">
        <v>40</v>
      </c>
      <c r="C11" s="12">
        <v>40</v>
      </c>
      <c r="D11" s="12">
        <v>40</v>
      </c>
      <c r="E11" s="12">
        <v>40</v>
      </c>
      <c r="F11" s="12">
        <v>40</v>
      </c>
      <c r="G11" s="12">
        <v>40</v>
      </c>
      <c r="H11" s="12">
        <v>40</v>
      </c>
      <c r="I11" s="12">
        <v>40</v>
      </c>
      <c r="J11" s="12">
        <v>40</v>
      </c>
      <c r="K11" s="12">
        <v>40</v>
      </c>
      <c r="L11" s="12">
        <v>40</v>
      </c>
      <c r="M11" s="12">
        <v>40</v>
      </c>
      <c r="N11" s="12">
        <v>40</v>
      </c>
      <c r="O11" s="12">
        <v>40</v>
      </c>
      <c r="P11" s="12">
        <v>40</v>
      </c>
      <c r="Q11" s="12">
        <v>40</v>
      </c>
    </row>
    <row r="13" spans="1:17" ht="18.5">
      <c r="A13" s="26" t="s">
        <v>194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7">
      <c r="A14" s="180" t="s">
        <v>180</v>
      </c>
      <c r="B14" s="9">
        <v>2009</v>
      </c>
      <c r="C14" s="9">
        <v>2015</v>
      </c>
      <c r="D14" s="178">
        <v>2017</v>
      </c>
      <c r="E14" s="182"/>
      <c r="F14" s="182"/>
      <c r="G14" s="179"/>
      <c r="H14" s="178">
        <v>2020</v>
      </c>
      <c r="I14" s="182"/>
      <c r="J14" s="182">
        <v>2030</v>
      </c>
      <c r="K14" s="179"/>
      <c r="L14" s="178">
        <v>2040</v>
      </c>
      <c r="M14" s="179"/>
      <c r="N14" s="178">
        <v>2050</v>
      </c>
      <c r="O14" s="179"/>
      <c r="P14" s="178">
        <v>2060</v>
      </c>
      <c r="Q14" s="179"/>
    </row>
    <row r="15" spans="1:17" ht="29">
      <c r="A15" s="181"/>
      <c r="B15" s="10" t="s">
        <v>181</v>
      </c>
      <c r="C15" s="10" t="s">
        <v>181</v>
      </c>
      <c r="D15" s="10" t="s">
        <v>182</v>
      </c>
      <c r="E15" s="10" t="s">
        <v>183</v>
      </c>
      <c r="F15" s="10" t="s">
        <v>184</v>
      </c>
      <c r="G15" s="10" t="s">
        <v>185</v>
      </c>
      <c r="H15" s="10" t="s">
        <v>183</v>
      </c>
      <c r="I15" s="204" t="s">
        <v>186</v>
      </c>
      <c r="J15" s="205"/>
      <c r="K15" s="10" t="s">
        <v>185</v>
      </c>
      <c r="L15" s="10" t="s">
        <v>183</v>
      </c>
      <c r="M15" s="10" t="s">
        <v>185</v>
      </c>
      <c r="N15" s="10" t="s">
        <v>183</v>
      </c>
      <c r="O15" s="10" t="s">
        <v>185</v>
      </c>
      <c r="P15" s="10" t="s">
        <v>183</v>
      </c>
      <c r="Q15" s="10" t="s">
        <v>185</v>
      </c>
    </row>
    <row r="16" spans="1:17">
      <c r="A16" s="11" t="s">
        <v>187</v>
      </c>
      <c r="B16" s="12">
        <v>105</v>
      </c>
      <c r="C16" s="12">
        <v>105</v>
      </c>
      <c r="D16" s="12">
        <v>105</v>
      </c>
      <c r="E16" s="12">
        <v>105</v>
      </c>
      <c r="F16" s="12">
        <v>105</v>
      </c>
      <c r="G16" s="12">
        <v>105</v>
      </c>
      <c r="H16" s="12">
        <v>105</v>
      </c>
      <c r="I16" s="13">
        <v>105</v>
      </c>
      <c r="J16" s="14">
        <v>105</v>
      </c>
      <c r="K16" s="12">
        <v>105</v>
      </c>
      <c r="L16" s="12">
        <v>105</v>
      </c>
      <c r="M16" s="12">
        <v>105</v>
      </c>
      <c r="N16" s="12">
        <v>105</v>
      </c>
      <c r="O16" s="12">
        <v>105</v>
      </c>
      <c r="P16" s="12">
        <v>105</v>
      </c>
      <c r="Q16" s="12">
        <v>105</v>
      </c>
    </row>
    <row r="17" spans="1:17">
      <c r="A17" s="10" t="s">
        <v>188</v>
      </c>
      <c r="B17" s="15">
        <v>80</v>
      </c>
      <c r="C17" s="15">
        <v>83</v>
      </c>
      <c r="D17" s="15">
        <v>83</v>
      </c>
      <c r="E17" s="15">
        <v>83</v>
      </c>
      <c r="F17" s="15">
        <v>85</v>
      </c>
      <c r="G17" s="15">
        <v>97</v>
      </c>
      <c r="H17" s="15">
        <v>83</v>
      </c>
      <c r="I17" s="16">
        <v>97</v>
      </c>
      <c r="J17" s="17">
        <v>84</v>
      </c>
      <c r="K17" s="15">
        <v>97</v>
      </c>
      <c r="L17" s="15">
        <v>84</v>
      </c>
      <c r="M17" s="15">
        <v>97</v>
      </c>
      <c r="N17" s="15">
        <v>84</v>
      </c>
      <c r="O17" s="15">
        <v>97</v>
      </c>
      <c r="P17" s="15">
        <v>84</v>
      </c>
      <c r="Q17" s="15">
        <v>97</v>
      </c>
    </row>
    <row r="18" spans="1:17">
      <c r="A18" s="11" t="s">
        <v>189</v>
      </c>
      <c r="B18" s="12">
        <v>490</v>
      </c>
      <c r="C18" s="12">
        <v>477</v>
      </c>
      <c r="D18" s="12">
        <v>477</v>
      </c>
      <c r="E18" s="12">
        <v>477</v>
      </c>
      <c r="F18" s="12">
        <v>466</v>
      </c>
      <c r="G18" s="12">
        <v>410</v>
      </c>
      <c r="H18" s="12">
        <v>477</v>
      </c>
      <c r="I18" s="13">
        <v>410</v>
      </c>
      <c r="J18" s="14">
        <v>472</v>
      </c>
      <c r="K18" s="12">
        <v>410</v>
      </c>
      <c r="L18" s="12">
        <v>472</v>
      </c>
      <c r="M18" s="12">
        <v>410</v>
      </c>
      <c r="N18" s="12">
        <v>472</v>
      </c>
      <c r="O18" s="12">
        <v>410</v>
      </c>
      <c r="P18" s="12">
        <v>472</v>
      </c>
      <c r="Q18" s="12">
        <v>410</v>
      </c>
    </row>
    <row r="19" spans="1:17">
      <c r="A19" s="194" t="s">
        <v>190</v>
      </c>
      <c r="B19" s="15">
        <v>20</v>
      </c>
      <c r="C19" s="15">
        <v>20</v>
      </c>
      <c r="D19" s="15">
        <v>20</v>
      </c>
      <c r="E19" s="15">
        <v>20</v>
      </c>
      <c r="F19" s="15">
        <v>20</v>
      </c>
      <c r="G19" s="15">
        <v>20</v>
      </c>
      <c r="H19" s="15">
        <v>20</v>
      </c>
      <c r="I19" s="16">
        <v>20</v>
      </c>
      <c r="J19" s="17">
        <v>20</v>
      </c>
      <c r="K19" s="15">
        <v>20</v>
      </c>
      <c r="L19" s="15">
        <v>20</v>
      </c>
      <c r="M19" s="15">
        <v>20</v>
      </c>
      <c r="N19" s="15">
        <v>20</v>
      </c>
      <c r="O19" s="15">
        <v>20</v>
      </c>
      <c r="P19" s="15">
        <v>20</v>
      </c>
      <c r="Q19" s="15">
        <v>20</v>
      </c>
    </row>
    <row r="20" spans="1:17">
      <c r="A20" s="195"/>
      <c r="B20" s="15">
        <v>33</v>
      </c>
      <c r="C20" s="15">
        <v>33</v>
      </c>
      <c r="D20" s="15">
        <v>33</v>
      </c>
      <c r="E20" s="15">
        <v>33</v>
      </c>
      <c r="F20" s="15">
        <v>33</v>
      </c>
      <c r="G20" s="15">
        <v>33</v>
      </c>
      <c r="H20" s="15">
        <v>33</v>
      </c>
      <c r="I20" s="16">
        <v>33</v>
      </c>
      <c r="J20" s="17">
        <v>33</v>
      </c>
      <c r="K20" s="15">
        <v>33</v>
      </c>
      <c r="L20" s="15">
        <v>33</v>
      </c>
      <c r="M20" s="15">
        <v>33</v>
      </c>
      <c r="N20" s="15">
        <v>33</v>
      </c>
      <c r="O20" s="15">
        <v>33</v>
      </c>
      <c r="P20" s="15">
        <v>33</v>
      </c>
      <c r="Q20" s="15">
        <v>33</v>
      </c>
    </row>
    <row r="21" spans="1:17">
      <c r="A21" s="196" t="s">
        <v>191</v>
      </c>
      <c r="B21" s="18">
        <v>2150</v>
      </c>
      <c r="C21" s="18">
        <v>2200</v>
      </c>
      <c r="D21" s="18">
        <v>2200</v>
      </c>
      <c r="E21" s="18">
        <v>2200</v>
      </c>
      <c r="F21" s="18">
        <v>2250</v>
      </c>
      <c r="G21" s="18">
        <v>2700</v>
      </c>
      <c r="H21" s="18">
        <v>2200</v>
      </c>
      <c r="I21" s="19">
        <v>2700</v>
      </c>
      <c r="J21" s="20">
        <v>2250</v>
      </c>
      <c r="K21" s="18">
        <v>2700</v>
      </c>
      <c r="L21" s="18">
        <v>2250</v>
      </c>
      <c r="M21" s="18">
        <v>2700</v>
      </c>
      <c r="N21" s="18">
        <v>2250</v>
      </c>
      <c r="O21" s="18">
        <v>2700</v>
      </c>
      <c r="P21" s="18">
        <v>2250</v>
      </c>
      <c r="Q21" s="18">
        <v>2700</v>
      </c>
    </row>
    <row r="22" spans="1:17">
      <c r="A22" s="197"/>
      <c r="B22" s="18">
        <v>2350</v>
      </c>
      <c r="C22" s="18">
        <v>2900</v>
      </c>
      <c r="D22" s="18">
        <v>2900</v>
      </c>
      <c r="E22" s="18">
        <v>2900</v>
      </c>
      <c r="F22" s="18">
        <v>2950</v>
      </c>
      <c r="G22" s="18">
        <v>3450</v>
      </c>
      <c r="H22" s="18">
        <v>2900</v>
      </c>
      <c r="I22" s="19">
        <v>3450</v>
      </c>
      <c r="J22" s="20">
        <v>2950</v>
      </c>
      <c r="K22" s="18">
        <v>3450</v>
      </c>
      <c r="L22" s="18">
        <v>2950</v>
      </c>
      <c r="M22" s="18">
        <v>3450</v>
      </c>
      <c r="N22" s="18">
        <v>2950</v>
      </c>
      <c r="O22" s="18">
        <v>3450</v>
      </c>
      <c r="P22" s="18">
        <v>2950</v>
      </c>
      <c r="Q22" s="18">
        <v>3450</v>
      </c>
    </row>
    <row r="23" spans="1:17">
      <c r="A23" s="194" t="s">
        <v>192</v>
      </c>
      <c r="B23" s="21">
        <v>2700</v>
      </c>
      <c r="C23" s="21">
        <v>2750</v>
      </c>
      <c r="D23" s="21">
        <v>2750</v>
      </c>
      <c r="E23" s="21">
        <v>2750</v>
      </c>
      <c r="F23" s="21">
        <v>2950</v>
      </c>
      <c r="G23" s="21">
        <v>4350</v>
      </c>
      <c r="H23" s="21">
        <v>2750</v>
      </c>
      <c r="I23" s="22">
        <v>4350</v>
      </c>
      <c r="J23" s="23">
        <v>2750</v>
      </c>
      <c r="K23" s="21">
        <v>4350</v>
      </c>
      <c r="L23" s="21">
        <v>2750</v>
      </c>
      <c r="M23" s="21">
        <v>4350</v>
      </c>
      <c r="N23" s="21">
        <v>2750</v>
      </c>
      <c r="O23" s="21">
        <v>4350</v>
      </c>
      <c r="P23" s="21">
        <v>2750</v>
      </c>
      <c r="Q23" s="21">
        <v>4350</v>
      </c>
    </row>
    <row r="24" spans="1:17">
      <c r="A24" s="195"/>
      <c r="B24" s="21">
        <v>3400</v>
      </c>
      <c r="C24" s="21">
        <v>5500</v>
      </c>
      <c r="D24" s="21">
        <v>5500</v>
      </c>
      <c r="E24" s="21">
        <v>5500</v>
      </c>
      <c r="F24" s="21">
        <v>5750</v>
      </c>
      <c r="G24" s="21">
        <v>8550</v>
      </c>
      <c r="H24" s="21">
        <v>5500</v>
      </c>
      <c r="I24" s="22">
        <v>8550</v>
      </c>
      <c r="J24" s="23">
        <v>5700</v>
      </c>
      <c r="K24" s="21">
        <v>8550</v>
      </c>
      <c r="L24" s="21">
        <v>5700</v>
      </c>
      <c r="M24" s="21">
        <v>8550</v>
      </c>
      <c r="N24" s="21">
        <v>5700</v>
      </c>
      <c r="O24" s="21">
        <v>8550</v>
      </c>
      <c r="P24" s="21">
        <v>5700</v>
      </c>
      <c r="Q24" s="21">
        <v>8550</v>
      </c>
    </row>
    <row r="25" spans="1:17" ht="29">
      <c r="A25" s="11" t="s">
        <v>193</v>
      </c>
      <c r="B25" s="12">
        <v>70</v>
      </c>
      <c r="C25" s="12">
        <v>70</v>
      </c>
      <c r="D25" s="12">
        <v>70</v>
      </c>
      <c r="E25" s="12">
        <v>70</v>
      </c>
      <c r="F25" s="12">
        <v>70</v>
      </c>
      <c r="G25" s="12">
        <v>200</v>
      </c>
      <c r="H25" s="12">
        <v>70</v>
      </c>
      <c r="I25" s="13">
        <v>200</v>
      </c>
      <c r="J25" s="14">
        <v>70</v>
      </c>
      <c r="K25" s="12">
        <v>200</v>
      </c>
      <c r="L25" s="12">
        <v>70</v>
      </c>
      <c r="M25" s="12">
        <v>200</v>
      </c>
      <c r="N25" s="12">
        <v>70</v>
      </c>
      <c r="O25" s="12">
        <v>200</v>
      </c>
      <c r="P25" s="12">
        <v>70</v>
      </c>
      <c r="Q25" s="12">
        <v>200</v>
      </c>
    </row>
    <row r="27" spans="1:17" ht="18.5">
      <c r="A27" s="26" t="s">
        <v>211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>
      <c r="A28" s="41" t="s">
        <v>180</v>
      </c>
      <c r="B28" s="42">
        <v>2009</v>
      </c>
      <c r="C28" s="43">
        <v>2015</v>
      </c>
      <c r="D28" s="44">
        <v>2017</v>
      </c>
      <c r="E28" s="45"/>
      <c r="F28" s="44">
        <v>2020</v>
      </c>
      <c r="G28" s="45"/>
      <c r="H28" s="44">
        <v>2030</v>
      </c>
      <c r="I28" s="45"/>
      <c r="J28" s="44">
        <v>2040</v>
      </c>
      <c r="K28" s="45"/>
      <c r="L28" s="44">
        <v>2050</v>
      </c>
      <c r="M28" s="45"/>
      <c r="N28" s="44">
        <v>2060</v>
      </c>
      <c r="O28" s="45"/>
    </row>
    <row r="29" spans="1:17" ht="29">
      <c r="A29" s="46"/>
      <c r="B29" s="47" t="s">
        <v>208</v>
      </c>
      <c r="C29" s="47" t="s">
        <v>208</v>
      </c>
      <c r="D29" s="48" t="s">
        <v>183</v>
      </c>
      <c r="E29" s="49" t="s">
        <v>185</v>
      </c>
      <c r="F29" s="48" t="s">
        <v>183</v>
      </c>
      <c r="G29" s="49" t="s">
        <v>185</v>
      </c>
      <c r="H29" s="48" t="s">
        <v>183</v>
      </c>
      <c r="I29" s="49" t="s">
        <v>185</v>
      </c>
      <c r="J29" s="48" t="s">
        <v>183</v>
      </c>
      <c r="K29" s="49" t="s">
        <v>185</v>
      </c>
      <c r="L29" s="48" t="s">
        <v>183</v>
      </c>
      <c r="M29" s="49" t="s">
        <v>185</v>
      </c>
      <c r="N29" s="48" t="s">
        <v>183</v>
      </c>
      <c r="O29" s="49" t="s">
        <v>185</v>
      </c>
    </row>
    <row r="30" spans="1:17">
      <c r="A30" s="11" t="s">
        <v>198</v>
      </c>
      <c r="B30" s="13">
        <v>50</v>
      </c>
      <c r="C30" s="14">
        <v>50</v>
      </c>
      <c r="D30" s="13">
        <v>50</v>
      </c>
      <c r="E30" s="14">
        <v>50</v>
      </c>
      <c r="F30" s="13">
        <v>50</v>
      </c>
      <c r="G30" s="14">
        <v>50</v>
      </c>
      <c r="H30" s="13">
        <v>50</v>
      </c>
      <c r="I30" s="14">
        <v>50</v>
      </c>
      <c r="J30" s="13">
        <v>50</v>
      </c>
      <c r="K30" s="14">
        <v>50</v>
      </c>
      <c r="L30" s="13">
        <v>50</v>
      </c>
      <c r="M30" s="14">
        <v>50</v>
      </c>
      <c r="N30" s="13">
        <v>50</v>
      </c>
      <c r="O30" s="14">
        <v>50</v>
      </c>
    </row>
    <row r="31" spans="1:17">
      <c r="A31" s="10" t="s">
        <v>209</v>
      </c>
      <c r="B31" s="16">
        <v>65</v>
      </c>
      <c r="C31" s="17">
        <v>70</v>
      </c>
      <c r="D31" s="16">
        <v>76</v>
      </c>
      <c r="E31" s="17">
        <v>87</v>
      </c>
      <c r="F31" s="16">
        <v>76</v>
      </c>
      <c r="G31" s="17">
        <v>87</v>
      </c>
      <c r="H31" s="16">
        <v>77</v>
      </c>
      <c r="I31" s="17">
        <v>87</v>
      </c>
      <c r="J31" s="16">
        <v>78</v>
      </c>
      <c r="K31" s="17">
        <v>88</v>
      </c>
      <c r="L31" s="16">
        <v>79</v>
      </c>
      <c r="M31" s="17">
        <v>89</v>
      </c>
      <c r="N31" s="16">
        <v>79</v>
      </c>
      <c r="O31" s="17">
        <v>89</v>
      </c>
    </row>
    <row r="32" spans="1:17" ht="29">
      <c r="A32" s="11" t="s">
        <v>210</v>
      </c>
      <c r="B32" s="13">
        <v>600</v>
      </c>
      <c r="C32" s="14">
        <v>600</v>
      </c>
      <c r="D32" s="13">
        <v>600</v>
      </c>
      <c r="E32" s="14">
        <v>600</v>
      </c>
      <c r="F32" s="13">
        <v>600</v>
      </c>
      <c r="G32" s="14">
        <v>600</v>
      </c>
      <c r="H32" s="13">
        <v>600</v>
      </c>
      <c r="I32" s="14">
        <v>600</v>
      </c>
      <c r="J32" s="13">
        <v>600</v>
      </c>
      <c r="K32" s="14">
        <v>600</v>
      </c>
      <c r="L32" s="13">
        <v>600</v>
      </c>
      <c r="M32" s="14">
        <v>600</v>
      </c>
      <c r="N32" s="13">
        <v>600</v>
      </c>
      <c r="O32" s="14">
        <v>600</v>
      </c>
    </row>
    <row r="33" spans="1:17">
      <c r="A33" s="50" t="s">
        <v>202</v>
      </c>
      <c r="B33" s="51">
        <v>12</v>
      </c>
      <c r="C33" s="52">
        <v>12</v>
      </c>
      <c r="D33" s="51">
        <v>12</v>
      </c>
      <c r="E33" s="52">
        <v>12</v>
      </c>
      <c r="F33" s="51">
        <v>12</v>
      </c>
      <c r="G33" s="52">
        <v>12</v>
      </c>
      <c r="H33" s="51">
        <v>12</v>
      </c>
      <c r="I33" s="52">
        <v>12</v>
      </c>
      <c r="J33" s="51">
        <v>12</v>
      </c>
      <c r="K33" s="52">
        <v>12</v>
      </c>
      <c r="L33" s="51">
        <v>12</v>
      </c>
      <c r="M33" s="52">
        <v>12</v>
      </c>
      <c r="N33" s="51">
        <v>12</v>
      </c>
      <c r="O33" s="52">
        <v>12</v>
      </c>
    </row>
    <row r="34" spans="1:17">
      <c r="A34" s="53"/>
      <c r="B34" s="54">
        <v>25</v>
      </c>
      <c r="C34" s="55">
        <v>25</v>
      </c>
      <c r="D34" s="54">
        <v>25</v>
      </c>
      <c r="E34" s="55">
        <v>25</v>
      </c>
      <c r="F34" s="54">
        <v>25</v>
      </c>
      <c r="G34" s="55">
        <v>25</v>
      </c>
      <c r="H34" s="54">
        <v>25</v>
      </c>
      <c r="I34" s="55">
        <v>25</v>
      </c>
      <c r="J34" s="54">
        <v>25</v>
      </c>
      <c r="K34" s="55">
        <v>25</v>
      </c>
      <c r="L34" s="54">
        <v>25</v>
      </c>
      <c r="M34" s="55">
        <v>25</v>
      </c>
      <c r="N34" s="54">
        <v>25</v>
      </c>
      <c r="O34" s="55">
        <v>25</v>
      </c>
    </row>
    <row r="35" spans="1:17">
      <c r="A35" s="11" t="s">
        <v>191</v>
      </c>
      <c r="B35" s="19">
        <v>3300</v>
      </c>
      <c r="C35" s="20">
        <v>3300</v>
      </c>
      <c r="D35" s="19">
        <v>3300</v>
      </c>
      <c r="E35" s="20">
        <v>4000</v>
      </c>
      <c r="F35" s="19">
        <v>3300</v>
      </c>
      <c r="G35" s="20">
        <v>4000</v>
      </c>
      <c r="H35" s="19">
        <v>3400</v>
      </c>
      <c r="I35" s="20">
        <v>4000</v>
      </c>
      <c r="J35" s="19">
        <v>3500</v>
      </c>
      <c r="K35" s="20">
        <v>4100</v>
      </c>
      <c r="L35" s="19">
        <v>3600</v>
      </c>
      <c r="M35" s="20">
        <v>4200</v>
      </c>
      <c r="N35" s="19">
        <v>3600</v>
      </c>
      <c r="O35" s="20">
        <v>4200</v>
      </c>
    </row>
    <row r="36" spans="1:17">
      <c r="A36" s="10" t="s">
        <v>192</v>
      </c>
      <c r="B36" s="22">
        <v>4700</v>
      </c>
      <c r="C36" s="23">
        <v>4700</v>
      </c>
      <c r="D36" s="22">
        <v>4700</v>
      </c>
      <c r="E36" s="23">
        <v>5400</v>
      </c>
      <c r="F36" s="22">
        <v>4700</v>
      </c>
      <c r="G36" s="23">
        <v>5400</v>
      </c>
      <c r="H36" s="22">
        <v>4800</v>
      </c>
      <c r="I36" s="23">
        <v>5400</v>
      </c>
      <c r="J36" s="22">
        <v>4900</v>
      </c>
      <c r="K36" s="23">
        <v>5500</v>
      </c>
      <c r="L36" s="22">
        <v>5000</v>
      </c>
      <c r="M36" s="23">
        <v>5600</v>
      </c>
      <c r="N36" s="22">
        <v>5000</v>
      </c>
      <c r="O36" s="23">
        <v>5600</v>
      </c>
    </row>
    <row r="37" spans="1:17" ht="29">
      <c r="A37" s="11" t="s">
        <v>193</v>
      </c>
      <c r="B37" s="13">
        <v>260</v>
      </c>
      <c r="C37" s="14">
        <v>260</v>
      </c>
      <c r="D37" s="13">
        <v>260</v>
      </c>
      <c r="E37" s="14">
        <v>260</v>
      </c>
      <c r="F37" s="13">
        <v>260</v>
      </c>
      <c r="G37" s="14">
        <v>260</v>
      </c>
      <c r="H37" s="13">
        <v>260</v>
      </c>
      <c r="I37" s="14">
        <v>260</v>
      </c>
      <c r="J37" s="13">
        <v>260</v>
      </c>
      <c r="K37" s="14">
        <v>260</v>
      </c>
      <c r="L37" s="13">
        <v>260</v>
      </c>
      <c r="M37" s="14">
        <v>260</v>
      </c>
      <c r="N37" s="13">
        <v>260</v>
      </c>
      <c r="O37" s="14">
        <v>260</v>
      </c>
    </row>
    <row r="39" spans="1:17" ht="18.5">
      <c r="A39" s="26" t="s">
        <v>205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7">
      <c r="A40" s="180" t="s">
        <v>180</v>
      </c>
      <c r="B40" s="29">
        <v>2009</v>
      </c>
      <c r="C40" s="9">
        <v>2015</v>
      </c>
      <c r="D40" s="178">
        <v>2017</v>
      </c>
      <c r="E40" s="182"/>
      <c r="F40" s="182"/>
      <c r="G40" s="179"/>
      <c r="H40" s="178">
        <v>2020</v>
      </c>
      <c r="I40" s="179"/>
      <c r="J40" s="198" t="s">
        <v>197</v>
      </c>
      <c r="K40" s="199"/>
      <c r="L40" s="178">
        <v>2040</v>
      </c>
      <c r="M40" s="179"/>
      <c r="N40" s="178">
        <v>2050</v>
      </c>
      <c r="O40" s="179"/>
      <c r="P40" s="178">
        <v>2060</v>
      </c>
      <c r="Q40" s="179"/>
    </row>
    <row r="41" spans="1:17" ht="29">
      <c r="A41" s="181"/>
      <c r="B41" s="10" t="s">
        <v>181</v>
      </c>
      <c r="C41" s="10" t="s">
        <v>181</v>
      </c>
      <c r="D41" s="10" t="s">
        <v>182</v>
      </c>
      <c r="E41" s="10" t="s">
        <v>183</v>
      </c>
      <c r="F41" s="10" t="s">
        <v>184</v>
      </c>
      <c r="G41" s="10" t="s">
        <v>185</v>
      </c>
      <c r="H41" s="10" t="s">
        <v>183</v>
      </c>
      <c r="I41" s="10" t="s">
        <v>185</v>
      </c>
      <c r="J41" s="10" t="s">
        <v>183</v>
      </c>
      <c r="K41" s="10" t="s">
        <v>185</v>
      </c>
      <c r="L41" s="10" t="s">
        <v>183</v>
      </c>
      <c r="M41" s="10" t="s">
        <v>185</v>
      </c>
      <c r="N41" s="10" t="s">
        <v>183</v>
      </c>
      <c r="O41" s="10" t="s">
        <v>185</v>
      </c>
      <c r="P41" s="10" t="s">
        <v>183</v>
      </c>
      <c r="Q41" s="10" t="s">
        <v>185</v>
      </c>
    </row>
    <row r="42" spans="1:17">
      <c r="A42" s="30" t="s">
        <v>198</v>
      </c>
      <c r="B42" s="14">
        <v>36</v>
      </c>
      <c r="C42" s="12">
        <v>36</v>
      </c>
      <c r="D42" s="12">
        <v>36</v>
      </c>
      <c r="E42" s="12">
        <v>36</v>
      </c>
      <c r="F42" s="12">
        <v>36</v>
      </c>
      <c r="G42" s="12">
        <v>36</v>
      </c>
      <c r="H42" s="12">
        <v>36</v>
      </c>
      <c r="I42" s="12">
        <v>36</v>
      </c>
      <c r="J42" s="12">
        <v>36</v>
      </c>
      <c r="K42" s="12">
        <v>36</v>
      </c>
      <c r="L42" s="12">
        <v>36</v>
      </c>
      <c r="M42" s="12">
        <v>36</v>
      </c>
      <c r="N42" s="12">
        <v>36</v>
      </c>
      <c r="O42" s="12">
        <v>36</v>
      </c>
      <c r="P42" s="12">
        <v>36</v>
      </c>
      <c r="Q42" s="12">
        <v>36</v>
      </c>
    </row>
    <row r="43" spans="1:17">
      <c r="A43" s="31" t="s">
        <v>199</v>
      </c>
      <c r="B43" s="32">
        <v>12</v>
      </c>
      <c r="C43" s="33">
        <v>13.1</v>
      </c>
      <c r="D43" s="33">
        <v>14</v>
      </c>
      <c r="E43" s="33">
        <v>15.3</v>
      </c>
      <c r="F43" s="33">
        <v>15</v>
      </c>
      <c r="G43" s="33">
        <v>19</v>
      </c>
      <c r="H43" s="33">
        <v>15.3</v>
      </c>
      <c r="I43" s="33">
        <v>19</v>
      </c>
      <c r="J43" s="33">
        <v>15.8</v>
      </c>
      <c r="K43" s="33">
        <v>19</v>
      </c>
      <c r="L43" s="33">
        <v>15.8</v>
      </c>
      <c r="M43" s="33">
        <v>19</v>
      </c>
      <c r="N43" s="33">
        <v>15.8</v>
      </c>
      <c r="O43" s="33">
        <v>19</v>
      </c>
      <c r="P43" s="33">
        <v>15.8</v>
      </c>
      <c r="Q43" s="33">
        <v>19</v>
      </c>
    </row>
    <row r="44" spans="1:17">
      <c r="A44" s="30" t="s">
        <v>200</v>
      </c>
      <c r="B44" s="34" t="s">
        <v>201</v>
      </c>
      <c r="C44" s="35">
        <v>7.9</v>
      </c>
      <c r="D44" s="35">
        <v>8.1999999999999993</v>
      </c>
      <c r="E44" s="35">
        <v>8.6</v>
      </c>
      <c r="F44" s="35">
        <v>8.5</v>
      </c>
      <c r="G44" s="35">
        <v>9</v>
      </c>
      <c r="H44" s="35">
        <v>8.6</v>
      </c>
      <c r="I44" s="35">
        <v>9</v>
      </c>
      <c r="J44" s="35">
        <v>8.8000000000000007</v>
      </c>
      <c r="K44" s="35">
        <v>9</v>
      </c>
      <c r="L44" s="35">
        <v>8.8000000000000007</v>
      </c>
      <c r="M44" s="35">
        <v>9</v>
      </c>
      <c r="N44" s="35">
        <v>8.8000000000000007</v>
      </c>
      <c r="O44" s="35">
        <v>9</v>
      </c>
      <c r="P44" s="35">
        <v>8.8000000000000007</v>
      </c>
      <c r="Q44" s="35">
        <v>9</v>
      </c>
    </row>
    <row r="45" spans="1:17">
      <c r="A45" s="200" t="s">
        <v>202</v>
      </c>
      <c r="B45" s="36">
        <v>9</v>
      </c>
      <c r="C45" s="37">
        <v>9</v>
      </c>
      <c r="D45" s="37">
        <v>9</v>
      </c>
      <c r="E45" s="37">
        <v>9</v>
      </c>
      <c r="F45" s="37">
        <v>9</v>
      </c>
      <c r="G45" s="37">
        <v>9</v>
      </c>
      <c r="H45" s="37">
        <v>9</v>
      </c>
      <c r="I45" s="37">
        <v>9</v>
      </c>
      <c r="J45" s="37">
        <v>9</v>
      </c>
      <c r="K45" s="37">
        <v>9</v>
      </c>
      <c r="L45" s="37">
        <v>9</v>
      </c>
      <c r="M45" s="37">
        <v>9</v>
      </c>
      <c r="N45" s="37">
        <v>9</v>
      </c>
      <c r="O45" s="37">
        <v>9</v>
      </c>
      <c r="P45" s="37">
        <v>9</v>
      </c>
      <c r="Q45" s="37">
        <v>9</v>
      </c>
    </row>
    <row r="46" spans="1:17">
      <c r="A46" s="201"/>
      <c r="B46" s="17">
        <v>22</v>
      </c>
      <c r="C46" s="15">
        <v>22</v>
      </c>
      <c r="D46" s="15">
        <v>22</v>
      </c>
      <c r="E46" s="15">
        <v>22</v>
      </c>
      <c r="F46" s="15">
        <v>22</v>
      </c>
      <c r="G46" s="15">
        <v>22</v>
      </c>
      <c r="H46" s="15">
        <v>22</v>
      </c>
      <c r="I46" s="15">
        <v>22</v>
      </c>
      <c r="J46" s="15">
        <v>22</v>
      </c>
      <c r="K46" s="15">
        <v>22</v>
      </c>
      <c r="L46" s="15">
        <v>22</v>
      </c>
      <c r="M46" s="15">
        <v>22</v>
      </c>
      <c r="N46" s="15">
        <v>22</v>
      </c>
      <c r="O46" s="15">
        <v>22</v>
      </c>
      <c r="P46" s="15">
        <v>22</v>
      </c>
      <c r="Q46" s="15">
        <v>22</v>
      </c>
    </row>
    <row r="47" spans="1:17">
      <c r="A47" s="30" t="s">
        <v>203</v>
      </c>
      <c r="B47" s="20">
        <v>2550</v>
      </c>
      <c r="C47" s="18">
        <v>2800</v>
      </c>
      <c r="D47" s="18">
        <v>3350</v>
      </c>
      <c r="E47" s="18">
        <v>3600</v>
      </c>
      <c r="F47" s="18">
        <v>3500</v>
      </c>
      <c r="G47" s="18">
        <v>4550</v>
      </c>
      <c r="H47" s="18">
        <v>3600</v>
      </c>
      <c r="I47" s="18">
        <v>4550</v>
      </c>
      <c r="J47" s="18">
        <v>3700</v>
      </c>
      <c r="K47" s="18">
        <v>4550</v>
      </c>
      <c r="L47" s="18">
        <v>3700</v>
      </c>
      <c r="M47" s="18">
        <v>4550</v>
      </c>
      <c r="N47" s="18">
        <v>3700</v>
      </c>
      <c r="O47" s="18">
        <v>4550</v>
      </c>
      <c r="P47" s="18">
        <v>3700</v>
      </c>
      <c r="Q47" s="18">
        <v>4550</v>
      </c>
    </row>
    <row r="48" spans="1:17">
      <c r="A48" s="31" t="s">
        <v>204</v>
      </c>
      <c r="B48" s="23">
        <v>3000</v>
      </c>
      <c r="C48" s="21">
        <v>3250</v>
      </c>
      <c r="D48" s="21">
        <v>4850</v>
      </c>
      <c r="E48" s="21">
        <v>5100</v>
      </c>
      <c r="F48" s="21">
        <v>4950</v>
      </c>
      <c r="G48" s="21">
        <v>6100</v>
      </c>
      <c r="H48" s="21">
        <v>5100</v>
      </c>
      <c r="I48" s="21">
        <v>6100</v>
      </c>
      <c r="J48" s="21">
        <v>5150</v>
      </c>
      <c r="K48" s="21">
        <v>6100</v>
      </c>
      <c r="L48" s="21">
        <v>5150</v>
      </c>
      <c r="M48" s="21">
        <v>6100</v>
      </c>
      <c r="N48" s="21">
        <v>5150</v>
      </c>
      <c r="O48" s="21">
        <v>6100</v>
      </c>
      <c r="P48" s="21">
        <v>5150</v>
      </c>
      <c r="Q48" s="21">
        <v>6100</v>
      </c>
    </row>
    <row r="49" spans="1:17">
      <c r="A49" s="202" t="s">
        <v>193</v>
      </c>
      <c r="B49" s="14">
        <v>20</v>
      </c>
      <c r="C49" s="12">
        <v>20</v>
      </c>
      <c r="D49" s="12">
        <v>20</v>
      </c>
      <c r="E49" s="12">
        <v>20</v>
      </c>
      <c r="F49" s="12">
        <v>20</v>
      </c>
      <c r="G49" s="12">
        <v>20</v>
      </c>
      <c r="H49" s="12">
        <v>20</v>
      </c>
      <c r="I49" s="12">
        <v>20</v>
      </c>
      <c r="J49" s="12">
        <v>20</v>
      </c>
      <c r="K49" s="12">
        <v>20</v>
      </c>
      <c r="L49" s="12">
        <v>20</v>
      </c>
      <c r="M49" s="12">
        <v>20</v>
      </c>
      <c r="N49" s="12">
        <v>20</v>
      </c>
      <c r="O49" s="12">
        <v>20</v>
      </c>
      <c r="P49" s="12">
        <v>20</v>
      </c>
      <c r="Q49" s="12">
        <v>20</v>
      </c>
    </row>
    <row r="50" spans="1:17">
      <c r="A50" s="203"/>
      <c r="B50" s="14">
        <v>125</v>
      </c>
      <c r="C50" s="12">
        <v>125</v>
      </c>
      <c r="D50" s="12">
        <v>125</v>
      </c>
      <c r="E50" s="12">
        <v>125</v>
      </c>
      <c r="F50" s="12">
        <v>125</v>
      </c>
      <c r="G50" s="12">
        <v>125</v>
      </c>
      <c r="H50" s="12">
        <v>125</v>
      </c>
      <c r="I50" s="12">
        <v>125</v>
      </c>
      <c r="J50" s="12">
        <v>125</v>
      </c>
      <c r="K50" s="12">
        <v>125</v>
      </c>
      <c r="L50" s="12">
        <v>125</v>
      </c>
      <c r="M50" s="12">
        <v>125</v>
      </c>
      <c r="N50" s="12">
        <v>125</v>
      </c>
      <c r="O50" s="12">
        <v>125</v>
      </c>
      <c r="P50" s="12">
        <v>125</v>
      </c>
      <c r="Q50" s="12">
        <v>125</v>
      </c>
    </row>
    <row r="52" spans="1:17" ht="18.5">
      <c r="A52" s="26" t="s">
        <v>220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7">
      <c r="A53" s="41"/>
      <c r="B53" s="29">
        <v>2009</v>
      </c>
      <c r="C53" s="9">
        <v>2015</v>
      </c>
      <c r="D53" s="178">
        <v>2017</v>
      </c>
      <c r="E53" s="182"/>
      <c r="F53" s="182"/>
      <c r="G53" s="179"/>
      <c r="H53" s="178">
        <v>2020</v>
      </c>
      <c r="I53" s="179"/>
      <c r="J53" s="192">
        <v>2030</v>
      </c>
      <c r="K53" s="193"/>
      <c r="L53" s="178">
        <v>2040</v>
      </c>
      <c r="M53" s="179"/>
      <c r="N53" s="178">
        <v>2050</v>
      </c>
      <c r="O53" s="179"/>
      <c r="P53" s="178">
        <v>2060</v>
      </c>
      <c r="Q53" s="179"/>
    </row>
    <row r="54" spans="1:17" ht="29">
      <c r="A54" s="46"/>
      <c r="B54" s="10" t="s">
        <v>0</v>
      </c>
      <c r="C54" s="10" t="s">
        <v>0</v>
      </c>
      <c r="D54" s="10" t="s">
        <v>1</v>
      </c>
      <c r="E54" s="10" t="s">
        <v>2</v>
      </c>
      <c r="F54" s="10" t="s">
        <v>3</v>
      </c>
      <c r="G54" s="10" t="s">
        <v>4</v>
      </c>
      <c r="H54" s="10" t="s">
        <v>2</v>
      </c>
      <c r="I54" s="10" t="s">
        <v>4</v>
      </c>
      <c r="J54" s="10" t="s">
        <v>2</v>
      </c>
      <c r="K54" s="10" t="s">
        <v>4</v>
      </c>
      <c r="L54" s="10" t="s">
        <v>2</v>
      </c>
      <c r="M54" s="10" t="s">
        <v>4</v>
      </c>
      <c r="N54" s="10" t="s">
        <v>2</v>
      </c>
      <c r="O54" s="10" t="s">
        <v>4</v>
      </c>
      <c r="P54" s="10" t="s">
        <v>2</v>
      </c>
      <c r="Q54" s="10" t="s">
        <v>4</v>
      </c>
    </row>
    <row r="55" spans="1:17">
      <c r="A55" s="11" t="s">
        <v>7</v>
      </c>
      <c r="B55" s="12">
        <v>40</v>
      </c>
      <c r="C55" s="12">
        <v>40</v>
      </c>
      <c r="D55" s="12">
        <v>40</v>
      </c>
      <c r="E55" s="12">
        <v>40</v>
      </c>
      <c r="F55" s="12">
        <v>40</v>
      </c>
      <c r="G55" s="13">
        <v>40</v>
      </c>
      <c r="H55" s="14">
        <v>40</v>
      </c>
      <c r="I55" s="13">
        <v>40</v>
      </c>
      <c r="J55" s="14">
        <v>40</v>
      </c>
      <c r="K55" s="13">
        <v>40</v>
      </c>
      <c r="L55" s="14">
        <v>40</v>
      </c>
      <c r="M55" s="13">
        <v>40</v>
      </c>
      <c r="N55" s="14">
        <v>40</v>
      </c>
      <c r="O55" s="11">
        <v>40</v>
      </c>
      <c r="P55" s="14">
        <v>40</v>
      </c>
      <c r="Q55" s="11">
        <v>40</v>
      </c>
    </row>
    <row r="56" spans="1:17">
      <c r="A56" s="10" t="s">
        <v>8</v>
      </c>
      <c r="B56" s="60">
        <v>0.57999999999999996</v>
      </c>
      <c r="C56" s="60">
        <v>0.57999999999999996</v>
      </c>
      <c r="D56" s="60">
        <v>0.61</v>
      </c>
      <c r="E56" s="60">
        <v>0.63</v>
      </c>
      <c r="F56" s="60">
        <v>0.66</v>
      </c>
      <c r="G56" s="61">
        <v>0.81</v>
      </c>
      <c r="H56" s="62">
        <v>0.63</v>
      </c>
      <c r="I56" s="61">
        <v>0.81</v>
      </c>
      <c r="J56" s="62">
        <v>0.63</v>
      </c>
      <c r="K56" s="61">
        <v>0.81</v>
      </c>
      <c r="L56" s="62">
        <v>0.63</v>
      </c>
      <c r="M56" s="61">
        <v>0.81</v>
      </c>
      <c r="N56" s="62">
        <v>0.63</v>
      </c>
      <c r="O56" s="10">
        <v>0.81</v>
      </c>
      <c r="P56" s="62">
        <v>0.63</v>
      </c>
      <c r="Q56" s="10">
        <v>0.81</v>
      </c>
    </row>
    <row r="57" spans="1:17">
      <c r="A57" s="63" t="s">
        <v>5</v>
      </c>
      <c r="B57" s="64">
        <v>6</v>
      </c>
      <c r="C57" s="64">
        <v>6</v>
      </c>
      <c r="D57" s="64">
        <v>6</v>
      </c>
      <c r="E57" s="64">
        <v>6</v>
      </c>
      <c r="F57" s="64">
        <v>6</v>
      </c>
      <c r="G57" s="65">
        <v>6</v>
      </c>
      <c r="H57" s="66">
        <v>6</v>
      </c>
      <c r="I57" s="65">
        <v>6</v>
      </c>
      <c r="J57" s="66">
        <v>6</v>
      </c>
      <c r="K57" s="65">
        <v>6</v>
      </c>
      <c r="L57" s="66">
        <v>6</v>
      </c>
      <c r="M57" s="65">
        <v>6</v>
      </c>
      <c r="N57" s="66">
        <v>6</v>
      </c>
      <c r="O57" s="63">
        <v>6</v>
      </c>
      <c r="P57" s="66">
        <v>6</v>
      </c>
      <c r="Q57" s="63">
        <v>6</v>
      </c>
    </row>
    <row r="58" spans="1:17">
      <c r="A58" s="67"/>
      <c r="B58" s="68">
        <v>20</v>
      </c>
      <c r="C58" s="68">
        <v>20</v>
      </c>
      <c r="D58" s="68">
        <v>20</v>
      </c>
      <c r="E58" s="68">
        <v>20</v>
      </c>
      <c r="F58" s="68">
        <v>20</v>
      </c>
      <c r="G58" s="69">
        <v>20</v>
      </c>
      <c r="H58" s="70">
        <v>20</v>
      </c>
      <c r="I58" s="69">
        <v>20</v>
      </c>
      <c r="J58" s="70">
        <v>20</v>
      </c>
      <c r="K58" s="69">
        <v>20</v>
      </c>
      <c r="L58" s="70">
        <v>20</v>
      </c>
      <c r="M58" s="69">
        <v>20</v>
      </c>
      <c r="N58" s="70">
        <v>20</v>
      </c>
      <c r="O58" s="67">
        <v>20</v>
      </c>
      <c r="P58" s="70">
        <v>20</v>
      </c>
      <c r="Q58" s="67">
        <v>20</v>
      </c>
    </row>
    <row r="59" spans="1:17">
      <c r="A59" s="50" t="s">
        <v>6</v>
      </c>
      <c r="B59" s="71">
        <v>500</v>
      </c>
      <c r="C59" s="71">
        <v>500</v>
      </c>
      <c r="D59" s="71">
        <v>700</v>
      </c>
      <c r="E59" s="71">
        <v>750</v>
      </c>
      <c r="F59" s="71">
        <v>800</v>
      </c>
      <c r="G59" s="72">
        <v>1850</v>
      </c>
      <c r="H59" s="73">
        <v>750</v>
      </c>
      <c r="I59" s="72">
        <v>1850</v>
      </c>
      <c r="J59" s="73">
        <v>750</v>
      </c>
      <c r="K59" s="72">
        <v>1850</v>
      </c>
      <c r="L59" s="73">
        <v>750</v>
      </c>
      <c r="M59" s="72">
        <v>1850</v>
      </c>
      <c r="N59" s="73">
        <v>750</v>
      </c>
      <c r="O59" s="50">
        <v>1850</v>
      </c>
      <c r="P59" s="73">
        <v>750</v>
      </c>
      <c r="Q59" s="50">
        <v>1850</v>
      </c>
    </row>
    <row r="60" spans="1:17">
      <c r="A60" s="53"/>
      <c r="B60" s="74">
        <v>550</v>
      </c>
      <c r="C60" s="74">
        <v>550</v>
      </c>
      <c r="D60" s="74">
        <v>1000</v>
      </c>
      <c r="E60" s="74">
        <v>1200</v>
      </c>
      <c r="F60" s="74">
        <v>1350</v>
      </c>
      <c r="G60" s="75">
        <v>2100</v>
      </c>
      <c r="H60" s="76">
        <v>1200</v>
      </c>
      <c r="I60" s="75">
        <v>2100</v>
      </c>
      <c r="J60" s="76">
        <v>1200</v>
      </c>
      <c r="K60" s="75">
        <v>2100</v>
      </c>
      <c r="L60" s="76">
        <v>1200</v>
      </c>
      <c r="M60" s="75">
        <v>2100</v>
      </c>
      <c r="N60" s="76">
        <v>1200</v>
      </c>
      <c r="O60" s="53">
        <v>2100</v>
      </c>
      <c r="P60" s="76">
        <v>1200</v>
      </c>
      <c r="Q60" s="53">
        <v>2100</v>
      </c>
    </row>
    <row r="61" spans="1:17">
      <c r="A61" s="63" t="s">
        <v>9</v>
      </c>
      <c r="B61" s="77">
        <v>1050</v>
      </c>
      <c r="C61" s="77">
        <v>1050</v>
      </c>
      <c r="D61" s="77">
        <v>1350</v>
      </c>
      <c r="E61" s="77">
        <v>1400</v>
      </c>
      <c r="F61" s="77">
        <v>1500</v>
      </c>
      <c r="G61" s="78">
        <v>2450</v>
      </c>
      <c r="H61" s="79">
        <v>1400</v>
      </c>
      <c r="I61" s="78">
        <v>2450</v>
      </c>
      <c r="J61" s="79">
        <v>1400</v>
      </c>
      <c r="K61" s="78">
        <v>2450</v>
      </c>
      <c r="L61" s="79">
        <v>1400</v>
      </c>
      <c r="M61" s="78">
        <v>2450</v>
      </c>
      <c r="N61" s="79">
        <v>1400</v>
      </c>
      <c r="O61" s="63">
        <v>2450</v>
      </c>
      <c r="P61" s="79">
        <v>1400</v>
      </c>
      <c r="Q61" s="63">
        <v>2450</v>
      </c>
    </row>
    <row r="62" spans="1:17">
      <c r="A62" s="67"/>
      <c r="B62" s="80">
        <v>1050</v>
      </c>
      <c r="C62" s="80">
        <v>1050</v>
      </c>
      <c r="D62" s="80">
        <v>2300</v>
      </c>
      <c r="E62" s="80">
        <v>2450</v>
      </c>
      <c r="F62" s="80">
        <v>2550</v>
      </c>
      <c r="G62" s="81">
        <v>3700</v>
      </c>
      <c r="H62" s="82">
        <v>2450</v>
      </c>
      <c r="I62" s="81">
        <v>3700</v>
      </c>
      <c r="J62" s="82">
        <v>2450</v>
      </c>
      <c r="K62" s="81">
        <v>3700</v>
      </c>
      <c r="L62" s="82">
        <v>2450</v>
      </c>
      <c r="M62" s="81">
        <v>3700</v>
      </c>
      <c r="N62" s="82">
        <v>2450</v>
      </c>
      <c r="O62" s="67">
        <v>3700</v>
      </c>
      <c r="P62" s="82">
        <v>2450</v>
      </c>
      <c r="Q62" s="67">
        <v>3700</v>
      </c>
    </row>
    <row r="63" spans="1:17" ht="15" customHeight="1">
      <c r="A63" s="10" t="s">
        <v>10</v>
      </c>
      <c r="B63" s="15" t="s">
        <v>11</v>
      </c>
      <c r="C63" s="15" t="s">
        <v>11</v>
      </c>
      <c r="D63" s="15" t="s">
        <v>11</v>
      </c>
      <c r="E63" s="15" t="s">
        <v>11</v>
      </c>
      <c r="F63" s="15" t="s">
        <v>11</v>
      </c>
      <c r="G63" s="16" t="s">
        <v>11</v>
      </c>
      <c r="H63" s="17" t="s">
        <v>11</v>
      </c>
      <c r="I63" s="16" t="s">
        <v>11</v>
      </c>
      <c r="J63" s="17" t="s">
        <v>11</v>
      </c>
      <c r="K63" s="16" t="s">
        <v>11</v>
      </c>
      <c r="L63" s="17" t="s">
        <v>11</v>
      </c>
      <c r="M63" s="16" t="s">
        <v>11</v>
      </c>
      <c r="N63" s="17" t="s">
        <v>11</v>
      </c>
      <c r="O63" s="10" t="s">
        <v>11</v>
      </c>
      <c r="P63" s="17" t="s">
        <v>11</v>
      </c>
      <c r="Q63" s="10" t="s">
        <v>11</v>
      </c>
    </row>
    <row r="66" spans="1:16" ht="18.5">
      <c r="A66" s="26" t="s">
        <v>218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6">
      <c r="A67" s="41" t="s">
        <v>180</v>
      </c>
      <c r="B67" s="42">
        <v>2009</v>
      </c>
      <c r="C67" s="43">
        <v>2015</v>
      </c>
      <c r="D67" s="58"/>
      <c r="E67" s="42">
        <v>2017</v>
      </c>
      <c r="F67" s="45"/>
      <c r="G67" s="44">
        <v>2020</v>
      </c>
      <c r="H67" s="45"/>
      <c r="I67" s="44">
        <v>2030</v>
      </c>
      <c r="J67" s="45"/>
      <c r="K67" s="44">
        <v>2040</v>
      </c>
      <c r="L67" s="45"/>
      <c r="M67" s="44">
        <v>2050</v>
      </c>
      <c r="N67" s="45"/>
      <c r="O67" s="44">
        <v>2060</v>
      </c>
      <c r="P67" s="45"/>
    </row>
    <row r="68" spans="1:16" ht="29">
      <c r="A68" s="46"/>
      <c r="B68" s="47" t="s">
        <v>208</v>
      </c>
      <c r="C68" s="113">
        <f>AVERAGE('EIA Costs'!D136:D137)</f>
        <v>5225</v>
      </c>
      <c r="D68" s="53" t="s">
        <v>215</v>
      </c>
      <c r="E68" s="59" t="s">
        <v>183</v>
      </c>
      <c r="F68" s="59" t="s">
        <v>185</v>
      </c>
      <c r="G68" s="48" t="s">
        <v>183</v>
      </c>
      <c r="H68" s="49" t="s">
        <v>185</v>
      </c>
      <c r="I68" s="48" t="s">
        <v>183</v>
      </c>
      <c r="J68" s="49" t="s">
        <v>185</v>
      </c>
      <c r="K68" s="48" t="s">
        <v>183</v>
      </c>
      <c r="L68" s="49" t="s">
        <v>185</v>
      </c>
      <c r="M68" s="48" t="s">
        <v>183</v>
      </c>
      <c r="N68" s="49" t="s">
        <v>185</v>
      </c>
      <c r="O68" s="48" t="s">
        <v>183</v>
      </c>
      <c r="P68" s="49" t="s">
        <v>185</v>
      </c>
    </row>
    <row r="69" spans="1:16">
      <c r="A69" s="11" t="s">
        <v>216</v>
      </c>
      <c r="B69" s="12">
        <v>30</v>
      </c>
      <c r="C69" s="12">
        <v>32</v>
      </c>
      <c r="D69" s="12">
        <v>32</v>
      </c>
      <c r="E69" s="12">
        <v>32</v>
      </c>
      <c r="F69" s="12">
        <v>32</v>
      </c>
      <c r="G69" s="13">
        <v>32</v>
      </c>
      <c r="H69" s="14">
        <v>32</v>
      </c>
      <c r="I69" s="13">
        <v>32</v>
      </c>
      <c r="J69" s="14">
        <v>32</v>
      </c>
      <c r="K69" s="13">
        <v>32</v>
      </c>
      <c r="L69" s="14">
        <v>32</v>
      </c>
      <c r="M69" s="13">
        <v>32</v>
      </c>
      <c r="N69" s="14">
        <v>32</v>
      </c>
      <c r="O69" s="13">
        <v>32</v>
      </c>
      <c r="P69" s="14">
        <v>32</v>
      </c>
    </row>
    <row r="70" spans="1:16">
      <c r="A70" s="10" t="s">
        <v>217</v>
      </c>
      <c r="B70" s="60">
        <v>0.51</v>
      </c>
      <c r="C70" s="60">
        <v>0.51</v>
      </c>
      <c r="D70" s="60">
        <v>0.64</v>
      </c>
      <c r="E70" s="60">
        <v>0.67</v>
      </c>
      <c r="F70" s="60">
        <v>0.69</v>
      </c>
      <c r="G70" s="61">
        <v>0.67</v>
      </c>
      <c r="H70" s="62">
        <v>0.69</v>
      </c>
      <c r="I70" s="61">
        <v>0.67</v>
      </c>
      <c r="J70" s="62">
        <v>0.69</v>
      </c>
      <c r="K70" s="61">
        <v>0.67</v>
      </c>
      <c r="L70" s="62">
        <v>0.69</v>
      </c>
      <c r="M70" s="61">
        <v>0.67</v>
      </c>
      <c r="N70" s="62">
        <v>0.69</v>
      </c>
      <c r="O70" s="61">
        <v>0.67</v>
      </c>
      <c r="P70" s="62">
        <v>0.69</v>
      </c>
    </row>
    <row r="71" spans="1:16">
      <c r="A71" s="63" t="s">
        <v>202</v>
      </c>
      <c r="B71" s="64">
        <v>6</v>
      </c>
      <c r="C71" s="64">
        <v>6</v>
      </c>
      <c r="D71" s="64">
        <v>6</v>
      </c>
      <c r="E71" s="64">
        <v>6</v>
      </c>
      <c r="F71" s="64">
        <v>6</v>
      </c>
      <c r="G71" s="65">
        <v>6</v>
      </c>
      <c r="H71" s="66">
        <v>6</v>
      </c>
      <c r="I71" s="65">
        <v>6</v>
      </c>
      <c r="J71" s="66">
        <v>6</v>
      </c>
      <c r="K71" s="65">
        <v>6</v>
      </c>
      <c r="L71" s="66">
        <v>6</v>
      </c>
      <c r="M71" s="65">
        <v>6</v>
      </c>
      <c r="N71" s="66">
        <v>6</v>
      </c>
      <c r="O71" s="65">
        <v>6</v>
      </c>
      <c r="P71" s="66">
        <v>6</v>
      </c>
    </row>
    <row r="72" spans="1:16">
      <c r="A72" s="67"/>
      <c r="B72" s="68">
        <v>20</v>
      </c>
      <c r="C72" s="68">
        <v>20</v>
      </c>
      <c r="D72" s="68">
        <v>20</v>
      </c>
      <c r="E72" s="68">
        <v>20</v>
      </c>
      <c r="F72" s="68">
        <v>20</v>
      </c>
      <c r="G72" s="69">
        <v>20</v>
      </c>
      <c r="H72" s="70">
        <v>20</v>
      </c>
      <c r="I72" s="69">
        <v>20</v>
      </c>
      <c r="J72" s="70">
        <v>20</v>
      </c>
      <c r="K72" s="69">
        <v>20</v>
      </c>
      <c r="L72" s="70">
        <v>20</v>
      </c>
      <c r="M72" s="69">
        <v>20</v>
      </c>
      <c r="N72" s="70">
        <v>20</v>
      </c>
      <c r="O72" s="69">
        <v>20</v>
      </c>
      <c r="P72" s="70">
        <v>20</v>
      </c>
    </row>
    <row r="73" spans="1:16">
      <c r="A73" s="50" t="s">
        <v>191</v>
      </c>
      <c r="B73" s="71">
        <v>1350</v>
      </c>
      <c r="C73" s="71">
        <v>1350</v>
      </c>
      <c r="D73" s="71">
        <v>1500</v>
      </c>
      <c r="E73" s="71">
        <v>1600</v>
      </c>
      <c r="F73" s="71">
        <v>1600</v>
      </c>
      <c r="G73" s="72">
        <v>1600</v>
      </c>
      <c r="H73" s="73">
        <v>1600</v>
      </c>
      <c r="I73" s="72">
        <v>1600</v>
      </c>
      <c r="J73" s="73">
        <v>1600</v>
      </c>
      <c r="K73" s="72">
        <v>1600</v>
      </c>
      <c r="L73" s="73">
        <v>1600</v>
      </c>
      <c r="M73" s="72">
        <v>1600</v>
      </c>
      <c r="N73" s="73">
        <v>1600</v>
      </c>
      <c r="O73" s="72">
        <v>1600</v>
      </c>
      <c r="P73" s="73">
        <v>1600</v>
      </c>
    </row>
    <row r="74" spans="1:16">
      <c r="A74" s="53"/>
      <c r="B74" s="74">
        <v>1450</v>
      </c>
      <c r="C74" s="74">
        <v>1450</v>
      </c>
      <c r="D74" s="74">
        <v>1900</v>
      </c>
      <c r="E74" s="74">
        <v>2050</v>
      </c>
      <c r="F74" s="74">
        <v>2050</v>
      </c>
      <c r="G74" s="75">
        <v>2050</v>
      </c>
      <c r="H74" s="76">
        <v>2050</v>
      </c>
      <c r="I74" s="75">
        <v>2050</v>
      </c>
      <c r="J74" s="76">
        <v>2050</v>
      </c>
      <c r="K74" s="75">
        <v>2050</v>
      </c>
      <c r="L74" s="76">
        <v>2050</v>
      </c>
      <c r="M74" s="75">
        <v>2050</v>
      </c>
      <c r="N74" s="76">
        <v>2050</v>
      </c>
      <c r="O74" s="75">
        <v>2050</v>
      </c>
      <c r="P74" s="76">
        <v>2050</v>
      </c>
    </row>
    <row r="75" spans="1:16">
      <c r="A75" s="63" t="s">
        <v>192</v>
      </c>
      <c r="B75" s="77">
        <v>2000</v>
      </c>
      <c r="C75" s="77">
        <v>2000</v>
      </c>
      <c r="D75" s="77">
        <v>2100</v>
      </c>
      <c r="E75" s="77">
        <v>2250</v>
      </c>
      <c r="F75" s="77">
        <v>2200</v>
      </c>
      <c r="G75" s="78">
        <v>2250</v>
      </c>
      <c r="H75" s="79">
        <v>2200</v>
      </c>
      <c r="I75" s="78">
        <v>2250</v>
      </c>
      <c r="J75" s="79">
        <v>2200</v>
      </c>
      <c r="K75" s="78">
        <v>2250</v>
      </c>
      <c r="L75" s="79">
        <v>2200</v>
      </c>
      <c r="M75" s="78">
        <v>2250</v>
      </c>
      <c r="N75" s="79">
        <v>2200</v>
      </c>
      <c r="O75" s="78">
        <v>2250</v>
      </c>
      <c r="P75" s="79">
        <v>2200</v>
      </c>
    </row>
    <row r="76" spans="1:16">
      <c r="A76" s="67"/>
      <c r="B76" s="80">
        <v>2100</v>
      </c>
      <c r="C76" s="80">
        <v>2100</v>
      </c>
      <c r="D76" s="80">
        <v>2700</v>
      </c>
      <c r="E76" s="80">
        <v>2850</v>
      </c>
      <c r="F76" s="80">
        <v>2850</v>
      </c>
      <c r="G76" s="81">
        <v>2850</v>
      </c>
      <c r="H76" s="82">
        <v>2850</v>
      </c>
      <c r="I76" s="81">
        <v>2850</v>
      </c>
      <c r="J76" s="82">
        <v>2850</v>
      </c>
      <c r="K76" s="81">
        <v>2850</v>
      </c>
      <c r="L76" s="82">
        <v>2850</v>
      </c>
      <c r="M76" s="81">
        <v>2850</v>
      </c>
      <c r="N76" s="82">
        <v>2850</v>
      </c>
      <c r="O76" s="81">
        <v>2850</v>
      </c>
      <c r="P76" s="82">
        <v>2850</v>
      </c>
    </row>
    <row r="77" spans="1:16" ht="29">
      <c r="A77" s="10" t="s">
        <v>193</v>
      </c>
      <c r="B77" s="15">
        <v>180</v>
      </c>
      <c r="C77" s="15">
        <v>180</v>
      </c>
      <c r="D77" s="15">
        <v>180</v>
      </c>
      <c r="E77" s="15">
        <v>180</v>
      </c>
      <c r="F77" s="15">
        <v>180</v>
      </c>
      <c r="G77" s="16">
        <v>180</v>
      </c>
      <c r="H77" s="17">
        <v>180</v>
      </c>
      <c r="I77" s="16">
        <v>180</v>
      </c>
      <c r="J77" s="17">
        <v>180</v>
      </c>
      <c r="K77" s="16">
        <v>180</v>
      </c>
      <c r="L77" s="17">
        <v>180</v>
      </c>
      <c r="M77" s="16">
        <v>180</v>
      </c>
      <c r="N77" s="17">
        <v>180</v>
      </c>
      <c r="O77" s="16">
        <v>180</v>
      </c>
      <c r="P77" s="17">
        <v>180</v>
      </c>
    </row>
    <row r="79" spans="1:16" ht="18.5">
      <c r="A79" s="26" t="s">
        <v>222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6">
      <c r="A80" s="41" t="s">
        <v>180</v>
      </c>
      <c r="B80" s="42">
        <v>2009</v>
      </c>
      <c r="C80" s="43">
        <v>2015</v>
      </c>
      <c r="D80" s="58"/>
      <c r="E80" s="42">
        <v>2017</v>
      </c>
      <c r="F80" s="45"/>
      <c r="G80" s="44">
        <v>2020</v>
      </c>
      <c r="H80" s="45"/>
      <c r="I80" s="44">
        <v>2030</v>
      </c>
      <c r="J80" s="45"/>
      <c r="K80" s="44">
        <v>2040</v>
      </c>
      <c r="L80" s="45"/>
      <c r="M80" s="44">
        <v>2050</v>
      </c>
      <c r="N80" s="45"/>
      <c r="O80" s="44">
        <v>2060</v>
      </c>
      <c r="P80" s="45"/>
    </row>
    <row r="81" spans="1:16" ht="29">
      <c r="A81" s="46"/>
      <c r="B81" s="47" t="s">
        <v>208</v>
      </c>
      <c r="C81" s="47" t="s">
        <v>208</v>
      </c>
      <c r="D81" s="59" t="s">
        <v>183</v>
      </c>
      <c r="E81" s="47" t="s">
        <v>221</v>
      </c>
      <c r="F81" s="59" t="s">
        <v>185</v>
      </c>
      <c r="G81" s="48" t="s">
        <v>183</v>
      </c>
      <c r="H81" s="49" t="s">
        <v>185</v>
      </c>
      <c r="I81" s="48" t="s">
        <v>183</v>
      </c>
      <c r="J81" s="49" t="s">
        <v>185</v>
      </c>
      <c r="K81" s="48" t="s">
        <v>183</v>
      </c>
      <c r="L81" s="49" t="s">
        <v>185</v>
      </c>
      <c r="M81" s="48" t="s">
        <v>183</v>
      </c>
      <c r="N81" s="49" t="s">
        <v>185</v>
      </c>
      <c r="O81" s="48" t="s">
        <v>183</v>
      </c>
      <c r="P81" s="49" t="s">
        <v>185</v>
      </c>
    </row>
    <row r="82" spans="1:16">
      <c r="A82" s="11" t="s">
        <v>216</v>
      </c>
      <c r="B82" s="12">
        <v>50</v>
      </c>
      <c r="C82" s="12">
        <v>50</v>
      </c>
      <c r="D82" s="12">
        <v>50</v>
      </c>
      <c r="E82" s="12">
        <v>50</v>
      </c>
      <c r="F82" s="12">
        <v>50</v>
      </c>
      <c r="G82" s="13">
        <v>50</v>
      </c>
      <c r="H82" s="14">
        <v>50</v>
      </c>
      <c r="I82" s="13">
        <v>50</v>
      </c>
      <c r="J82" s="14">
        <v>50</v>
      </c>
      <c r="K82" s="13">
        <v>50</v>
      </c>
      <c r="L82" s="14">
        <v>50</v>
      </c>
      <c r="M82" s="13">
        <v>50</v>
      </c>
      <c r="N82" s="14">
        <v>50</v>
      </c>
      <c r="O82" s="13">
        <v>50</v>
      </c>
      <c r="P82" s="14">
        <v>50</v>
      </c>
    </row>
    <row r="83" spans="1:16">
      <c r="A83" s="10" t="s">
        <v>217</v>
      </c>
      <c r="B83" s="60">
        <v>2.0499999999999998</v>
      </c>
      <c r="C83" s="60">
        <v>2.0499999999999998</v>
      </c>
      <c r="D83" s="60">
        <v>3.28</v>
      </c>
      <c r="E83" s="60">
        <v>2</v>
      </c>
      <c r="F83" s="60">
        <v>3.55</v>
      </c>
      <c r="G83" s="61">
        <v>3.28</v>
      </c>
      <c r="H83" s="62">
        <v>3.55</v>
      </c>
      <c r="I83" s="61">
        <v>3.28</v>
      </c>
      <c r="J83" s="62">
        <v>3.55</v>
      </c>
      <c r="K83" s="61">
        <v>3.28</v>
      </c>
      <c r="L83" s="62">
        <v>3.55</v>
      </c>
      <c r="M83" s="61">
        <v>3.28</v>
      </c>
      <c r="N83" s="62">
        <v>3.55</v>
      </c>
      <c r="O83" s="61">
        <v>3.28</v>
      </c>
      <c r="P83" s="62">
        <v>3.55</v>
      </c>
    </row>
    <row r="84" spans="1:16">
      <c r="A84" s="63" t="s">
        <v>202</v>
      </c>
      <c r="B84" s="64">
        <v>6</v>
      </c>
      <c r="C84" s="64">
        <v>6</v>
      </c>
      <c r="D84" s="64">
        <v>6</v>
      </c>
      <c r="E84" s="64">
        <v>6</v>
      </c>
      <c r="F84" s="64">
        <v>6</v>
      </c>
      <c r="G84" s="65">
        <v>6</v>
      </c>
      <c r="H84" s="66">
        <v>6</v>
      </c>
      <c r="I84" s="65">
        <v>6</v>
      </c>
      <c r="J84" s="66">
        <v>6</v>
      </c>
      <c r="K84" s="65">
        <v>6</v>
      </c>
      <c r="L84" s="66">
        <v>6</v>
      </c>
      <c r="M84" s="65">
        <v>6</v>
      </c>
      <c r="N84" s="66">
        <v>6</v>
      </c>
      <c r="O84" s="65">
        <v>6</v>
      </c>
      <c r="P84" s="66">
        <v>6</v>
      </c>
    </row>
    <row r="85" spans="1:16">
      <c r="A85" s="67"/>
      <c r="B85" s="68">
        <v>20</v>
      </c>
      <c r="C85" s="68">
        <v>20</v>
      </c>
      <c r="D85" s="68">
        <v>20</v>
      </c>
      <c r="E85" s="68">
        <v>20</v>
      </c>
      <c r="F85" s="68">
        <v>20</v>
      </c>
      <c r="G85" s="69">
        <v>20</v>
      </c>
      <c r="H85" s="70">
        <v>20</v>
      </c>
      <c r="I85" s="69">
        <v>20</v>
      </c>
      <c r="J85" s="70">
        <v>20</v>
      </c>
      <c r="K85" s="69">
        <v>20</v>
      </c>
      <c r="L85" s="70">
        <v>20</v>
      </c>
      <c r="M85" s="69">
        <v>20</v>
      </c>
      <c r="N85" s="70">
        <v>20</v>
      </c>
      <c r="O85" s="69">
        <v>20</v>
      </c>
      <c r="P85" s="70">
        <v>20</v>
      </c>
    </row>
    <row r="86" spans="1:16">
      <c r="A86" s="88" t="s">
        <v>191</v>
      </c>
      <c r="B86" s="71">
        <v>1550</v>
      </c>
      <c r="C86" s="71">
        <v>1100</v>
      </c>
      <c r="D86" s="71">
        <v>1200</v>
      </c>
      <c r="E86" s="71">
        <v>1050</v>
      </c>
      <c r="F86" s="71">
        <v>1200</v>
      </c>
      <c r="G86" s="72">
        <v>1200</v>
      </c>
      <c r="H86" s="73">
        <v>1200</v>
      </c>
      <c r="I86" s="72">
        <v>1200</v>
      </c>
      <c r="J86" s="73">
        <v>1200</v>
      </c>
      <c r="K86" s="72">
        <v>1200</v>
      </c>
      <c r="L86" s="73">
        <v>1200</v>
      </c>
      <c r="M86" s="72">
        <v>1200</v>
      </c>
      <c r="N86" s="73">
        <v>1200</v>
      </c>
      <c r="O86" s="72">
        <v>1200</v>
      </c>
      <c r="P86" s="73">
        <v>1200</v>
      </c>
    </row>
    <row r="87" spans="1:16">
      <c r="A87" s="53"/>
      <c r="B87" s="74">
        <v>1900</v>
      </c>
      <c r="C87" s="74">
        <v>1400</v>
      </c>
      <c r="D87" s="74">
        <v>1500</v>
      </c>
      <c r="E87" s="74">
        <v>1350</v>
      </c>
      <c r="F87" s="74">
        <v>2300</v>
      </c>
      <c r="G87" s="75">
        <v>1500</v>
      </c>
      <c r="H87" s="76">
        <v>2300</v>
      </c>
      <c r="I87" s="75">
        <v>1500</v>
      </c>
      <c r="J87" s="76">
        <v>2300</v>
      </c>
      <c r="K87" s="75">
        <v>1500</v>
      </c>
      <c r="L87" s="76">
        <v>2300</v>
      </c>
      <c r="M87" s="75">
        <v>1500</v>
      </c>
      <c r="N87" s="76">
        <v>2300</v>
      </c>
      <c r="O87" s="75">
        <v>1500</v>
      </c>
      <c r="P87" s="76">
        <v>2300</v>
      </c>
    </row>
    <row r="88" spans="1:16">
      <c r="A88" s="89" t="s">
        <v>192</v>
      </c>
      <c r="B88" s="77">
        <v>1700</v>
      </c>
      <c r="C88" s="77">
        <v>1450</v>
      </c>
      <c r="D88" s="77">
        <v>1600</v>
      </c>
      <c r="E88" s="77">
        <v>1400</v>
      </c>
      <c r="F88" s="77">
        <v>1600</v>
      </c>
      <c r="G88" s="78">
        <v>1600</v>
      </c>
      <c r="H88" s="79">
        <v>1600</v>
      </c>
      <c r="I88" s="78">
        <v>1600</v>
      </c>
      <c r="J88" s="79">
        <v>1600</v>
      </c>
      <c r="K88" s="78">
        <v>1600</v>
      </c>
      <c r="L88" s="79">
        <v>1600</v>
      </c>
      <c r="M88" s="78">
        <v>1600</v>
      </c>
      <c r="N88" s="79">
        <v>1600</v>
      </c>
      <c r="O88" s="78">
        <v>1600</v>
      </c>
      <c r="P88" s="79">
        <v>1600</v>
      </c>
    </row>
    <row r="89" spans="1:16">
      <c r="A89" s="67"/>
      <c r="B89" s="80">
        <v>2450</v>
      </c>
      <c r="C89" s="80">
        <v>2500</v>
      </c>
      <c r="D89" s="80">
        <v>2550</v>
      </c>
      <c r="E89" s="80">
        <v>2400</v>
      </c>
      <c r="F89" s="80">
        <v>3350</v>
      </c>
      <c r="G89" s="81">
        <v>2550</v>
      </c>
      <c r="H89" s="82">
        <v>3350</v>
      </c>
      <c r="I89" s="81">
        <v>2550</v>
      </c>
      <c r="J89" s="82">
        <v>3350</v>
      </c>
      <c r="K89" s="81">
        <v>2550</v>
      </c>
      <c r="L89" s="82">
        <v>3350</v>
      </c>
      <c r="M89" s="81">
        <v>2550</v>
      </c>
      <c r="N89" s="82">
        <v>3350</v>
      </c>
      <c r="O89" s="81">
        <v>2550</v>
      </c>
      <c r="P89" s="82">
        <v>3350</v>
      </c>
    </row>
    <row r="90" spans="1:16" ht="29">
      <c r="A90" s="10" t="s">
        <v>193</v>
      </c>
      <c r="B90" s="15">
        <v>20</v>
      </c>
      <c r="C90" s="15">
        <v>20</v>
      </c>
      <c r="D90" s="15">
        <v>20</v>
      </c>
      <c r="E90" s="15">
        <v>20</v>
      </c>
      <c r="F90" s="15">
        <v>20</v>
      </c>
      <c r="G90" s="16">
        <v>20</v>
      </c>
      <c r="H90" s="17">
        <v>20</v>
      </c>
      <c r="I90" s="16">
        <v>20</v>
      </c>
      <c r="J90" s="17">
        <v>20</v>
      </c>
      <c r="K90" s="16">
        <v>20</v>
      </c>
      <c r="L90" s="17">
        <v>20</v>
      </c>
      <c r="M90" s="16">
        <v>20</v>
      </c>
      <c r="N90" s="17">
        <v>20</v>
      </c>
      <c r="O90" s="16">
        <v>20</v>
      </c>
      <c r="P90" s="17">
        <v>20</v>
      </c>
    </row>
    <row r="93" spans="1:16" ht="18.5">
      <c r="A93" s="26" t="s">
        <v>251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6">
      <c r="A94" s="24" t="s">
        <v>180</v>
      </c>
      <c r="B94" s="43">
        <v>2012</v>
      </c>
      <c r="C94" s="58"/>
      <c r="D94" s="42">
        <v>2017</v>
      </c>
      <c r="E94" s="45"/>
      <c r="F94" s="44">
        <v>2020</v>
      </c>
      <c r="G94" s="45"/>
      <c r="H94" s="44">
        <v>2030</v>
      </c>
      <c r="I94" s="45"/>
      <c r="J94" s="44">
        <v>2040</v>
      </c>
      <c r="K94" s="83"/>
      <c r="L94" s="42">
        <v>2050</v>
      </c>
      <c r="M94" s="45"/>
      <c r="N94" s="42">
        <v>2060</v>
      </c>
      <c r="O94" s="45"/>
    </row>
    <row r="95" spans="1:16" ht="29">
      <c r="A95" s="46"/>
      <c r="B95" s="47" t="s">
        <v>208</v>
      </c>
      <c r="C95" s="53" t="s">
        <v>215</v>
      </c>
      <c r="D95" s="59" t="s">
        <v>183</v>
      </c>
      <c r="E95" s="59" t="s">
        <v>185</v>
      </c>
      <c r="F95" s="48" t="s">
        <v>183</v>
      </c>
      <c r="G95" s="49" t="s">
        <v>185</v>
      </c>
      <c r="H95" s="48" t="s">
        <v>183</v>
      </c>
      <c r="I95" s="49" t="s">
        <v>185</v>
      </c>
      <c r="J95" s="48" t="s">
        <v>183</v>
      </c>
      <c r="K95" s="87" t="s">
        <v>185</v>
      </c>
      <c r="L95" s="87" t="s">
        <v>183</v>
      </c>
      <c r="M95" s="49" t="s">
        <v>185</v>
      </c>
      <c r="N95" s="87" t="s">
        <v>183</v>
      </c>
      <c r="O95" s="49" t="s">
        <v>185</v>
      </c>
    </row>
    <row r="96" spans="1:16">
      <c r="A96" s="11" t="s">
        <v>187</v>
      </c>
      <c r="B96" s="12">
        <v>400</v>
      </c>
      <c r="C96" s="12">
        <v>400</v>
      </c>
      <c r="D96" s="12">
        <v>400</v>
      </c>
      <c r="E96" s="12">
        <v>400</v>
      </c>
      <c r="F96" s="92">
        <v>400</v>
      </c>
      <c r="G96" s="14">
        <v>400</v>
      </c>
      <c r="H96" s="92">
        <v>400</v>
      </c>
      <c r="I96" s="14">
        <v>400</v>
      </c>
      <c r="J96" s="92">
        <v>400</v>
      </c>
      <c r="K96" s="84">
        <v>400</v>
      </c>
      <c r="L96" s="84">
        <v>400</v>
      </c>
      <c r="M96" s="14">
        <v>400</v>
      </c>
      <c r="N96" s="84">
        <v>400</v>
      </c>
      <c r="O96" s="14">
        <v>400</v>
      </c>
    </row>
    <row r="97" spans="1:15">
      <c r="A97" s="10" t="s">
        <v>242</v>
      </c>
      <c r="B97" s="15">
        <v>80</v>
      </c>
      <c r="C97" s="15">
        <v>80</v>
      </c>
      <c r="D97" s="15">
        <v>80</v>
      </c>
      <c r="E97" s="15">
        <v>95</v>
      </c>
      <c r="F97" s="93">
        <v>80</v>
      </c>
      <c r="G97" s="17">
        <v>95</v>
      </c>
      <c r="H97" s="93">
        <v>81</v>
      </c>
      <c r="I97" s="17">
        <v>95</v>
      </c>
      <c r="J97" s="93">
        <v>81</v>
      </c>
      <c r="K97" s="94">
        <v>95</v>
      </c>
      <c r="L97" s="94">
        <v>81</v>
      </c>
      <c r="M97" s="17">
        <v>95</v>
      </c>
      <c r="N97" s="94">
        <v>81</v>
      </c>
      <c r="O97" s="17">
        <v>95</v>
      </c>
    </row>
    <row r="98" spans="1:15">
      <c r="A98" s="11" t="s">
        <v>202</v>
      </c>
      <c r="B98" s="12">
        <v>23</v>
      </c>
      <c r="C98" s="12">
        <v>23</v>
      </c>
      <c r="D98" s="12">
        <v>23</v>
      </c>
      <c r="E98" s="12">
        <v>23</v>
      </c>
      <c r="F98" s="92">
        <v>23</v>
      </c>
      <c r="G98" s="14">
        <v>23</v>
      </c>
      <c r="H98" s="92">
        <v>23</v>
      </c>
      <c r="I98" s="14">
        <v>23</v>
      </c>
      <c r="J98" s="92">
        <v>23</v>
      </c>
      <c r="K98" s="84">
        <v>23</v>
      </c>
      <c r="L98" s="84">
        <v>23</v>
      </c>
      <c r="M98" s="14">
        <v>23</v>
      </c>
      <c r="N98" s="84">
        <v>23</v>
      </c>
      <c r="O98" s="14">
        <v>23</v>
      </c>
    </row>
    <row r="99" spans="1:15">
      <c r="A99" s="10" t="s">
        <v>191</v>
      </c>
      <c r="B99" s="21">
        <v>1050</v>
      </c>
      <c r="C99" s="21">
        <v>1050</v>
      </c>
      <c r="D99" s="21">
        <v>1050</v>
      </c>
      <c r="E99" s="21">
        <v>2450</v>
      </c>
      <c r="F99" s="22">
        <v>1050</v>
      </c>
      <c r="G99" s="23">
        <v>2450</v>
      </c>
      <c r="H99" s="22">
        <v>1050</v>
      </c>
      <c r="I99" s="23">
        <v>2450</v>
      </c>
      <c r="J99" s="22">
        <v>1050</v>
      </c>
      <c r="K99" s="95">
        <v>2450</v>
      </c>
      <c r="L99" s="95">
        <v>1050</v>
      </c>
      <c r="M99" s="23">
        <v>2450</v>
      </c>
      <c r="N99" s="95">
        <v>1050</v>
      </c>
      <c r="O99" s="23">
        <v>2450</v>
      </c>
    </row>
    <row r="100" spans="1:15">
      <c r="A100" s="11" t="s">
        <v>192</v>
      </c>
      <c r="B100" s="18">
        <v>2150</v>
      </c>
      <c r="C100" s="18">
        <v>2150</v>
      </c>
      <c r="D100" s="18">
        <v>2150</v>
      </c>
      <c r="E100" s="18">
        <v>3950</v>
      </c>
      <c r="F100" s="19">
        <v>2150</v>
      </c>
      <c r="G100" s="20">
        <v>3950</v>
      </c>
      <c r="H100" s="19">
        <v>2200</v>
      </c>
      <c r="I100" s="20">
        <v>3950</v>
      </c>
      <c r="J100" s="19">
        <v>2200</v>
      </c>
      <c r="K100" s="96">
        <v>3950</v>
      </c>
      <c r="L100" s="96">
        <v>2200</v>
      </c>
      <c r="M100" s="20">
        <v>3950</v>
      </c>
      <c r="N100" s="96">
        <v>2200</v>
      </c>
      <c r="O100" s="20">
        <v>3950</v>
      </c>
    </row>
    <row r="101" spans="1:15" ht="29">
      <c r="A101" s="10" t="s">
        <v>243</v>
      </c>
      <c r="B101" s="15">
        <v>170</v>
      </c>
      <c r="C101" s="15">
        <v>170</v>
      </c>
      <c r="D101" s="15">
        <v>170</v>
      </c>
      <c r="E101" s="15">
        <v>180</v>
      </c>
      <c r="F101" s="93">
        <v>170</v>
      </c>
      <c r="G101" s="17">
        <v>180</v>
      </c>
      <c r="H101" s="93">
        <v>170</v>
      </c>
      <c r="I101" s="17">
        <v>180</v>
      </c>
      <c r="J101" s="93">
        <v>170</v>
      </c>
      <c r="K101" s="94">
        <v>180</v>
      </c>
      <c r="L101" s="94">
        <v>170</v>
      </c>
      <c r="M101" s="17">
        <v>180</v>
      </c>
      <c r="N101" s="94">
        <v>170</v>
      </c>
      <c r="O101" s="17">
        <v>180</v>
      </c>
    </row>
    <row r="104" spans="1:15" ht="18.5">
      <c r="A104" s="26" t="s">
        <v>252</v>
      </c>
      <c r="B104" s="25"/>
      <c r="C104" s="25"/>
      <c r="D104" s="25"/>
      <c r="E104" s="25"/>
      <c r="F104" s="25"/>
      <c r="G104" s="25"/>
      <c r="H104" s="25"/>
      <c r="I104" s="25"/>
    </row>
    <row r="105" spans="1:15">
      <c r="A105" s="180" t="s">
        <v>180</v>
      </c>
      <c r="B105" s="9">
        <v>2012</v>
      </c>
      <c r="C105" s="178">
        <v>2017</v>
      </c>
      <c r="D105" s="182"/>
      <c r="E105" s="179"/>
      <c r="F105" s="9">
        <v>2020</v>
      </c>
      <c r="G105" s="97" t="s">
        <v>197</v>
      </c>
      <c r="H105" s="9">
        <v>2040</v>
      </c>
      <c r="I105" s="98">
        <v>2050</v>
      </c>
      <c r="J105" s="98">
        <v>2060</v>
      </c>
    </row>
    <row r="106" spans="1:15" ht="29">
      <c r="A106" s="181"/>
      <c r="B106" s="10" t="s">
        <v>181</v>
      </c>
      <c r="C106" s="10" t="s">
        <v>182</v>
      </c>
      <c r="D106" s="10" t="s">
        <v>183</v>
      </c>
      <c r="E106" s="99" t="s">
        <v>185</v>
      </c>
      <c r="F106" s="10" t="s">
        <v>183</v>
      </c>
      <c r="G106" s="10" t="s">
        <v>183</v>
      </c>
      <c r="H106" s="10" t="s">
        <v>183</v>
      </c>
      <c r="I106" s="10" t="s">
        <v>183</v>
      </c>
      <c r="J106" s="10" t="s">
        <v>183</v>
      </c>
    </row>
    <row r="107" spans="1:15">
      <c r="A107" s="11" t="s">
        <v>187</v>
      </c>
      <c r="B107" s="12">
        <v>400</v>
      </c>
      <c r="C107" s="12">
        <v>400</v>
      </c>
      <c r="D107" s="12">
        <v>400</v>
      </c>
      <c r="E107" s="12">
        <v>400</v>
      </c>
      <c r="F107" s="12">
        <v>400</v>
      </c>
      <c r="G107" s="12">
        <v>400</v>
      </c>
      <c r="H107" s="12">
        <v>400</v>
      </c>
      <c r="I107" s="12">
        <v>400</v>
      </c>
      <c r="J107" s="12">
        <v>400</v>
      </c>
    </row>
    <row r="108" spans="1:15">
      <c r="A108" s="10" t="s">
        <v>242</v>
      </c>
      <c r="B108" s="37">
        <v>81</v>
      </c>
      <c r="C108" s="37">
        <v>81</v>
      </c>
      <c r="D108" s="37">
        <v>82</v>
      </c>
      <c r="E108" s="37">
        <v>85</v>
      </c>
      <c r="F108" s="37">
        <v>82</v>
      </c>
      <c r="G108" s="37">
        <v>82</v>
      </c>
      <c r="H108" s="37">
        <v>82</v>
      </c>
      <c r="I108" s="37">
        <v>82</v>
      </c>
      <c r="J108" s="37">
        <v>82</v>
      </c>
    </row>
    <row r="109" spans="1:15">
      <c r="A109" s="11" t="s">
        <v>202</v>
      </c>
      <c r="B109" s="100">
        <v>23</v>
      </c>
      <c r="C109" s="100">
        <v>23</v>
      </c>
      <c r="D109" s="100">
        <v>23</v>
      </c>
      <c r="E109" s="100">
        <v>23</v>
      </c>
      <c r="F109" s="100">
        <v>23</v>
      </c>
      <c r="G109" s="100">
        <v>23</v>
      </c>
      <c r="H109" s="100">
        <v>23</v>
      </c>
      <c r="I109" s="100">
        <v>23</v>
      </c>
      <c r="J109" s="100">
        <v>23</v>
      </c>
    </row>
    <row r="110" spans="1:15">
      <c r="A110" s="10" t="s">
        <v>191</v>
      </c>
      <c r="B110" s="21">
        <v>4650</v>
      </c>
      <c r="C110" s="21">
        <v>4650</v>
      </c>
      <c r="D110" s="21">
        <v>4700</v>
      </c>
      <c r="E110" s="21">
        <v>5050</v>
      </c>
      <c r="F110" s="21">
        <v>4700</v>
      </c>
      <c r="G110" s="21">
        <v>4700</v>
      </c>
      <c r="H110" s="21">
        <v>4700</v>
      </c>
      <c r="I110" s="21">
        <v>4700</v>
      </c>
      <c r="J110" s="21">
        <v>4700</v>
      </c>
    </row>
    <row r="111" spans="1:15">
      <c r="A111" s="11" t="s">
        <v>192</v>
      </c>
      <c r="B111" s="18">
        <v>6550</v>
      </c>
      <c r="C111" s="18">
        <v>6550</v>
      </c>
      <c r="D111" s="18">
        <v>6600</v>
      </c>
      <c r="E111" s="18">
        <v>6750</v>
      </c>
      <c r="F111" s="18">
        <v>6600</v>
      </c>
      <c r="G111" s="18">
        <v>6600</v>
      </c>
      <c r="H111" s="18">
        <v>6600</v>
      </c>
      <c r="I111" s="18">
        <v>6600</v>
      </c>
      <c r="J111" s="18">
        <v>6600</v>
      </c>
    </row>
    <row r="112" spans="1:15" ht="29">
      <c r="A112" s="10" t="s">
        <v>243</v>
      </c>
      <c r="B112" s="15">
        <v>300</v>
      </c>
      <c r="C112" s="15">
        <v>300</v>
      </c>
      <c r="D112" s="15">
        <v>300</v>
      </c>
      <c r="E112" s="15">
        <v>300</v>
      </c>
      <c r="F112" s="15">
        <v>300</v>
      </c>
      <c r="G112" s="15">
        <v>300</v>
      </c>
      <c r="H112" s="15">
        <v>300</v>
      </c>
      <c r="I112" s="15">
        <v>300</v>
      </c>
      <c r="J112" s="15">
        <v>300</v>
      </c>
    </row>
    <row r="113" spans="1:16">
      <c r="A113" s="101" t="s">
        <v>244</v>
      </c>
      <c r="B113" s="86"/>
      <c r="C113" s="86"/>
      <c r="D113" s="86"/>
      <c r="E113" s="86"/>
      <c r="F113" s="86"/>
      <c r="G113" s="86"/>
      <c r="H113" s="86"/>
      <c r="I113" s="86"/>
    </row>
    <row r="114" spans="1:16">
      <c r="A114" s="101"/>
      <c r="B114" s="86"/>
      <c r="C114" s="86"/>
      <c r="D114" s="86"/>
      <c r="E114" s="86"/>
      <c r="F114" s="86"/>
      <c r="G114" s="86"/>
      <c r="H114" s="86"/>
      <c r="I114" s="86"/>
    </row>
    <row r="115" spans="1:16" ht="18.5">
      <c r="A115" s="26" t="s">
        <v>253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6">
      <c r="A116" s="180" t="s">
        <v>180</v>
      </c>
      <c r="B116" s="9">
        <v>2012</v>
      </c>
      <c r="C116" s="178">
        <v>2017</v>
      </c>
      <c r="D116" s="182"/>
      <c r="E116" s="182"/>
      <c r="F116" s="179"/>
      <c r="G116" s="187" t="s">
        <v>245</v>
      </c>
      <c r="H116" s="188"/>
      <c r="I116" s="187" t="s">
        <v>246</v>
      </c>
      <c r="J116" s="188"/>
      <c r="K116" s="178">
        <v>2040</v>
      </c>
      <c r="L116" s="179"/>
      <c r="M116" s="178">
        <v>2050</v>
      </c>
      <c r="N116" s="179"/>
      <c r="O116" s="178">
        <v>2060</v>
      </c>
      <c r="P116" s="179"/>
    </row>
    <row r="117" spans="1:16" ht="29">
      <c r="A117" s="181"/>
      <c r="B117" s="102" t="s">
        <v>181</v>
      </c>
      <c r="C117" s="10" t="s">
        <v>182</v>
      </c>
      <c r="D117" s="10" t="s">
        <v>183</v>
      </c>
      <c r="E117" s="28" t="s">
        <v>247</v>
      </c>
      <c r="F117" s="10" t="s">
        <v>185</v>
      </c>
      <c r="G117" s="10" t="s">
        <v>183</v>
      </c>
      <c r="H117" s="10" t="s">
        <v>185</v>
      </c>
      <c r="I117" s="10" t="s">
        <v>183</v>
      </c>
      <c r="J117" s="10" t="s">
        <v>185</v>
      </c>
      <c r="K117" s="10" t="s">
        <v>183</v>
      </c>
      <c r="L117" s="10" t="s">
        <v>185</v>
      </c>
      <c r="M117" s="10" t="s">
        <v>183</v>
      </c>
      <c r="N117" s="10" t="s">
        <v>185</v>
      </c>
      <c r="O117" s="10" t="s">
        <v>183</v>
      </c>
      <c r="P117" s="10" t="s">
        <v>185</v>
      </c>
    </row>
    <row r="118" spans="1:16">
      <c r="A118" s="11" t="s">
        <v>198</v>
      </c>
      <c r="B118" s="100">
        <v>90</v>
      </c>
      <c r="C118" s="12">
        <v>90</v>
      </c>
      <c r="D118" s="12">
        <v>90</v>
      </c>
      <c r="E118" s="12">
        <v>90</v>
      </c>
      <c r="F118" s="12">
        <v>90</v>
      </c>
      <c r="G118" s="12">
        <v>90</v>
      </c>
      <c r="H118" s="12">
        <v>90</v>
      </c>
      <c r="I118" s="12">
        <v>90</v>
      </c>
      <c r="J118" s="12">
        <v>90</v>
      </c>
      <c r="K118" s="12">
        <v>90</v>
      </c>
      <c r="L118" s="12">
        <v>90</v>
      </c>
      <c r="M118" s="12">
        <v>90</v>
      </c>
      <c r="N118" s="12">
        <v>90</v>
      </c>
      <c r="O118" s="12">
        <v>90</v>
      </c>
      <c r="P118" s="12">
        <v>90</v>
      </c>
    </row>
    <row r="119" spans="1:16">
      <c r="A119" s="10" t="s">
        <v>248</v>
      </c>
      <c r="B119" s="33">
        <v>10.199999999999999</v>
      </c>
      <c r="C119" s="33">
        <v>11</v>
      </c>
      <c r="D119" s="33">
        <v>11.2</v>
      </c>
      <c r="E119" s="33">
        <v>11.3</v>
      </c>
      <c r="F119" s="33">
        <v>13.1</v>
      </c>
      <c r="G119" s="33">
        <v>11.2</v>
      </c>
      <c r="H119" s="33">
        <v>13.1</v>
      </c>
      <c r="I119" s="33">
        <v>11.7</v>
      </c>
      <c r="J119" s="33">
        <v>13.1</v>
      </c>
      <c r="K119" s="33">
        <v>11.7</v>
      </c>
      <c r="L119" s="33">
        <v>13.1</v>
      </c>
      <c r="M119" s="33">
        <v>11.7</v>
      </c>
      <c r="N119" s="33">
        <v>13.1</v>
      </c>
      <c r="O119" s="33">
        <v>11.7</v>
      </c>
      <c r="P119" s="33">
        <v>13.1</v>
      </c>
    </row>
    <row r="120" spans="1:16">
      <c r="A120" s="11" t="s">
        <v>249</v>
      </c>
      <c r="B120" s="35">
        <v>12</v>
      </c>
      <c r="C120" s="103" t="s">
        <v>219</v>
      </c>
      <c r="D120" s="35">
        <v>11.3</v>
      </c>
      <c r="E120" s="35">
        <v>11.4</v>
      </c>
      <c r="F120" s="35">
        <v>20.3</v>
      </c>
      <c r="G120" s="35">
        <v>12.4</v>
      </c>
      <c r="H120" s="35">
        <v>20.3</v>
      </c>
      <c r="I120" s="35">
        <v>14.4</v>
      </c>
      <c r="J120" s="35">
        <v>20.3</v>
      </c>
      <c r="K120" s="35">
        <v>14.4</v>
      </c>
      <c r="L120" s="35">
        <v>20.3</v>
      </c>
      <c r="M120" s="35">
        <v>14.4</v>
      </c>
      <c r="N120" s="35">
        <v>20.3</v>
      </c>
      <c r="O120" s="35">
        <v>14.4</v>
      </c>
      <c r="P120" s="35">
        <v>20.3</v>
      </c>
    </row>
    <row r="121" spans="1:16">
      <c r="A121" s="10" t="s">
        <v>250</v>
      </c>
      <c r="B121" s="33">
        <v>3.3</v>
      </c>
      <c r="C121" s="33">
        <v>3.3</v>
      </c>
      <c r="D121" s="33">
        <v>3.3</v>
      </c>
      <c r="E121" s="33">
        <v>3.4</v>
      </c>
      <c r="F121" s="33">
        <v>3.7</v>
      </c>
      <c r="G121" s="33">
        <v>3.3</v>
      </c>
      <c r="H121" s="33">
        <v>3.7</v>
      </c>
      <c r="I121" s="33">
        <v>3.4</v>
      </c>
      <c r="J121" s="33">
        <v>3.7</v>
      </c>
      <c r="K121" s="33">
        <v>3.4</v>
      </c>
      <c r="L121" s="33">
        <v>3.7</v>
      </c>
      <c r="M121" s="33">
        <v>3.4</v>
      </c>
      <c r="N121" s="33">
        <v>3.7</v>
      </c>
      <c r="O121" s="33">
        <v>3.4</v>
      </c>
      <c r="P121" s="33">
        <v>3.7</v>
      </c>
    </row>
    <row r="122" spans="1:16">
      <c r="A122" s="11" t="s">
        <v>202</v>
      </c>
      <c r="B122" s="100">
        <v>21</v>
      </c>
      <c r="C122" s="12">
        <v>21</v>
      </c>
      <c r="D122" s="12">
        <v>21</v>
      </c>
      <c r="E122" s="12">
        <v>21</v>
      </c>
      <c r="F122" s="12">
        <v>21</v>
      </c>
      <c r="G122" s="12">
        <v>21</v>
      </c>
      <c r="H122" s="12">
        <v>21</v>
      </c>
      <c r="I122" s="12">
        <v>21</v>
      </c>
      <c r="J122" s="12">
        <v>21</v>
      </c>
      <c r="K122" s="12">
        <v>21</v>
      </c>
      <c r="L122" s="12">
        <v>21</v>
      </c>
      <c r="M122" s="12">
        <v>21</v>
      </c>
      <c r="N122" s="12">
        <v>21</v>
      </c>
      <c r="O122" s="12">
        <v>21</v>
      </c>
      <c r="P122" s="12">
        <v>21</v>
      </c>
    </row>
    <row r="123" spans="1:16">
      <c r="A123" s="10" t="s">
        <v>191</v>
      </c>
      <c r="B123" s="21">
        <v>6050</v>
      </c>
      <c r="C123" s="21">
        <v>6050</v>
      </c>
      <c r="D123" s="21">
        <v>6050</v>
      </c>
      <c r="E123" s="21">
        <v>6250</v>
      </c>
      <c r="F123" s="21">
        <v>11000</v>
      </c>
      <c r="G123" s="21">
        <v>7750</v>
      </c>
      <c r="H123" s="21">
        <v>11000</v>
      </c>
      <c r="I123" s="21">
        <v>8750</v>
      </c>
      <c r="J123" s="21">
        <v>11000</v>
      </c>
      <c r="K123" s="21">
        <v>8750</v>
      </c>
      <c r="L123" s="21">
        <v>11000</v>
      </c>
      <c r="M123" s="21">
        <v>8750</v>
      </c>
      <c r="N123" s="21">
        <v>11000</v>
      </c>
      <c r="O123" s="21">
        <v>8750</v>
      </c>
      <c r="P123" s="21">
        <v>11000</v>
      </c>
    </row>
    <row r="124" spans="1:16">
      <c r="A124" s="11" t="s">
        <v>192</v>
      </c>
      <c r="B124" s="18">
        <v>7550</v>
      </c>
      <c r="C124" s="18">
        <v>7550</v>
      </c>
      <c r="D124" s="18">
        <v>7550</v>
      </c>
      <c r="E124" s="18">
        <v>7750</v>
      </c>
      <c r="F124" s="18">
        <v>16050</v>
      </c>
      <c r="G124" s="18">
        <v>11150</v>
      </c>
      <c r="H124" s="18">
        <v>16050</v>
      </c>
      <c r="I124" s="18">
        <v>12750</v>
      </c>
      <c r="J124" s="18">
        <v>16050</v>
      </c>
      <c r="K124" s="18">
        <v>12750</v>
      </c>
      <c r="L124" s="18">
        <v>16050</v>
      </c>
      <c r="M124" s="18">
        <v>12750</v>
      </c>
      <c r="N124" s="18">
        <v>16050</v>
      </c>
      <c r="O124" s="18">
        <v>12750</v>
      </c>
      <c r="P124" s="18">
        <v>16050</v>
      </c>
    </row>
    <row r="125" spans="1:16" ht="29">
      <c r="A125" s="88" t="s">
        <v>193</v>
      </c>
      <c r="B125" s="15">
        <v>310</v>
      </c>
      <c r="C125" s="15">
        <v>310</v>
      </c>
      <c r="D125" s="15">
        <v>310</v>
      </c>
      <c r="E125" s="15">
        <v>310</v>
      </c>
      <c r="F125" s="15">
        <v>310</v>
      </c>
      <c r="G125" s="15">
        <v>310</v>
      </c>
      <c r="H125" s="15">
        <v>310</v>
      </c>
      <c r="I125" s="15">
        <v>310</v>
      </c>
      <c r="J125" s="15">
        <v>310</v>
      </c>
      <c r="K125" s="15">
        <v>310</v>
      </c>
      <c r="L125" s="15">
        <v>310</v>
      </c>
      <c r="M125" s="15">
        <v>310</v>
      </c>
      <c r="N125" s="15">
        <v>310</v>
      </c>
      <c r="O125" s="15">
        <v>310</v>
      </c>
      <c r="P125" s="15">
        <v>310</v>
      </c>
    </row>
    <row r="127" spans="1:16" ht="18.5">
      <c r="A127" s="26" t="s">
        <v>271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spans="1:16">
      <c r="A128" s="41" t="s">
        <v>180</v>
      </c>
      <c r="B128" s="42">
        <v>2012</v>
      </c>
      <c r="C128" s="83"/>
      <c r="D128" s="183">
        <v>2017</v>
      </c>
      <c r="E128" s="183"/>
      <c r="F128" s="183"/>
      <c r="G128" s="184">
        <v>2020</v>
      </c>
      <c r="H128" s="185"/>
      <c r="I128" s="184">
        <v>2030</v>
      </c>
      <c r="J128" s="185"/>
      <c r="K128" s="186">
        <v>2040</v>
      </c>
      <c r="L128" s="183"/>
      <c r="M128" s="186">
        <v>2050</v>
      </c>
      <c r="N128" s="189"/>
      <c r="O128" s="186">
        <v>2060</v>
      </c>
      <c r="P128" s="189"/>
    </row>
    <row r="129" spans="1:16" ht="29">
      <c r="A129" s="107"/>
      <c r="B129" s="108" t="s">
        <v>208</v>
      </c>
      <c r="C129" s="109" t="s">
        <v>215</v>
      </c>
      <c r="D129" s="59" t="s">
        <v>183</v>
      </c>
      <c r="E129" s="114" t="s">
        <v>221</v>
      </c>
      <c r="F129" s="59" t="s">
        <v>185</v>
      </c>
      <c r="G129" s="59" t="s">
        <v>183</v>
      </c>
      <c r="H129" s="115" t="s">
        <v>185</v>
      </c>
      <c r="I129" s="59" t="s">
        <v>183</v>
      </c>
      <c r="J129" s="49" t="s">
        <v>185</v>
      </c>
      <c r="K129" s="59" t="s">
        <v>183</v>
      </c>
      <c r="L129" s="49" t="s">
        <v>185</v>
      </c>
      <c r="M129" s="48" t="s">
        <v>183</v>
      </c>
      <c r="N129" s="49" t="s">
        <v>185</v>
      </c>
      <c r="O129" s="48" t="s">
        <v>183</v>
      </c>
      <c r="P129" s="49" t="s">
        <v>185</v>
      </c>
    </row>
    <row r="130" spans="1:16">
      <c r="A130" s="11" t="s">
        <v>267</v>
      </c>
      <c r="B130" s="13">
        <v>100</v>
      </c>
      <c r="C130" s="14">
        <v>100</v>
      </c>
      <c r="D130" s="12">
        <v>100</v>
      </c>
      <c r="E130" s="14">
        <v>100</v>
      </c>
      <c r="F130" s="12">
        <v>100</v>
      </c>
      <c r="G130" s="12">
        <v>100</v>
      </c>
      <c r="H130" s="14">
        <v>100</v>
      </c>
      <c r="I130" s="12">
        <v>100</v>
      </c>
      <c r="J130" s="14">
        <v>100</v>
      </c>
      <c r="K130" s="12">
        <v>100</v>
      </c>
      <c r="L130" s="14">
        <v>100</v>
      </c>
      <c r="M130" s="13">
        <v>100</v>
      </c>
      <c r="N130" s="14">
        <v>100</v>
      </c>
      <c r="O130" s="13">
        <v>100</v>
      </c>
      <c r="P130" s="14">
        <v>100</v>
      </c>
    </row>
    <row r="131" spans="1:16">
      <c r="A131" s="10" t="s">
        <v>187</v>
      </c>
      <c r="B131" s="16">
        <v>199</v>
      </c>
      <c r="C131" s="17">
        <v>199</v>
      </c>
      <c r="D131" s="15">
        <v>199</v>
      </c>
      <c r="E131" s="17">
        <v>199</v>
      </c>
      <c r="F131" s="15">
        <v>199</v>
      </c>
      <c r="G131" s="15">
        <v>199</v>
      </c>
      <c r="H131" s="17">
        <v>199</v>
      </c>
      <c r="I131" s="15">
        <v>199</v>
      </c>
      <c r="J131" s="17">
        <v>199</v>
      </c>
      <c r="K131" s="15">
        <v>199</v>
      </c>
      <c r="L131" s="17">
        <v>199</v>
      </c>
      <c r="M131" s="16">
        <v>199</v>
      </c>
      <c r="N131" s="17">
        <v>199</v>
      </c>
      <c r="O131" s="16">
        <v>199</v>
      </c>
      <c r="P131" s="17">
        <v>199</v>
      </c>
    </row>
    <row r="132" spans="1:16">
      <c r="A132" s="11" t="s">
        <v>268</v>
      </c>
      <c r="B132" s="110">
        <v>81</v>
      </c>
      <c r="C132" s="14">
        <v>80</v>
      </c>
      <c r="D132" s="12">
        <v>82</v>
      </c>
      <c r="E132" s="14">
        <v>94</v>
      </c>
      <c r="F132" s="12">
        <v>99</v>
      </c>
      <c r="G132" s="12">
        <v>82</v>
      </c>
      <c r="H132" s="14">
        <v>99</v>
      </c>
      <c r="I132" s="12">
        <v>82</v>
      </c>
      <c r="J132" s="14">
        <v>99</v>
      </c>
      <c r="K132" s="12">
        <v>82</v>
      </c>
      <c r="L132" s="14">
        <v>99</v>
      </c>
      <c r="M132" s="13">
        <v>82</v>
      </c>
      <c r="N132" s="14">
        <v>99</v>
      </c>
      <c r="O132" s="13">
        <v>82</v>
      </c>
      <c r="P132" s="14">
        <v>99</v>
      </c>
    </row>
    <row r="133" spans="1:16">
      <c r="A133" s="10" t="s">
        <v>202</v>
      </c>
      <c r="B133" s="111">
        <v>13</v>
      </c>
      <c r="C133" s="17">
        <v>10</v>
      </c>
      <c r="D133" s="15">
        <v>10</v>
      </c>
      <c r="E133" s="17">
        <v>10</v>
      </c>
      <c r="F133" s="15">
        <v>10</v>
      </c>
      <c r="G133" s="15">
        <v>10</v>
      </c>
      <c r="H133" s="17">
        <v>10</v>
      </c>
      <c r="I133" s="15">
        <v>10</v>
      </c>
      <c r="J133" s="17">
        <v>10</v>
      </c>
      <c r="K133" s="15">
        <v>10</v>
      </c>
      <c r="L133" s="17">
        <v>10</v>
      </c>
      <c r="M133" s="16">
        <v>10</v>
      </c>
      <c r="N133" s="17">
        <v>10</v>
      </c>
      <c r="O133" s="16">
        <v>10</v>
      </c>
      <c r="P133" s="17">
        <v>10</v>
      </c>
    </row>
    <row r="134" spans="1:16" ht="29">
      <c r="A134" s="63" t="s">
        <v>269</v>
      </c>
      <c r="B134" s="78">
        <v>3400</v>
      </c>
      <c r="C134" s="79">
        <v>3300</v>
      </c>
      <c r="D134" s="77">
        <v>3450</v>
      </c>
      <c r="E134" s="79">
        <v>3950</v>
      </c>
      <c r="F134" s="77">
        <v>4050</v>
      </c>
      <c r="G134" s="77">
        <v>3450</v>
      </c>
      <c r="H134" s="79">
        <v>4050</v>
      </c>
      <c r="I134" s="77">
        <v>3450</v>
      </c>
      <c r="J134" s="116">
        <v>4050</v>
      </c>
      <c r="K134" s="77">
        <v>3450</v>
      </c>
      <c r="L134" s="116">
        <v>4050</v>
      </c>
      <c r="M134" s="78">
        <v>3450</v>
      </c>
      <c r="N134" s="79">
        <v>4050</v>
      </c>
      <c r="O134" s="78">
        <v>3450</v>
      </c>
      <c r="P134" s="79">
        <v>4050</v>
      </c>
    </row>
    <row r="135" spans="1:16">
      <c r="A135" s="67"/>
      <c r="B135" s="81">
        <v>4200</v>
      </c>
      <c r="C135" s="82">
        <v>4100</v>
      </c>
      <c r="D135" s="80">
        <v>4300</v>
      </c>
      <c r="E135" s="82">
        <v>4850</v>
      </c>
      <c r="F135" s="80">
        <v>4950</v>
      </c>
      <c r="G135" s="80">
        <v>4300</v>
      </c>
      <c r="H135" s="82">
        <v>4950</v>
      </c>
      <c r="I135" s="80">
        <v>4300</v>
      </c>
      <c r="J135" s="117">
        <v>4950</v>
      </c>
      <c r="K135" s="80">
        <v>4300</v>
      </c>
      <c r="L135" s="117">
        <v>4950</v>
      </c>
      <c r="M135" s="81">
        <v>4300</v>
      </c>
      <c r="N135" s="82">
        <v>4950</v>
      </c>
      <c r="O135" s="81">
        <v>4300</v>
      </c>
      <c r="P135" s="82">
        <v>4950</v>
      </c>
    </row>
    <row r="136" spans="1:16">
      <c r="A136" s="50" t="s">
        <v>270</v>
      </c>
      <c r="B136" s="72">
        <v>4200</v>
      </c>
      <c r="C136" s="73">
        <v>4150</v>
      </c>
      <c r="D136" s="71">
        <v>4300</v>
      </c>
      <c r="E136" s="73">
        <v>5450</v>
      </c>
      <c r="F136" s="71">
        <v>5550</v>
      </c>
      <c r="G136" s="71">
        <v>4300</v>
      </c>
      <c r="H136" s="73">
        <v>5550</v>
      </c>
      <c r="I136" s="71">
        <v>4300</v>
      </c>
      <c r="J136" s="118">
        <v>5550</v>
      </c>
      <c r="K136" s="71">
        <v>4300</v>
      </c>
      <c r="L136" s="118">
        <v>5550</v>
      </c>
      <c r="M136" s="72">
        <v>4300</v>
      </c>
      <c r="N136" s="73">
        <v>5550</v>
      </c>
      <c r="O136" s="72">
        <v>4300</v>
      </c>
      <c r="P136" s="73">
        <v>5550</v>
      </c>
    </row>
    <row r="137" spans="1:16">
      <c r="A137" s="53"/>
      <c r="B137" s="75">
        <v>6050</v>
      </c>
      <c r="C137" s="76">
        <v>5950</v>
      </c>
      <c r="D137" s="74">
        <v>6150</v>
      </c>
      <c r="E137" s="76">
        <v>6500</v>
      </c>
      <c r="F137" s="74">
        <v>6600</v>
      </c>
      <c r="G137" s="74">
        <v>6150</v>
      </c>
      <c r="H137" s="76">
        <v>6600</v>
      </c>
      <c r="I137" s="74">
        <v>6150</v>
      </c>
      <c r="J137" s="119">
        <v>6600</v>
      </c>
      <c r="K137" s="74">
        <v>6150</v>
      </c>
      <c r="L137" s="119">
        <v>6600</v>
      </c>
      <c r="M137" s="75">
        <v>6150</v>
      </c>
      <c r="N137" s="76">
        <v>6600</v>
      </c>
      <c r="O137" s="75">
        <v>6150</v>
      </c>
      <c r="P137" s="76">
        <v>6600</v>
      </c>
    </row>
    <row r="138" spans="1:16" ht="29">
      <c r="A138" s="11" t="s">
        <v>193</v>
      </c>
      <c r="B138" s="65">
        <v>270</v>
      </c>
      <c r="C138" s="85">
        <v>270</v>
      </c>
      <c r="D138" s="112">
        <v>270</v>
      </c>
      <c r="E138" s="85">
        <v>270</v>
      </c>
      <c r="F138" s="112">
        <v>270</v>
      </c>
      <c r="G138" s="112">
        <v>270</v>
      </c>
      <c r="H138" s="85">
        <v>270</v>
      </c>
      <c r="I138" s="112">
        <v>270</v>
      </c>
      <c r="J138" s="85">
        <v>270</v>
      </c>
      <c r="K138" s="112">
        <v>270</v>
      </c>
      <c r="L138" s="85">
        <v>270</v>
      </c>
      <c r="M138" s="65">
        <v>270</v>
      </c>
      <c r="N138" s="85">
        <v>270</v>
      </c>
      <c r="O138" s="65">
        <v>270</v>
      </c>
      <c r="P138" s="85">
        <v>270</v>
      </c>
    </row>
    <row r="140" spans="1:16" ht="18.5">
      <c r="A140" s="26" t="s">
        <v>272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6">
      <c r="A141" s="180" t="s">
        <v>180</v>
      </c>
      <c r="B141" s="9">
        <v>2012</v>
      </c>
      <c r="C141" s="178">
        <v>2017</v>
      </c>
      <c r="D141" s="182"/>
      <c r="E141" s="179"/>
      <c r="F141" s="178">
        <v>2020</v>
      </c>
      <c r="G141" s="179"/>
      <c r="H141" s="178">
        <v>2030</v>
      </c>
      <c r="I141" s="179"/>
      <c r="J141" s="178">
        <v>2040</v>
      </c>
      <c r="K141" s="179"/>
      <c r="L141" s="178">
        <v>2050</v>
      </c>
      <c r="M141" s="179"/>
      <c r="N141" s="178">
        <v>2060</v>
      </c>
      <c r="O141" s="179"/>
    </row>
    <row r="142" spans="1:16" ht="29">
      <c r="A142" s="181"/>
      <c r="B142" s="102" t="s">
        <v>181</v>
      </c>
      <c r="C142" s="10" t="s">
        <v>182</v>
      </c>
      <c r="D142" s="10" t="s">
        <v>183</v>
      </c>
      <c r="E142" s="10" t="s">
        <v>185</v>
      </c>
      <c r="F142" s="10" t="s">
        <v>183</v>
      </c>
      <c r="G142" s="10" t="s">
        <v>185</v>
      </c>
      <c r="H142" s="10" t="s">
        <v>183</v>
      </c>
      <c r="I142" s="10" t="s">
        <v>185</v>
      </c>
      <c r="J142" s="10" t="s">
        <v>183</v>
      </c>
      <c r="K142" s="10" t="s">
        <v>185</v>
      </c>
      <c r="L142" s="10" t="s">
        <v>183</v>
      </c>
      <c r="M142" s="10" t="s">
        <v>185</v>
      </c>
      <c r="N142" s="10" t="s">
        <v>183</v>
      </c>
      <c r="O142" s="10" t="s">
        <v>185</v>
      </c>
    </row>
    <row r="143" spans="1:16">
      <c r="A143" s="11" t="s">
        <v>267</v>
      </c>
      <c r="B143" s="100">
        <v>70</v>
      </c>
      <c r="C143" s="100">
        <v>85</v>
      </c>
      <c r="D143" s="100">
        <v>85</v>
      </c>
      <c r="E143" s="100">
        <v>85</v>
      </c>
      <c r="F143" s="12">
        <v>85</v>
      </c>
      <c r="G143" s="12">
        <v>85</v>
      </c>
      <c r="H143" s="12">
        <v>85</v>
      </c>
      <c r="I143" s="12">
        <v>85</v>
      </c>
      <c r="J143" s="12">
        <v>85</v>
      </c>
      <c r="K143" s="12">
        <v>85</v>
      </c>
      <c r="L143" s="12">
        <v>85</v>
      </c>
      <c r="M143" s="12">
        <v>85</v>
      </c>
      <c r="N143" s="12">
        <v>85</v>
      </c>
      <c r="O143" s="12">
        <v>85</v>
      </c>
    </row>
    <row r="144" spans="1:16">
      <c r="A144" s="10" t="s">
        <v>187</v>
      </c>
      <c r="B144" s="15">
        <v>300</v>
      </c>
      <c r="C144" s="15">
        <v>300</v>
      </c>
      <c r="D144" s="15">
        <v>300</v>
      </c>
      <c r="E144" s="15">
        <v>300</v>
      </c>
      <c r="F144" s="15">
        <v>300</v>
      </c>
      <c r="G144" s="15">
        <v>300</v>
      </c>
      <c r="H144" s="15">
        <v>300</v>
      </c>
      <c r="I144" s="15">
        <v>300</v>
      </c>
      <c r="J144" s="15">
        <v>300</v>
      </c>
      <c r="K144" s="15">
        <v>300</v>
      </c>
      <c r="L144" s="15">
        <v>300</v>
      </c>
      <c r="M144" s="15">
        <v>300</v>
      </c>
      <c r="N144" s="15">
        <v>300</v>
      </c>
      <c r="O144" s="15">
        <v>300</v>
      </c>
    </row>
    <row r="145" spans="1:15">
      <c r="A145" s="11" t="s">
        <v>268</v>
      </c>
      <c r="B145" s="100">
        <v>79</v>
      </c>
      <c r="C145" s="100">
        <v>80</v>
      </c>
      <c r="D145" s="100">
        <v>81</v>
      </c>
      <c r="E145" s="100">
        <v>82</v>
      </c>
      <c r="F145" s="12">
        <v>81</v>
      </c>
      <c r="G145" s="12">
        <v>82</v>
      </c>
      <c r="H145" s="12">
        <v>81</v>
      </c>
      <c r="I145" s="12">
        <v>82</v>
      </c>
      <c r="J145" s="12">
        <v>81</v>
      </c>
      <c r="K145" s="12">
        <v>82</v>
      </c>
      <c r="L145" s="12">
        <v>81</v>
      </c>
      <c r="M145" s="12">
        <v>82</v>
      </c>
      <c r="N145" s="12">
        <v>81</v>
      </c>
      <c r="O145" s="12">
        <v>82</v>
      </c>
    </row>
    <row r="146" spans="1:15">
      <c r="A146" s="10" t="s">
        <v>202</v>
      </c>
      <c r="B146" s="37">
        <v>13</v>
      </c>
      <c r="C146" s="37">
        <v>13</v>
      </c>
      <c r="D146" s="37">
        <v>13</v>
      </c>
      <c r="E146" s="37">
        <v>13</v>
      </c>
      <c r="F146" s="15">
        <v>13</v>
      </c>
      <c r="G146" s="15">
        <v>13</v>
      </c>
      <c r="H146" s="15">
        <v>13</v>
      </c>
      <c r="I146" s="15">
        <v>13</v>
      </c>
      <c r="J146" s="15">
        <v>13</v>
      </c>
      <c r="K146" s="15">
        <v>13</v>
      </c>
      <c r="L146" s="15">
        <v>13</v>
      </c>
      <c r="M146" s="15">
        <v>13</v>
      </c>
      <c r="N146" s="15">
        <v>13</v>
      </c>
      <c r="O146" s="15">
        <v>13</v>
      </c>
    </row>
    <row r="147" spans="1:15">
      <c r="A147" s="11" t="s">
        <v>191</v>
      </c>
      <c r="B147" s="18">
        <v>4650</v>
      </c>
      <c r="C147" s="18">
        <v>4650</v>
      </c>
      <c r="D147" s="18">
        <v>4650</v>
      </c>
      <c r="E147" s="18">
        <v>4650</v>
      </c>
      <c r="F147" s="18">
        <v>4650</v>
      </c>
      <c r="G147" s="18">
        <v>4650</v>
      </c>
      <c r="H147" s="18">
        <v>4650</v>
      </c>
      <c r="I147" s="18">
        <v>4650</v>
      </c>
      <c r="J147" s="18">
        <v>4650</v>
      </c>
      <c r="K147" s="18">
        <v>4650</v>
      </c>
      <c r="L147" s="18">
        <v>4650</v>
      </c>
      <c r="M147" s="18">
        <v>4650</v>
      </c>
      <c r="N147" s="18">
        <v>4650</v>
      </c>
      <c r="O147" s="18">
        <v>4650</v>
      </c>
    </row>
    <row r="148" spans="1:15">
      <c r="A148" s="10" t="s">
        <v>192</v>
      </c>
      <c r="B148" s="21">
        <v>5200</v>
      </c>
      <c r="C148" s="21">
        <v>5200</v>
      </c>
      <c r="D148" s="21">
        <v>5200</v>
      </c>
      <c r="E148" s="21">
        <v>5200</v>
      </c>
      <c r="F148" s="21">
        <v>5200</v>
      </c>
      <c r="G148" s="21">
        <v>5200</v>
      </c>
      <c r="H148" s="21">
        <v>5200</v>
      </c>
      <c r="I148" s="21">
        <v>5200</v>
      </c>
      <c r="J148" s="21">
        <v>5200</v>
      </c>
      <c r="K148" s="21">
        <v>5200</v>
      </c>
      <c r="L148" s="21">
        <v>5200</v>
      </c>
      <c r="M148" s="21">
        <v>5200</v>
      </c>
      <c r="N148" s="21">
        <v>5200</v>
      </c>
      <c r="O148" s="21">
        <v>5200</v>
      </c>
    </row>
    <row r="149" spans="1:15" ht="29">
      <c r="A149" s="89" t="s">
        <v>193</v>
      </c>
      <c r="B149" s="12">
        <v>168</v>
      </c>
      <c r="C149" s="12">
        <v>168</v>
      </c>
      <c r="D149" s="12">
        <v>168</v>
      </c>
      <c r="E149" s="12">
        <v>168</v>
      </c>
      <c r="F149" s="12">
        <v>168</v>
      </c>
      <c r="G149" s="12">
        <v>168</v>
      </c>
      <c r="H149" s="12">
        <v>168</v>
      </c>
      <c r="I149" s="12">
        <v>168</v>
      </c>
      <c r="J149" s="12">
        <v>168</v>
      </c>
      <c r="K149" s="12">
        <v>168</v>
      </c>
      <c r="L149" s="12">
        <v>168</v>
      </c>
      <c r="M149" s="12">
        <v>168</v>
      </c>
      <c r="N149" s="12">
        <v>168</v>
      </c>
      <c r="O149" s="12">
        <v>168</v>
      </c>
    </row>
  </sheetData>
  <mergeCells count="56">
    <mergeCell ref="J14:K14"/>
    <mergeCell ref="L14:M14"/>
    <mergeCell ref="N14:O14"/>
    <mergeCell ref="I15:J15"/>
    <mergeCell ref="D2:G2"/>
    <mergeCell ref="H2:I2"/>
    <mergeCell ref="J2:K2"/>
    <mergeCell ref="L2:M2"/>
    <mergeCell ref="N2:O2"/>
    <mergeCell ref="A14:A15"/>
    <mergeCell ref="D14:G14"/>
    <mergeCell ref="H14:I14"/>
    <mergeCell ref="A45:A46"/>
    <mergeCell ref="A49:A50"/>
    <mergeCell ref="A2:A3"/>
    <mergeCell ref="N53:O53"/>
    <mergeCell ref="L53:M53"/>
    <mergeCell ref="D53:G53"/>
    <mergeCell ref="H53:I53"/>
    <mergeCell ref="J53:K53"/>
    <mergeCell ref="L40:M40"/>
    <mergeCell ref="N40:O40"/>
    <mergeCell ref="A19:A20"/>
    <mergeCell ref="A21:A22"/>
    <mergeCell ref="A23:A24"/>
    <mergeCell ref="A7:A8"/>
    <mergeCell ref="A40:A41"/>
    <mergeCell ref="D40:G40"/>
    <mergeCell ref="H40:I40"/>
    <mergeCell ref="J40:K40"/>
    <mergeCell ref="A105:A106"/>
    <mergeCell ref="C105:E105"/>
    <mergeCell ref="A116:A117"/>
    <mergeCell ref="C116:F116"/>
    <mergeCell ref="G116:H116"/>
    <mergeCell ref="I116:J116"/>
    <mergeCell ref="N141:O141"/>
    <mergeCell ref="M128:N128"/>
    <mergeCell ref="O128:P128"/>
    <mergeCell ref="O116:P116"/>
    <mergeCell ref="P2:Q2"/>
    <mergeCell ref="P14:Q14"/>
    <mergeCell ref="P40:Q40"/>
    <mergeCell ref="P53:Q53"/>
    <mergeCell ref="A141:A142"/>
    <mergeCell ref="C141:E141"/>
    <mergeCell ref="F141:G141"/>
    <mergeCell ref="H141:I141"/>
    <mergeCell ref="J141:K141"/>
    <mergeCell ref="L141:M141"/>
    <mergeCell ref="K116:L116"/>
    <mergeCell ref="M116:N116"/>
    <mergeCell ref="D128:F128"/>
    <mergeCell ref="G128:H128"/>
    <mergeCell ref="I128:J128"/>
    <mergeCell ref="K128:L128"/>
  </mergeCells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837"/>
  <sheetViews>
    <sheetView topLeftCell="V145" workbookViewId="0">
      <selection activeCell="AG71" sqref="AG71"/>
    </sheetView>
  </sheetViews>
  <sheetFormatPr defaultRowHeight="14.5"/>
  <cols>
    <col min="1" max="1" width="26.81640625" customWidth="1"/>
    <col min="2" max="2" width="49" customWidth="1"/>
  </cols>
  <sheetData>
    <row r="1" spans="1:44" ht="15" customHeight="1" thickBot="1">
      <c r="B1" s="123" t="s">
        <v>329</v>
      </c>
      <c r="C1" s="124">
        <v>2020</v>
      </c>
      <c r="D1" s="124">
        <v>2021</v>
      </c>
      <c r="E1" s="124">
        <v>2022</v>
      </c>
      <c r="F1" s="124">
        <v>2023</v>
      </c>
      <c r="G1" s="124">
        <v>2024</v>
      </c>
      <c r="H1" s="124">
        <v>2025</v>
      </c>
      <c r="I1" s="124">
        <v>2026</v>
      </c>
      <c r="J1" s="124">
        <v>2027</v>
      </c>
      <c r="K1" s="124">
        <v>2028</v>
      </c>
      <c r="L1" s="124">
        <v>2029</v>
      </c>
      <c r="M1" s="124">
        <v>2030</v>
      </c>
      <c r="N1" s="124">
        <v>2031</v>
      </c>
      <c r="O1" s="124">
        <v>2032</v>
      </c>
      <c r="P1" s="124">
        <v>2033</v>
      </c>
      <c r="Q1" s="124">
        <v>2034</v>
      </c>
      <c r="R1" s="124">
        <v>2035</v>
      </c>
      <c r="S1" s="124">
        <v>2036</v>
      </c>
      <c r="T1" s="124">
        <v>2037</v>
      </c>
      <c r="U1" s="124">
        <v>2038</v>
      </c>
      <c r="V1" s="124">
        <v>2039</v>
      </c>
      <c r="W1" s="124">
        <v>2040</v>
      </c>
      <c r="X1" s="124">
        <v>2041</v>
      </c>
      <c r="Y1" s="124">
        <v>2042</v>
      </c>
      <c r="Z1" s="124">
        <v>2043</v>
      </c>
      <c r="AA1" s="124">
        <v>2044</v>
      </c>
      <c r="AB1" s="124">
        <v>2045</v>
      </c>
      <c r="AC1" s="124">
        <v>2046</v>
      </c>
      <c r="AD1" s="124">
        <v>2047</v>
      </c>
      <c r="AE1" s="124">
        <v>2048</v>
      </c>
      <c r="AF1" s="124">
        <v>2049</v>
      </c>
      <c r="AG1" s="124">
        <v>2050</v>
      </c>
      <c r="AH1" s="124"/>
      <c r="AI1" s="124"/>
      <c r="AJ1" s="124"/>
      <c r="AK1" s="124"/>
      <c r="AL1" s="124"/>
      <c r="AM1" s="124"/>
      <c r="AN1" s="124"/>
      <c r="AO1" s="124"/>
      <c r="AP1" s="124"/>
      <c r="AQ1" s="124"/>
    </row>
    <row r="2" spans="1:44" ht="15" customHeight="1" thickTop="1"/>
    <row r="3" spans="1:44" ht="15" customHeight="1">
      <c r="C3" s="125" t="s">
        <v>15</v>
      </c>
      <c r="D3" s="125" t="s">
        <v>330</v>
      </c>
      <c r="E3" s="126"/>
      <c r="F3" s="126"/>
      <c r="G3" s="126"/>
      <c r="H3" s="126"/>
    </row>
    <row r="4" spans="1:44" ht="15" customHeight="1">
      <c r="C4" s="125" t="s">
        <v>16</v>
      </c>
      <c r="D4" s="125" t="s">
        <v>331</v>
      </c>
      <c r="E4" s="126"/>
      <c r="F4" s="126"/>
      <c r="G4" s="125" t="s">
        <v>17</v>
      </c>
      <c r="H4" s="126"/>
    </row>
    <row r="5" spans="1:44" ht="15" customHeight="1">
      <c r="C5" s="125" t="s">
        <v>18</v>
      </c>
      <c r="D5" s="125" t="s">
        <v>332</v>
      </c>
      <c r="E5" s="126"/>
      <c r="F5" s="126"/>
      <c r="G5" s="126"/>
      <c r="H5" s="126"/>
    </row>
    <row r="6" spans="1:44" ht="15" customHeight="1">
      <c r="C6" s="125" t="s">
        <v>19</v>
      </c>
      <c r="D6" s="126"/>
      <c r="E6" s="125" t="s">
        <v>333</v>
      </c>
      <c r="F6" s="126"/>
      <c r="G6" s="126"/>
      <c r="H6" s="126"/>
    </row>
    <row r="7" spans="1:44" ht="15" customHeight="1">
      <c r="C7" s="126"/>
      <c r="D7" s="126"/>
      <c r="E7" s="126"/>
      <c r="F7" s="126"/>
      <c r="G7" s="126"/>
      <c r="H7" s="126"/>
    </row>
    <row r="10" spans="1:44" ht="15" customHeight="1">
      <c r="A10" s="4" t="s">
        <v>20</v>
      </c>
      <c r="B10" s="127" t="s">
        <v>21</v>
      </c>
      <c r="AR10" s="128" t="s">
        <v>334</v>
      </c>
    </row>
    <row r="11" spans="1:44" ht="15" customHeight="1">
      <c r="B11" s="123" t="s">
        <v>22</v>
      </c>
      <c r="AR11" s="128" t="s">
        <v>335</v>
      </c>
    </row>
    <row r="12" spans="1:44" ht="15" customHeight="1">
      <c r="B12" s="12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626</v>
      </c>
      <c r="AI12" s="2"/>
      <c r="AJ12" s="2"/>
      <c r="AK12" s="2"/>
      <c r="AL12" s="2"/>
      <c r="AM12" s="2"/>
      <c r="AN12" s="2"/>
      <c r="AO12" s="2"/>
      <c r="AP12" s="2"/>
      <c r="AQ12" s="2"/>
      <c r="AR12" s="128" t="s">
        <v>336</v>
      </c>
    </row>
    <row r="13" spans="1:44" ht="15" customHeight="1" thickBot="1">
      <c r="B13" s="124" t="s">
        <v>23</v>
      </c>
      <c r="C13" s="124">
        <v>2020</v>
      </c>
      <c r="D13" s="124">
        <v>2021</v>
      </c>
      <c r="E13" s="124">
        <v>2022</v>
      </c>
      <c r="F13" s="124">
        <v>2023</v>
      </c>
      <c r="G13" s="124">
        <v>2024</v>
      </c>
      <c r="H13" s="124">
        <v>2025</v>
      </c>
      <c r="I13" s="124">
        <v>2026</v>
      </c>
      <c r="J13" s="124">
        <v>2027</v>
      </c>
      <c r="K13" s="124">
        <v>2028</v>
      </c>
      <c r="L13" s="124">
        <v>2029</v>
      </c>
      <c r="M13" s="124">
        <v>2030</v>
      </c>
      <c r="N13" s="124">
        <v>2031</v>
      </c>
      <c r="O13" s="124">
        <v>2032</v>
      </c>
      <c r="P13" s="124">
        <v>2033</v>
      </c>
      <c r="Q13" s="124">
        <v>2034</v>
      </c>
      <c r="R13" s="124">
        <v>2035</v>
      </c>
      <c r="S13" s="124">
        <v>2036</v>
      </c>
      <c r="T13" s="124">
        <v>2037</v>
      </c>
      <c r="U13" s="124">
        <v>2038</v>
      </c>
      <c r="V13" s="124">
        <v>2039</v>
      </c>
      <c r="W13" s="124">
        <v>2040</v>
      </c>
      <c r="X13" s="124">
        <v>2041</v>
      </c>
      <c r="Y13" s="124">
        <v>2042</v>
      </c>
      <c r="Z13" s="124">
        <v>2043</v>
      </c>
      <c r="AA13" s="124">
        <v>2044</v>
      </c>
      <c r="AB13" s="124">
        <v>2045</v>
      </c>
      <c r="AC13" s="124">
        <v>2046</v>
      </c>
      <c r="AD13" s="124">
        <v>2047</v>
      </c>
      <c r="AE13" s="124">
        <v>2048</v>
      </c>
      <c r="AF13" s="124">
        <v>2049</v>
      </c>
      <c r="AG13" s="124">
        <v>2050</v>
      </c>
      <c r="AH13" s="177">
        <v>2051</v>
      </c>
      <c r="AI13" s="177">
        <v>2052</v>
      </c>
      <c r="AJ13" s="177">
        <v>2053</v>
      </c>
      <c r="AK13" s="177">
        <v>2054</v>
      </c>
      <c r="AL13" s="177">
        <v>2055</v>
      </c>
      <c r="AM13" s="177">
        <v>2056</v>
      </c>
      <c r="AN13" s="177">
        <v>2057</v>
      </c>
      <c r="AO13" s="177">
        <v>2058</v>
      </c>
      <c r="AP13" s="177">
        <v>2059</v>
      </c>
      <c r="AQ13" s="177">
        <v>2060</v>
      </c>
      <c r="AR13" s="129" t="s">
        <v>337</v>
      </c>
    </row>
    <row r="14" spans="1:44" ht="15" customHeight="1" thickTop="1"/>
    <row r="15" spans="1:44" ht="15" customHeight="1">
      <c r="B15" s="130" t="s">
        <v>24</v>
      </c>
    </row>
    <row r="16" spans="1:44" ht="15" customHeight="1">
      <c r="B16" s="130" t="s">
        <v>25</v>
      </c>
    </row>
    <row r="17" spans="1:44" ht="15" customHeight="1">
      <c r="A17" s="4" t="s">
        <v>26</v>
      </c>
      <c r="B17" s="131" t="s">
        <v>27</v>
      </c>
      <c r="C17" s="132">
        <v>84.750443000000004</v>
      </c>
      <c r="D17" s="132">
        <v>85.593650999999994</v>
      </c>
      <c r="E17" s="132">
        <v>86.439353999999994</v>
      </c>
      <c r="F17" s="132">
        <v>87.273476000000002</v>
      </c>
      <c r="G17" s="132">
        <v>88.112289000000004</v>
      </c>
      <c r="H17" s="132">
        <v>88.984466999999995</v>
      </c>
      <c r="I17" s="132">
        <v>89.856285</v>
      </c>
      <c r="J17" s="132">
        <v>90.700255999999996</v>
      </c>
      <c r="K17" s="132">
        <v>91.516670000000005</v>
      </c>
      <c r="L17" s="132">
        <v>92.31514</v>
      </c>
      <c r="M17" s="132">
        <v>93.093277</v>
      </c>
      <c r="N17" s="132">
        <v>93.847504000000001</v>
      </c>
      <c r="O17" s="132">
        <v>94.588798999999995</v>
      </c>
      <c r="P17" s="132">
        <v>95.310699</v>
      </c>
      <c r="Q17" s="132">
        <v>96.006423999999996</v>
      </c>
      <c r="R17" s="132">
        <v>96.697852999999995</v>
      </c>
      <c r="S17" s="132">
        <v>97.377669999999995</v>
      </c>
      <c r="T17" s="132">
        <v>98.047127000000003</v>
      </c>
      <c r="U17" s="132">
        <v>98.708320999999998</v>
      </c>
      <c r="V17" s="132">
        <v>99.360045999999997</v>
      </c>
      <c r="W17" s="132">
        <v>100.015579</v>
      </c>
      <c r="X17" s="132">
        <v>100.67042499999999</v>
      </c>
      <c r="Y17" s="132">
        <v>101.321327</v>
      </c>
      <c r="Z17" s="132">
        <v>101.97403</v>
      </c>
      <c r="AA17" s="132">
        <v>102.63200399999999</v>
      </c>
      <c r="AB17" s="132">
        <v>103.292885</v>
      </c>
      <c r="AC17" s="132">
        <v>103.95903</v>
      </c>
      <c r="AD17" s="132">
        <v>104.621376</v>
      </c>
      <c r="AE17" s="132">
        <v>105.279099</v>
      </c>
      <c r="AF17" s="132">
        <v>105.93704200000001</v>
      </c>
      <c r="AG17" s="132">
        <v>106.59596999999999</v>
      </c>
      <c r="AH17" s="132">
        <f>AG17*(1+$AR17)</f>
        <v>107.41398747377998</v>
      </c>
      <c r="AI17" s="132">
        <f t="shared" ref="AI17:AQ19" si="0">AH17*(1+$AR17)</f>
        <v>108.23828241365376</v>
      </c>
      <c r="AJ17" s="132">
        <f t="shared" si="0"/>
        <v>109.06890299289614</v>
      </c>
      <c r="AK17" s="132">
        <f t="shared" si="0"/>
        <v>109.90589775446362</v>
      </c>
      <c r="AL17" s="132">
        <f t="shared" si="0"/>
        <v>110.74931561383137</v>
      </c>
      <c r="AM17" s="132">
        <f t="shared" si="0"/>
        <v>111.59920586185191</v>
      </c>
      <c r="AN17" s="132">
        <f t="shared" si="0"/>
        <v>112.45561816763576</v>
      </c>
      <c r="AO17" s="132">
        <f t="shared" si="0"/>
        <v>113.3186025814542</v>
      </c>
      <c r="AP17" s="132">
        <f t="shared" si="0"/>
        <v>114.18820953766428</v>
      </c>
      <c r="AQ17" s="132">
        <f t="shared" si="0"/>
        <v>115.06448985765631</v>
      </c>
      <c r="AR17" s="133">
        <v>7.6740000000000003E-3</v>
      </c>
    </row>
    <row r="18" spans="1:44" ht="15" customHeight="1">
      <c r="A18" s="4" t="s">
        <v>28</v>
      </c>
      <c r="B18" s="131" t="s">
        <v>29</v>
      </c>
      <c r="C18" s="132">
        <v>31.968703999999999</v>
      </c>
      <c r="D18" s="132">
        <v>32.227837000000001</v>
      </c>
      <c r="E18" s="132">
        <v>32.484608000000001</v>
      </c>
      <c r="F18" s="132">
        <v>32.738888000000003</v>
      </c>
      <c r="G18" s="132">
        <v>33.007179000000001</v>
      </c>
      <c r="H18" s="132">
        <v>33.292563999999999</v>
      </c>
      <c r="I18" s="132">
        <v>33.572524999999999</v>
      </c>
      <c r="J18" s="132">
        <v>33.830120000000001</v>
      </c>
      <c r="K18" s="132">
        <v>34.072906000000003</v>
      </c>
      <c r="L18" s="132">
        <v>34.306412000000002</v>
      </c>
      <c r="M18" s="132">
        <v>34.532425000000003</v>
      </c>
      <c r="N18" s="132">
        <v>34.747349</v>
      </c>
      <c r="O18" s="132">
        <v>34.956161000000002</v>
      </c>
      <c r="P18" s="132">
        <v>35.154221</v>
      </c>
      <c r="Q18" s="132">
        <v>35.343120999999996</v>
      </c>
      <c r="R18" s="132">
        <v>35.533417</v>
      </c>
      <c r="S18" s="132">
        <v>35.720860000000002</v>
      </c>
      <c r="T18" s="132">
        <v>35.907597000000003</v>
      </c>
      <c r="U18" s="132">
        <v>36.095905000000002</v>
      </c>
      <c r="V18" s="132">
        <v>36.288265000000003</v>
      </c>
      <c r="W18" s="132">
        <v>36.482737999999998</v>
      </c>
      <c r="X18" s="132">
        <v>36.677245999999997</v>
      </c>
      <c r="Y18" s="132">
        <v>36.872318</v>
      </c>
      <c r="Z18" s="132">
        <v>37.067024000000004</v>
      </c>
      <c r="AA18" s="132">
        <v>37.256568999999999</v>
      </c>
      <c r="AB18" s="132">
        <v>37.445788999999998</v>
      </c>
      <c r="AC18" s="132">
        <v>37.632339000000002</v>
      </c>
      <c r="AD18" s="132">
        <v>37.817363999999998</v>
      </c>
      <c r="AE18" s="132">
        <v>38.004612000000002</v>
      </c>
      <c r="AF18" s="132">
        <v>38.195267000000001</v>
      </c>
      <c r="AG18" s="132">
        <v>38.390739000000004</v>
      </c>
      <c r="AH18" s="132">
        <f t="shared" ref="AH18:AQ82" si="1">AG18*(1+$AR18)</f>
        <v>38.625728713419008</v>
      </c>
      <c r="AI18" s="132">
        <f t="shared" si="0"/>
        <v>38.862156798873848</v>
      </c>
      <c r="AJ18" s="132">
        <f t="shared" si="0"/>
        <v>39.100032060639755</v>
      </c>
      <c r="AK18" s="132">
        <f t="shared" si="0"/>
        <v>39.339363356882934</v>
      </c>
      <c r="AL18" s="132">
        <f t="shared" si="0"/>
        <v>39.580159599990417</v>
      </c>
      <c r="AM18" s="132">
        <f t="shared" si="0"/>
        <v>39.822429756901961</v>
      </c>
      <c r="AN18" s="132">
        <f t="shared" si="0"/>
        <v>40.066182849443962</v>
      </c>
      <c r="AO18" s="132">
        <f t="shared" si="0"/>
        <v>40.311427954665412</v>
      </c>
      <c r="AP18" s="132">
        <f t="shared" si="0"/>
        <v>40.558174205175924</v>
      </c>
      <c r="AQ18" s="132">
        <f t="shared" si="0"/>
        <v>40.806430789485809</v>
      </c>
      <c r="AR18" s="133">
        <v>6.1209999999999997E-3</v>
      </c>
    </row>
    <row r="19" spans="1:44" ht="15" customHeight="1">
      <c r="A19" s="4" t="s">
        <v>30</v>
      </c>
      <c r="B19" s="131" t="s">
        <v>31</v>
      </c>
      <c r="C19" s="132">
        <v>6.6634640000000003</v>
      </c>
      <c r="D19" s="132">
        <v>6.648326</v>
      </c>
      <c r="E19" s="132">
        <v>6.6349809999999998</v>
      </c>
      <c r="F19" s="132">
        <v>6.6270980000000002</v>
      </c>
      <c r="G19" s="132">
        <v>6.6301110000000003</v>
      </c>
      <c r="H19" s="132">
        <v>6.6438389999999998</v>
      </c>
      <c r="I19" s="132">
        <v>6.6647319999999999</v>
      </c>
      <c r="J19" s="132">
        <v>6.6755149999999999</v>
      </c>
      <c r="K19" s="132">
        <v>6.6752149999999997</v>
      </c>
      <c r="L19" s="132">
        <v>6.6643829999999999</v>
      </c>
      <c r="M19" s="132">
        <v>6.6437489999999997</v>
      </c>
      <c r="N19" s="132">
        <v>6.6163879999999997</v>
      </c>
      <c r="O19" s="132">
        <v>6.5872099999999998</v>
      </c>
      <c r="P19" s="132">
        <v>6.5578779999999997</v>
      </c>
      <c r="Q19" s="132">
        <v>6.5291990000000002</v>
      </c>
      <c r="R19" s="132">
        <v>6.5056529999999997</v>
      </c>
      <c r="S19" s="132">
        <v>6.4859489999999997</v>
      </c>
      <c r="T19" s="132">
        <v>6.4669280000000002</v>
      </c>
      <c r="U19" s="132">
        <v>6.4478850000000003</v>
      </c>
      <c r="V19" s="132">
        <v>6.4311499999999997</v>
      </c>
      <c r="W19" s="132">
        <v>6.4196759999999999</v>
      </c>
      <c r="X19" s="132">
        <v>6.4115140000000004</v>
      </c>
      <c r="Y19" s="132">
        <v>6.4053599999999999</v>
      </c>
      <c r="Z19" s="132">
        <v>6.4005179999999999</v>
      </c>
      <c r="AA19" s="132">
        <v>6.3960670000000004</v>
      </c>
      <c r="AB19" s="132">
        <v>6.3921130000000002</v>
      </c>
      <c r="AC19" s="132">
        <v>6.3880730000000003</v>
      </c>
      <c r="AD19" s="132">
        <v>6.3811840000000002</v>
      </c>
      <c r="AE19" s="132">
        <v>6.3724800000000004</v>
      </c>
      <c r="AF19" s="132">
        <v>6.3639049999999999</v>
      </c>
      <c r="AG19" s="132">
        <v>6.3539099999999999</v>
      </c>
      <c r="AH19" s="132">
        <f t="shared" si="1"/>
        <v>6.3438454065599998</v>
      </c>
      <c r="AI19" s="132">
        <f t="shared" si="0"/>
        <v>6.3337967554360084</v>
      </c>
      <c r="AJ19" s="132">
        <f t="shared" si="0"/>
        <v>6.3237640213753972</v>
      </c>
      <c r="AK19" s="132">
        <f t="shared" si="0"/>
        <v>6.3137471791655386</v>
      </c>
      <c r="AL19" s="132">
        <f t="shared" si="0"/>
        <v>6.3037462036337404</v>
      </c>
      <c r="AM19" s="132">
        <f t="shared" si="0"/>
        <v>6.293761069647184</v>
      </c>
      <c r="AN19" s="132">
        <f t="shared" si="0"/>
        <v>6.2837917521128626</v>
      </c>
      <c r="AO19" s="132">
        <f t="shared" si="0"/>
        <v>6.2738382259775154</v>
      </c>
      <c r="AP19" s="132">
        <f t="shared" si="0"/>
        <v>6.2639004662275672</v>
      </c>
      <c r="AQ19" s="132">
        <f t="shared" si="0"/>
        <v>6.2539784478890628</v>
      </c>
      <c r="AR19" s="133">
        <v>-1.5839999999999999E-3</v>
      </c>
    </row>
    <row r="20" spans="1:44" ht="15" customHeight="1">
      <c r="A20" s="4" t="s">
        <v>32</v>
      </c>
      <c r="B20" s="130" t="s">
        <v>33</v>
      </c>
      <c r="C20" s="134">
        <v>123.382614</v>
      </c>
      <c r="D20" s="134">
        <v>124.46981</v>
      </c>
      <c r="E20" s="134">
        <v>125.55894499999999</v>
      </c>
      <c r="F20" s="134">
        <v>126.639458</v>
      </c>
      <c r="G20" s="134">
        <v>127.74957999999999</v>
      </c>
      <c r="H20" s="134">
        <v>128.92086800000001</v>
      </c>
      <c r="I20" s="134">
        <v>130.093536</v>
      </c>
      <c r="J20" s="134">
        <v>131.20590200000001</v>
      </c>
      <c r="K20" s="134">
        <v>132.26478599999999</v>
      </c>
      <c r="L20" s="134">
        <v>133.285934</v>
      </c>
      <c r="M20" s="134">
        <v>134.26945499999999</v>
      </c>
      <c r="N20" s="134">
        <v>135.211243</v>
      </c>
      <c r="O20" s="134">
        <v>136.13215600000001</v>
      </c>
      <c r="P20" s="134">
        <v>137.022797</v>
      </c>
      <c r="Q20" s="134">
        <v>137.87875399999999</v>
      </c>
      <c r="R20" s="134">
        <v>138.736908</v>
      </c>
      <c r="S20" s="134">
        <v>139.584473</v>
      </c>
      <c r="T20" s="134">
        <v>140.421661</v>
      </c>
      <c r="U20" s="134">
        <v>141.25212099999999</v>
      </c>
      <c r="V20" s="134">
        <v>142.07946799999999</v>
      </c>
      <c r="W20" s="134">
        <v>142.91799900000001</v>
      </c>
      <c r="X20" s="134">
        <v>143.759186</v>
      </c>
      <c r="Y20" s="134">
        <v>144.59901400000001</v>
      </c>
      <c r="Z20" s="134">
        <v>145.44155900000001</v>
      </c>
      <c r="AA20" s="134">
        <v>146.28465299999999</v>
      </c>
      <c r="AB20" s="134">
        <v>147.130798</v>
      </c>
      <c r="AC20" s="134">
        <v>147.979446</v>
      </c>
      <c r="AD20" s="134">
        <v>148.81991600000001</v>
      </c>
      <c r="AE20" s="134">
        <v>149.65618900000001</v>
      </c>
      <c r="AF20" s="134">
        <v>150.496216</v>
      </c>
      <c r="AG20" s="134">
        <v>151.340622</v>
      </c>
      <c r="AH20" s="132">
        <f>AG20*(1+$AR20)</f>
        <v>152.374429788882</v>
      </c>
      <c r="AI20" s="132">
        <f t="shared" ref="AI20:AQ20" si="2">AH20*(1+$AR20)</f>
        <v>153.41529951876984</v>
      </c>
      <c r="AJ20" s="132">
        <f t="shared" si="2"/>
        <v>154.46327942978257</v>
      </c>
      <c r="AK20" s="132">
        <f t="shared" si="2"/>
        <v>155.51841809156741</v>
      </c>
      <c r="AL20" s="132">
        <f t="shared" si="2"/>
        <v>156.58076440555092</v>
      </c>
      <c r="AM20" s="132">
        <f t="shared" si="2"/>
        <v>157.65036760720525</v>
      </c>
      <c r="AN20" s="132">
        <f t="shared" si="2"/>
        <v>158.72727726833008</v>
      </c>
      <c r="AO20" s="132">
        <f t="shared" si="2"/>
        <v>159.81154329935006</v>
      </c>
      <c r="AP20" s="132">
        <f t="shared" si="2"/>
        <v>160.90321595162794</v>
      </c>
      <c r="AQ20" s="132">
        <f t="shared" si="2"/>
        <v>162.0023458197935</v>
      </c>
      <c r="AR20" s="135">
        <v>6.8310000000000003E-3</v>
      </c>
    </row>
    <row r="21" spans="1:44">
      <c r="AH21" s="132"/>
    </row>
    <row r="22" spans="1:44" ht="15" customHeight="1">
      <c r="A22" s="4" t="s">
        <v>34</v>
      </c>
      <c r="B22" s="130" t="s">
        <v>35</v>
      </c>
      <c r="C22" s="136">
        <v>1789.3104249999999</v>
      </c>
      <c r="D22" s="136">
        <v>1795.3580320000001</v>
      </c>
      <c r="E22" s="136">
        <v>1801.376587</v>
      </c>
      <c r="F22" s="136">
        <v>1807.3267820000001</v>
      </c>
      <c r="G22" s="136">
        <v>1813.0863039999999</v>
      </c>
      <c r="H22" s="136">
        <v>1818.685669</v>
      </c>
      <c r="I22" s="136">
        <v>1824.2563479999999</v>
      </c>
      <c r="J22" s="136">
        <v>1829.960327</v>
      </c>
      <c r="K22" s="136">
        <v>1835.7445070000001</v>
      </c>
      <c r="L22" s="136">
        <v>1841.5789789999999</v>
      </c>
      <c r="M22" s="136">
        <v>1847.446533</v>
      </c>
      <c r="N22" s="136">
        <v>1853.3516850000001</v>
      </c>
      <c r="O22" s="136">
        <v>1859.25647</v>
      </c>
      <c r="P22" s="136">
        <v>1865.1762699999999</v>
      </c>
      <c r="Q22" s="136">
        <v>1871.079712</v>
      </c>
      <c r="R22" s="136">
        <v>1876.9129640000001</v>
      </c>
      <c r="S22" s="136">
        <v>1882.700928</v>
      </c>
      <c r="T22" s="136">
        <v>1888.442871</v>
      </c>
      <c r="U22" s="136">
        <v>1894.134033</v>
      </c>
      <c r="V22" s="136">
        <v>1899.7410890000001</v>
      </c>
      <c r="W22" s="136">
        <v>1905.2928469999999</v>
      </c>
      <c r="X22" s="136">
        <v>1910.8061520000001</v>
      </c>
      <c r="Y22" s="136">
        <v>1916.274048</v>
      </c>
      <c r="Z22" s="136">
        <v>1921.723389</v>
      </c>
      <c r="AA22" s="136">
        <v>1927.200317</v>
      </c>
      <c r="AB22" s="136">
        <v>1932.6645510000001</v>
      </c>
      <c r="AC22" s="136">
        <v>1938.1435550000001</v>
      </c>
      <c r="AD22" s="136">
        <v>1943.619751</v>
      </c>
      <c r="AE22" s="136">
        <v>1949.05835</v>
      </c>
      <c r="AF22" s="136">
        <v>1954.455811</v>
      </c>
      <c r="AG22" s="136">
        <v>1959.8107910000001</v>
      </c>
      <c r="AH22" s="132">
        <f t="shared" si="1"/>
        <v>1965.7666559938491</v>
      </c>
      <c r="AI22" s="132">
        <f t="shared" si="1"/>
        <v>1971.7406208614145</v>
      </c>
      <c r="AJ22" s="132">
        <f t="shared" si="1"/>
        <v>1977.7327406082125</v>
      </c>
      <c r="AK22" s="132">
        <f t="shared" si="1"/>
        <v>1983.7430704069209</v>
      </c>
      <c r="AL22" s="132">
        <f t="shared" si="1"/>
        <v>1989.7716655978875</v>
      </c>
      <c r="AM22" s="132">
        <f t="shared" si="1"/>
        <v>1995.8185816896396</v>
      </c>
      <c r="AN22" s="132">
        <f t="shared" si="1"/>
        <v>2001.8838743593944</v>
      </c>
      <c r="AO22" s="132">
        <f t="shared" si="1"/>
        <v>2007.9675994535726</v>
      </c>
      <c r="AP22" s="132">
        <f t="shared" si="1"/>
        <v>2014.0698129883119</v>
      </c>
      <c r="AQ22" s="132">
        <f t="shared" si="1"/>
        <v>2020.1905711499835</v>
      </c>
      <c r="AR22" s="135">
        <v>3.039E-3</v>
      </c>
    </row>
    <row r="23" spans="1:44"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</row>
    <row r="24" spans="1:44" ht="15" customHeight="1">
      <c r="B24" s="130" t="s">
        <v>36</v>
      </c>
      <c r="AD24" s="168"/>
      <c r="AE24" s="168"/>
      <c r="AF24" s="168"/>
      <c r="AG24" s="168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</row>
    <row r="25" spans="1:44" ht="15" customHeight="1">
      <c r="B25" s="130" t="s">
        <v>37</v>
      </c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</row>
    <row r="26" spans="1:44" ht="15" customHeight="1">
      <c r="A26" s="4" t="s">
        <v>38</v>
      </c>
      <c r="B26" s="131" t="s">
        <v>338</v>
      </c>
      <c r="C26" s="137">
        <v>92.738051999999996</v>
      </c>
      <c r="D26" s="137">
        <v>91.586494000000002</v>
      </c>
      <c r="E26" s="137">
        <v>91.932486999999995</v>
      </c>
      <c r="F26" s="137">
        <v>91.318259999999995</v>
      </c>
      <c r="G26" s="137">
        <v>90.823273</v>
      </c>
      <c r="H26" s="137">
        <v>90.223350999999994</v>
      </c>
      <c r="I26" s="137">
        <v>89.613349999999997</v>
      </c>
      <c r="J26" s="137">
        <v>88.99015</v>
      </c>
      <c r="K26" s="137">
        <v>88.429419999999993</v>
      </c>
      <c r="L26" s="137">
        <v>87.893828999999997</v>
      </c>
      <c r="M26" s="137">
        <v>87.318877999999998</v>
      </c>
      <c r="N26" s="137">
        <v>86.789642000000001</v>
      </c>
      <c r="O26" s="137">
        <v>86.329741999999996</v>
      </c>
      <c r="P26" s="137">
        <v>85.926925999999995</v>
      </c>
      <c r="Q26" s="137">
        <v>85.607529</v>
      </c>
      <c r="R26" s="137">
        <v>85.342170999999993</v>
      </c>
      <c r="S26" s="137">
        <v>85.099845999999999</v>
      </c>
      <c r="T26" s="137">
        <v>84.882080000000002</v>
      </c>
      <c r="U26" s="137">
        <v>84.683700999999999</v>
      </c>
      <c r="V26" s="137">
        <v>84.499213999999995</v>
      </c>
      <c r="W26" s="137">
        <v>84.319466000000006</v>
      </c>
      <c r="X26" s="137">
        <v>84.135581999999999</v>
      </c>
      <c r="Y26" s="137">
        <v>83.962128000000007</v>
      </c>
      <c r="Z26" s="137">
        <v>83.800156000000001</v>
      </c>
      <c r="AA26" s="137">
        <v>83.656654000000003</v>
      </c>
      <c r="AB26" s="137">
        <v>83.525161999999995</v>
      </c>
      <c r="AC26" s="137">
        <v>83.412841999999998</v>
      </c>
      <c r="AD26" s="137">
        <v>83.307243</v>
      </c>
      <c r="AE26" s="137">
        <v>83.243790000000004</v>
      </c>
      <c r="AF26" s="137">
        <v>83.194534000000004</v>
      </c>
      <c r="AG26" s="137">
        <v>83.153289999999998</v>
      </c>
      <c r="AH26" s="132">
        <f t="shared" si="1"/>
        <v>82.851443557300001</v>
      </c>
      <c r="AI26" s="132">
        <f t="shared" si="1"/>
        <v>82.550692817186999</v>
      </c>
      <c r="AJ26" s="132">
        <f t="shared" si="1"/>
        <v>82.251033802260608</v>
      </c>
      <c r="AK26" s="132">
        <f t="shared" si="1"/>
        <v>81.952462549558405</v>
      </c>
      <c r="AL26" s="132">
        <f t="shared" si="1"/>
        <v>81.6549751105035</v>
      </c>
      <c r="AM26" s="132">
        <f t="shared" si="1"/>
        <v>81.358567550852371</v>
      </c>
      <c r="AN26" s="132">
        <f t="shared" si="1"/>
        <v>81.063235950642778</v>
      </c>
      <c r="AO26" s="132">
        <f t="shared" si="1"/>
        <v>80.768976404141938</v>
      </c>
      <c r="AP26" s="132">
        <f t="shared" si="1"/>
        <v>80.475785019794898</v>
      </c>
      <c r="AQ26" s="132">
        <f t="shared" si="1"/>
        <v>80.183657920173047</v>
      </c>
      <c r="AR26" s="133">
        <v>-3.63E-3</v>
      </c>
    </row>
    <row r="27" spans="1:44" ht="15" customHeight="1">
      <c r="A27" s="4" t="s">
        <v>39</v>
      </c>
      <c r="B27" s="131" t="s">
        <v>339</v>
      </c>
      <c r="C27" s="137">
        <v>92.104782</v>
      </c>
      <c r="D27" s="137">
        <v>90.867767000000001</v>
      </c>
      <c r="E27" s="137">
        <v>91.143921000000006</v>
      </c>
      <c r="F27" s="137">
        <v>90.463226000000006</v>
      </c>
      <c r="G27" s="137">
        <v>89.904442000000003</v>
      </c>
      <c r="H27" s="137">
        <v>89.241905000000003</v>
      </c>
      <c r="I27" s="137">
        <v>88.568969999999993</v>
      </c>
      <c r="J27" s="137">
        <v>87.883223999999998</v>
      </c>
      <c r="K27" s="137">
        <v>87.260002</v>
      </c>
      <c r="L27" s="137">
        <v>86.662102000000004</v>
      </c>
      <c r="M27" s="137">
        <v>86.023964000000007</v>
      </c>
      <c r="N27" s="137">
        <v>85.430344000000005</v>
      </c>
      <c r="O27" s="137">
        <v>84.905265999999997</v>
      </c>
      <c r="P27" s="137">
        <v>84.436522999999994</v>
      </c>
      <c r="Q27" s="137">
        <v>84.050179</v>
      </c>
      <c r="R27" s="137">
        <v>83.717567000000003</v>
      </c>
      <c r="S27" s="137">
        <v>83.407295000000005</v>
      </c>
      <c r="T27" s="137">
        <v>83.12088</v>
      </c>
      <c r="U27" s="137">
        <v>82.852920999999995</v>
      </c>
      <c r="V27" s="137">
        <v>82.598061000000001</v>
      </c>
      <c r="W27" s="137">
        <v>82.347037999999998</v>
      </c>
      <c r="X27" s="137">
        <v>82.090896999999998</v>
      </c>
      <c r="Y27" s="137">
        <v>81.843886999999995</v>
      </c>
      <c r="Z27" s="137">
        <v>81.606949</v>
      </c>
      <c r="AA27" s="137">
        <v>81.386993000000004</v>
      </c>
      <c r="AB27" s="137">
        <v>81.177184999999994</v>
      </c>
      <c r="AC27" s="137">
        <v>80.985129999999998</v>
      </c>
      <c r="AD27" s="137">
        <v>80.798255999999995</v>
      </c>
      <c r="AE27" s="137">
        <v>80.651488999999998</v>
      </c>
      <c r="AF27" s="137">
        <v>80.517357000000004</v>
      </c>
      <c r="AG27" s="137">
        <v>80.389617999999999</v>
      </c>
      <c r="AH27" s="132">
        <f t="shared" si="1"/>
        <v>80.025935368168007</v>
      </c>
      <c r="AI27" s="132">
        <f t="shared" si="1"/>
        <v>79.663898036562415</v>
      </c>
      <c r="AJ27" s="132">
        <f t="shared" si="1"/>
        <v>79.303498561845004</v>
      </c>
      <c r="AK27" s="132">
        <f t="shared" si="1"/>
        <v>78.944729534351225</v>
      </c>
      <c r="AL27" s="132">
        <f t="shared" si="1"/>
        <v>78.587583577937821</v>
      </c>
      <c r="AM27" s="132">
        <f t="shared" si="1"/>
        <v>78.232053349831233</v>
      </c>
      <c r="AN27" s="132">
        <f t="shared" si="1"/>
        <v>77.878131540476602</v>
      </c>
      <c r="AO27" s="132">
        <f t="shared" si="1"/>
        <v>77.525810873387485</v>
      </c>
      <c r="AP27" s="132">
        <f t="shared" si="1"/>
        <v>77.175084104996287</v>
      </c>
      <c r="AQ27" s="132">
        <f t="shared" si="1"/>
        <v>76.82594402450529</v>
      </c>
      <c r="AR27" s="133">
        <v>-4.5240000000000002E-3</v>
      </c>
    </row>
    <row r="28" spans="1:44" ht="15" customHeight="1">
      <c r="B28" s="130" t="s">
        <v>40</v>
      </c>
      <c r="AH28" s="132">
        <f t="shared" si="1"/>
        <v>0</v>
      </c>
      <c r="AI28" s="132">
        <f t="shared" si="1"/>
        <v>0</v>
      </c>
      <c r="AJ28" s="132">
        <f t="shared" si="1"/>
        <v>0</v>
      </c>
      <c r="AK28" s="132">
        <f t="shared" si="1"/>
        <v>0</v>
      </c>
      <c r="AL28" s="132">
        <f t="shared" si="1"/>
        <v>0</v>
      </c>
      <c r="AM28" s="132">
        <f t="shared" si="1"/>
        <v>0</v>
      </c>
      <c r="AN28" s="132">
        <f t="shared" si="1"/>
        <v>0</v>
      </c>
      <c r="AO28" s="132">
        <f t="shared" si="1"/>
        <v>0</v>
      </c>
      <c r="AP28" s="132">
        <f t="shared" si="1"/>
        <v>0</v>
      </c>
      <c r="AQ28" s="132">
        <f t="shared" si="1"/>
        <v>0</v>
      </c>
    </row>
    <row r="29" spans="1:44" ht="15" customHeight="1">
      <c r="A29" s="4" t="s">
        <v>41</v>
      </c>
      <c r="B29" s="131" t="s">
        <v>338</v>
      </c>
      <c r="C29" s="137">
        <v>51.828938000000001</v>
      </c>
      <c r="D29" s="137">
        <v>51.012939000000003</v>
      </c>
      <c r="E29" s="137">
        <v>51.034573000000002</v>
      </c>
      <c r="F29" s="137">
        <v>50.526699000000001</v>
      </c>
      <c r="G29" s="137">
        <v>50.093189000000002</v>
      </c>
      <c r="H29" s="137">
        <v>49.609096999999998</v>
      </c>
      <c r="I29" s="137">
        <v>49.123221999999998</v>
      </c>
      <c r="J29" s="137">
        <v>48.629550999999999</v>
      </c>
      <c r="K29" s="137">
        <v>48.170876</v>
      </c>
      <c r="L29" s="137">
        <v>47.727428000000003</v>
      </c>
      <c r="M29" s="137">
        <v>47.264633000000003</v>
      </c>
      <c r="N29" s="137">
        <v>46.828479999999999</v>
      </c>
      <c r="O29" s="137">
        <v>46.432403999999998</v>
      </c>
      <c r="P29" s="137">
        <v>46.069065000000002</v>
      </c>
      <c r="Q29" s="137">
        <v>45.753010000000003</v>
      </c>
      <c r="R29" s="137">
        <v>45.469433000000002</v>
      </c>
      <c r="S29" s="137">
        <v>45.200935000000001</v>
      </c>
      <c r="T29" s="137">
        <v>44.948185000000002</v>
      </c>
      <c r="U29" s="137">
        <v>44.708401000000002</v>
      </c>
      <c r="V29" s="137">
        <v>44.479331999999999</v>
      </c>
      <c r="W29" s="137">
        <v>44.255383000000002</v>
      </c>
      <c r="X29" s="137">
        <v>44.031460000000003</v>
      </c>
      <c r="Y29" s="137">
        <v>43.815303999999998</v>
      </c>
      <c r="Z29" s="137">
        <v>43.606772999999997</v>
      </c>
      <c r="AA29" s="137">
        <v>43.408386</v>
      </c>
      <c r="AB29" s="137">
        <v>43.217616999999997</v>
      </c>
      <c r="AC29" s="137">
        <v>43.037495</v>
      </c>
      <c r="AD29" s="137">
        <v>42.861904000000003</v>
      </c>
      <c r="AE29" s="137">
        <v>42.709747</v>
      </c>
      <c r="AF29" s="137">
        <v>42.566597000000002</v>
      </c>
      <c r="AG29" s="137">
        <v>42.429240999999998</v>
      </c>
      <c r="AH29" s="132">
        <f t="shared" si="1"/>
        <v>42.147171405831998</v>
      </c>
      <c r="AI29" s="132">
        <f t="shared" si="1"/>
        <v>41.866977010326025</v>
      </c>
      <c r="AJ29" s="132">
        <f t="shared" si="1"/>
        <v>41.588645347161375</v>
      </c>
      <c r="AK29" s="132">
        <f t="shared" si="1"/>
        <v>41.312164032893449</v>
      </c>
      <c r="AL29" s="132">
        <f t="shared" si="1"/>
        <v>41.037520766402771</v>
      </c>
      <c r="AM29" s="132">
        <f t="shared" si="1"/>
        <v>40.764703328347728</v>
      </c>
      <c r="AN29" s="132">
        <f t="shared" si="1"/>
        <v>40.49369958062087</v>
      </c>
      <c r="AO29" s="132">
        <f t="shared" si="1"/>
        <v>40.224497465808902</v>
      </c>
      <c r="AP29" s="132">
        <f t="shared" si="1"/>
        <v>39.957085006656207</v>
      </c>
      <c r="AQ29" s="132">
        <f t="shared" si="1"/>
        <v>39.691450305531959</v>
      </c>
      <c r="AR29" s="133">
        <v>-6.6480000000000003E-3</v>
      </c>
    </row>
    <row r="30" spans="1:44" ht="15" customHeight="1">
      <c r="A30" s="4" t="s">
        <v>42</v>
      </c>
      <c r="B30" s="131" t="s">
        <v>339</v>
      </c>
      <c r="C30" s="137">
        <v>51.475014000000002</v>
      </c>
      <c r="D30" s="137">
        <v>50.612617</v>
      </c>
      <c r="E30" s="137">
        <v>50.596817000000001</v>
      </c>
      <c r="F30" s="137">
        <v>50.053607999999997</v>
      </c>
      <c r="G30" s="137">
        <v>49.586410999999998</v>
      </c>
      <c r="H30" s="137">
        <v>49.069450000000003</v>
      </c>
      <c r="I30" s="137">
        <v>48.550724000000002</v>
      </c>
      <c r="J30" s="137">
        <v>48.024661999999999</v>
      </c>
      <c r="K30" s="137">
        <v>47.533847999999999</v>
      </c>
      <c r="L30" s="137">
        <v>47.058585999999998</v>
      </c>
      <c r="M30" s="137">
        <v>46.563709000000003</v>
      </c>
      <c r="N30" s="137">
        <v>46.095050999999998</v>
      </c>
      <c r="O30" s="137">
        <v>45.666248000000003</v>
      </c>
      <c r="P30" s="137">
        <v>45.269996999999996</v>
      </c>
      <c r="Q30" s="137">
        <v>44.920684999999999</v>
      </c>
      <c r="R30" s="137">
        <v>44.603862999999997</v>
      </c>
      <c r="S30" s="137">
        <v>44.301932999999998</v>
      </c>
      <c r="T30" s="137">
        <v>44.015563999999998</v>
      </c>
      <c r="U30" s="137">
        <v>43.741847999999997</v>
      </c>
      <c r="V30" s="137">
        <v>43.478588000000002</v>
      </c>
      <c r="W30" s="137">
        <v>43.220146</v>
      </c>
      <c r="X30" s="137">
        <v>42.961390999999999</v>
      </c>
      <c r="Y30" s="137">
        <v>42.709907999999999</v>
      </c>
      <c r="Z30" s="137">
        <v>42.465499999999999</v>
      </c>
      <c r="AA30" s="137">
        <v>42.230685999999999</v>
      </c>
      <c r="AB30" s="137">
        <v>42.002730999999997</v>
      </c>
      <c r="AC30" s="137">
        <v>41.784897000000001</v>
      </c>
      <c r="AD30" s="137">
        <v>41.571021999999999</v>
      </c>
      <c r="AE30" s="137">
        <v>41.379719000000001</v>
      </c>
      <c r="AF30" s="137">
        <v>41.196815000000001</v>
      </c>
      <c r="AG30" s="137">
        <v>41.019069999999999</v>
      </c>
      <c r="AH30" s="132">
        <f t="shared" si="1"/>
        <v>40.709786212200001</v>
      </c>
      <c r="AI30" s="132">
        <f t="shared" si="1"/>
        <v>40.402834424160012</v>
      </c>
      <c r="AJ30" s="132">
        <f t="shared" si="1"/>
        <v>40.098197052601847</v>
      </c>
      <c r="AK30" s="132">
        <f t="shared" si="1"/>
        <v>39.795856646825229</v>
      </c>
      <c r="AL30" s="132">
        <f t="shared" si="1"/>
        <v>39.495795887708169</v>
      </c>
      <c r="AM30" s="132">
        <f t="shared" si="1"/>
        <v>39.197997586714848</v>
      </c>
      <c r="AN30" s="132">
        <f t="shared" si="1"/>
        <v>38.902444684911018</v>
      </c>
      <c r="AO30" s="132">
        <f t="shared" si="1"/>
        <v>38.609120251986788</v>
      </c>
      <c r="AP30" s="132">
        <f t="shared" si="1"/>
        <v>38.318007485286806</v>
      </c>
      <c r="AQ30" s="132">
        <f t="shared" si="1"/>
        <v>38.029089708847742</v>
      </c>
      <c r="AR30" s="133">
        <v>-7.5399999999999998E-3</v>
      </c>
    </row>
    <row r="31" spans="1:44"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</row>
    <row r="32" spans="1:44">
      <c r="B32" s="130" t="s">
        <v>340</v>
      </c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</row>
    <row r="33" spans="1:44">
      <c r="B33" s="130" t="s">
        <v>341</v>
      </c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</row>
    <row r="34" spans="1:44">
      <c r="A34" s="4" t="s">
        <v>43</v>
      </c>
      <c r="B34" s="131" t="s">
        <v>44</v>
      </c>
      <c r="C34" s="132">
        <v>0.64898400000000001</v>
      </c>
      <c r="D34" s="132">
        <v>0.698291</v>
      </c>
      <c r="E34" s="132">
        <v>0.70646799999999998</v>
      </c>
      <c r="F34" s="132">
        <v>0.70282699999999998</v>
      </c>
      <c r="G34" s="132">
        <v>0.70100700000000005</v>
      </c>
      <c r="H34" s="132">
        <v>0.69955000000000001</v>
      </c>
      <c r="I34" s="132">
        <v>0.69717200000000001</v>
      </c>
      <c r="J34" s="132">
        <v>0.69381800000000005</v>
      </c>
      <c r="K34" s="132">
        <v>0.69023100000000004</v>
      </c>
      <c r="L34" s="132">
        <v>0.68633999999999995</v>
      </c>
      <c r="M34" s="132">
        <v>0.68220999999999998</v>
      </c>
      <c r="N34" s="132">
        <v>0.677813</v>
      </c>
      <c r="O34" s="132">
        <v>0.67333100000000001</v>
      </c>
      <c r="P34" s="132">
        <v>0.66909799999999997</v>
      </c>
      <c r="Q34" s="132">
        <v>0.66502499999999998</v>
      </c>
      <c r="R34" s="132">
        <v>0.66157299999999997</v>
      </c>
      <c r="S34" s="132">
        <v>0.65805199999999997</v>
      </c>
      <c r="T34" s="132">
        <v>0.65450399999999997</v>
      </c>
      <c r="U34" s="132">
        <v>0.65083400000000002</v>
      </c>
      <c r="V34" s="132">
        <v>0.64706300000000005</v>
      </c>
      <c r="W34" s="132">
        <v>0.64349699999999999</v>
      </c>
      <c r="X34" s="132">
        <v>0.63974600000000004</v>
      </c>
      <c r="Y34" s="132">
        <v>0.635992</v>
      </c>
      <c r="Z34" s="132">
        <v>0.63249</v>
      </c>
      <c r="AA34" s="132">
        <v>0.62895299999999998</v>
      </c>
      <c r="AB34" s="132">
        <v>0.62526700000000002</v>
      </c>
      <c r="AC34" s="132">
        <v>0.62189499999999998</v>
      </c>
      <c r="AD34" s="132">
        <v>0.618506</v>
      </c>
      <c r="AE34" s="132">
        <v>0.61529800000000001</v>
      </c>
      <c r="AF34" s="132">
        <v>0.61255000000000004</v>
      </c>
      <c r="AG34" s="132">
        <v>0.60998300000000005</v>
      </c>
      <c r="AH34" s="132">
        <f t="shared" si="1"/>
        <v>0.60872399508800012</v>
      </c>
      <c r="AI34" s="132">
        <f t="shared" si="1"/>
        <v>0.60746758876213847</v>
      </c>
      <c r="AJ34" s="132">
        <f t="shared" si="1"/>
        <v>0.60621377565893342</v>
      </c>
      <c r="AK34" s="132">
        <f t="shared" si="1"/>
        <v>0.60496255042597336</v>
      </c>
      <c r="AL34" s="132">
        <f t="shared" si="1"/>
        <v>0.60371390772189415</v>
      </c>
      <c r="AM34" s="132">
        <f t="shared" si="1"/>
        <v>0.60246784221635619</v>
      </c>
      <c r="AN34" s="132">
        <f t="shared" si="1"/>
        <v>0.60122434859002161</v>
      </c>
      <c r="AO34" s="132">
        <f t="shared" si="1"/>
        <v>0.59998342153453188</v>
      </c>
      <c r="AP34" s="132">
        <f t="shared" si="1"/>
        <v>0.5987450557524846</v>
      </c>
      <c r="AQ34" s="132">
        <f t="shared" si="1"/>
        <v>0.59750924595741151</v>
      </c>
      <c r="AR34" s="133">
        <v>-2.0639999999999999E-3</v>
      </c>
    </row>
    <row r="35" spans="1:44">
      <c r="A35" s="4" t="s">
        <v>45</v>
      </c>
      <c r="B35" s="131" t="s">
        <v>46</v>
      </c>
      <c r="C35" s="132">
        <v>0.80538299999999996</v>
      </c>
      <c r="D35" s="132">
        <v>0.76629999999999998</v>
      </c>
      <c r="E35" s="132">
        <v>0.862066</v>
      </c>
      <c r="F35" s="132">
        <v>0.87731000000000003</v>
      </c>
      <c r="G35" s="132">
        <v>0.89366500000000004</v>
      </c>
      <c r="H35" s="132">
        <v>0.91085099999999997</v>
      </c>
      <c r="I35" s="132">
        <v>0.92764500000000005</v>
      </c>
      <c r="J35" s="132">
        <v>0.94383300000000003</v>
      </c>
      <c r="K35" s="132">
        <v>0.95990799999999998</v>
      </c>
      <c r="L35" s="132">
        <v>0.97595699999999996</v>
      </c>
      <c r="M35" s="132">
        <v>0.99166100000000001</v>
      </c>
      <c r="N35" s="132">
        <v>1.0076400000000001</v>
      </c>
      <c r="O35" s="132">
        <v>1.0244169999999999</v>
      </c>
      <c r="P35" s="132">
        <v>1.0419830000000001</v>
      </c>
      <c r="Q35" s="132">
        <v>1.0606640000000001</v>
      </c>
      <c r="R35" s="132">
        <v>1.0810999999999999</v>
      </c>
      <c r="S35" s="132">
        <v>1.1021099999999999</v>
      </c>
      <c r="T35" s="132">
        <v>1.124333</v>
      </c>
      <c r="U35" s="132">
        <v>1.1463190000000001</v>
      </c>
      <c r="V35" s="132">
        <v>1.1682380000000001</v>
      </c>
      <c r="W35" s="132">
        <v>1.1908369999999999</v>
      </c>
      <c r="X35" s="132">
        <v>1.2130559999999999</v>
      </c>
      <c r="Y35" s="132">
        <v>1.2363010000000001</v>
      </c>
      <c r="Z35" s="132">
        <v>1.259563</v>
      </c>
      <c r="AA35" s="132">
        <v>1.2838290000000001</v>
      </c>
      <c r="AB35" s="132">
        <v>1.3078540000000001</v>
      </c>
      <c r="AC35" s="132">
        <v>1.3327100000000001</v>
      </c>
      <c r="AD35" s="132">
        <v>1.3578159999999999</v>
      </c>
      <c r="AE35" s="132">
        <v>1.3846069999999999</v>
      </c>
      <c r="AF35" s="132">
        <v>1.4118980000000001</v>
      </c>
      <c r="AG35" s="132">
        <v>1.440232</v>
      </c>
      <c r="AH35" s="132">
        <f t="shared" si="1"/>
        <v>1.4684086988479998</v>
      </c>
      <c r="AI35" s="132">
        <f t="shared" si="1"/>
        <v>1.497136646632262</v>
      </c>
      <c r="AJ35" s="132">
        <f t="shared" si="1"/>
        <v>1.5264266279869754</v>
      </c>
      <c r="AK35" s="132">
        <f t="shared" si="1"/>
        <v>1.5562896385369125</v>
      </c>
      <c r="AL35" s="132">
        <f t="shared" si="1"/>
        <v>1.5867368890252485</v>
      </c>
      <c r="AM35" s="132">
        <f t="shared" si="1"/>
        <v>1.6177798095221383</v>
      </c>
      <c r="AN35" s="132">
        <f t="shared" si="1"/>
        <v>1.6494300537156292</v>
      </c>
      <c r="AO35" s="132">
        <f t="shared" si="1"/>
        <v>1.6816995032865216</v>
      </c>
      <c r="AP35" s="132">
        <f t="shared" si="1"/>
        <v>1.714600272368819</v>
      </c>
      <c r="AQ35" s="132">
        <f t="shared" si="1"/>
        <v>1.7481447120974425</v>
      </c>
      <c r="AR35" s="133">
        <v>1.9564000000000002E-2</v>
      </c>
    </row>
    <row r="36" spans="1:44">
      <c r="A36" s="4" t="s">
        <v>47</v>
      </c>
      <c r="B36" s="131" t="s">
        <v>48</v>
      </c>
      <c r="C36" s="132">
        <v>0.60754699999999995</v>
      </c>
      <c r="D36" s="132">
        <v>0.61014400000000002</v>
      </c>
      <c r="E36" s="132">
        <v>0.61307400000000001</v>
      </c>
      <c r="F36" s="132">
        <v>0.61509000000000003</v>
      </c>
      <c r="G36" s="132">
        <v>0.61784600000000001</v>
      </c>
      <c r="H36" s="132">
        <v>0.62017199999999995</v>
      </c>
      <c r="I36" s="132">
        <v>0.62165599999999999</v>
      </c>
      <c r="J36" s="132">
        <v>0.62265599999999999</v>
      </c>
      <c r="K36" s="132">
        <v>0.62332200000000004</v>
      </c>
      <c r="L36" s="132">
        <v>0.62390000000000001</v>
      </c>
      <c r="M36" s="132">
        <v>0.62448300000000001</v>
      </c>
      <c r="N36" s="132">
        <v>0.62500299999999998</v>
      </c>
      <c r="O36" s="132">
        <v>0.62585900000000005</v>
      </c>
      <c r="P36" s="132">
        <v>0.62711399999999995</v>
      </c>
      <c r="Q36" s="132">
        <v>0.62881900000000002</v>
      </c>
      <c r="R36" s="132">
        <v>0.631185</v>
      </c>
      <c r="S36" s="132">
        <v>0.63385100000000005</v>
      </c>
      <c r="T36" s="132">
        <v>0.63667799999999997</v>
      </c>
      <c r="U36" s="132">
        <v>0.63955099999999998</v>
      </c>
      <c r="V36" s="132">
        <v>0.64216099999999998</v>
      </c>
      <c r="W36" s="132">
        <v>0.64469600000000005</v>
      </c>
      <c r="X36" s="132">
        <v>0.64713500000000002</v>
      </c>
      <c r="Y36" s="132">
        <v>0.64963400000000004</v>
      </c>
      <c r="Z36" s="132">
        <v>0.65232999999999997</v>
      </c>
      <c r="AA36" s="132">
        <v>0.65517400000000003</v>
      </c>
      <c r="AB36" s="132">
        <v>0.65808800000000001</v>
      </c>
      <c r="AC36" s="132">
        <v>0.66132500000000005</v>
      </c>
      <c r="AD36" s="132">
        <v>0.66480600000000001</v>
      </c>
      <c r="AE36" s="132">
        <v>0.66864299999999999</v>
      </c>
      <c r="AF36" s="132">
        <v>0.67298500000000006</v>
      </c>
      <c r="AG36" s="132">
        <v>0.67757100000000003</v>
      </c>
      <c r="AH36" s="132">
        <f t="shared" si="1"/>
        <v>0.68003939115300005</v>
      </c>
      <c r="AI36" s="132">
        <f t="shared" si="1"/>
        <v>0.68251677465497052</v>
      </c>
      <c r="AJ36" s="132">
        <f t="shared" si="1"/>
        <v>0.68500318326503862</v>
      </c>
      <c r="AK36" s="132">
        <f t="shared" si="1"/>
        <v>0.68749864986167319</v>
      </c>
      <c r="AL36" s="132">
        <f t="shared" si="1"/>
        <v>0.69000320744311927</v>
      </c>
      <c r="AM36" s="132">
        <f t="shared" si="1"/>
        <v>0.6925168891278346</v>
      </c>
      <c r="AN36" s="132">
        <f t="shared" si="1"/>
        <v>0.69503972815492732</v>
      </c>
      <c r="AO36" s="132">
        <f t="shared" si="1"/>
        <v>0.6975717578845958</v>
      </c>
      <c r="AP36" s="132">
        <f t="shared" si="1"/>
        <v>0.70011301179856944</v>
      </c>
      <c r="AQ36" s="132">
        <f t="shared" si="1"/>
        <v>0.70266352350055172</v>
      </c>
      <c r="AR36" s="133">
        <v>3.643E-3</v>
      </c>
    </row>
    <row r="37" spans="1:44">
      <c r="A37" s="4" t="s">
        <v>49</v>
      </c>
      <c r="B37" s="131" t="s">
        <v>50</v>
      </c>
      <c r="C37" s="132">
        <v>0.29757099999999997</v>
      </c>
      <c r="D37" s="132">
        <v>0.295346</v>
      </c>
      <c r="E37" s="132">
        <v>0.293794</v>
      </c>
      <c r="F37" s="132">
        <v>0.29208899999999999</v>
      </c>
      <c r="G37" s="132">
        <v>0.29061599999999999</v>
      </c>
      <c r="H37" s="132">
        <v>0.28947400000000001</v>
      </c>
      <c r="I37" s="132">
        <v>0.28854099999999999</v>
      </c>
      <c r="J37" s="132">
        <v>0.28769600000000001</v>
      </c>
      <c r="K37" s="132">
        <v>0.28695900000000002</v>
      </c>
      <c r="L37" s="132">
        <v>0.28637600000000002</v>
      </c>
      <c r="M37" s="132">
        <v>0.28598000000000001</v>
      </c>
      <c r="N37" s="132">
        <v>0.28582600000000002</v>
      </c>
      <c r="O37" s="132">
        <v>0.28596500000000002</v>
      </c>
      <c r="P37" s="132">
        <v>0.28639300000000001</v>
      </c>
      <c r="Q37" s="132">
        <v>0.28710599999999997</v>
      </c>
      <c r="R37" s="132">
        <v>0.28817399999999999</v>
      </c>
      <c r="S37" s="132">
        <v>0.28956700000000002</v>
      </c>
      <c r="T37" s="132">
        <v>0.29125800000000002</v>
      </c>
      <c r="U37" s="132">
        <v>0.29325600000000002</v>
      </c>
      <c r="V37" s="132">
        <v>0.29553299999999999</v>
      </c>
      <c r="W37" s="132">
        <v>0.298126</v>
      </c>
      <c r="X37" s="132">
        <v>0.30101800000000001</v>
      </c>
      <c r="Y37" s="132">
        <v>0.30418000000000001</v>
      </c>
      <c r="Z37" s="132">
        <v>0.30732399999999999</v>
      </c>
      <c r="AA37" s="132">
        <v>0.31043999999999999</v>
      </c>
      <c r="AB37" s="132">
        <v>0.31352000000000002</v>
      </c>
      <c r="AC37" s="132">
        <v>0.31655800000000001</v>
      </c>
      <c r="AD37" s="132">
        <v>0.31952199999999997</v>
      </c>
      <c r="AE37" s="132">
        <v>0.322411</v>
      </c>
      <c r="AF37" s="132">
        <v>0.325241</v>
      </c>
      <c r="AG37" s="132">
        <v>0.328011</v>
      </c>
      <c r="AH37" s="132">
        <f t="shared" si="1"/>
        <v>0.32907769177200002</v>
      </c>
      <c r="AI37" s="132">
        <f t="shared" si="1"/>
        <v>0.3301478524256426</v>
      </c>
      <c r="AJ37" s="132">
        <f t="shared" si="1"/>
        <v>0.33122149324173078</v>
      </c>
      <c r="AK37" s="132">
        <f t="shared" si="1"/>
        <v>0.33229862553775291</v>
      </c>
      <c r="AL37" s="132">
        <f t="shared" si="1"/>
        <v>0.33337926066800172</v>
      </c>
      <c r="AM37" s="132">
        <f t="shared" si="1"/>
        <v>0.33446341002369406</v>
      </c>
      <c r="AN37" s="132">
        <f t="shared" si="1"/>
        <v>0.33555108503309111</v>
      </c>
      <c r="AO37" s="132">
        <f t="shared" si="1"/>
        <v>0.33664229716161875</v>
      </c>
      <c r="AP37" s="132">
        <f t="shared" si="1"/>
        <v>0.33773705791198833</v>
      </c>
      <c r="AQ37" s="132">
        <f t="shared" si="1"/>
        <v>0.33883537882431813</v>
      </c>
      <c r="AR37" s="133">
        <v>3.2520000000000001E-3</v>
      </c>
    </row>
    <row r="38" spans="1:44">
      <c r="A38" s="4" t="s">
        <v>51</v>
      </c>
      <c r="B38" s="131" t="s">
        <v>52</v>
      </c>
      <c r="C38" s="132">
        <v>5.5007E-2</v>
      </c>
      <c r="D38" s="132">
        <v>5.5161000000000002E-2</v>
      </c>
      <c r="E38" s="132">
        <v>5.5460000000000002E-2</v>
      </c>
      <c r="F38" s="132">
        <v>5.5750000000000001E-2</v>
      </c>
      <c r="G38" s="132">
        <v>5.6044999999999998E-2</v>
      </c>
      <c r="H38" s="132">
        <v>5.6356999999999997E-2</v>
      </c>
      <c r="I38" s="132">
        <v>5.6662999999999998E-2</v>
      </c>
      <c r="J38" s="132">
        <v>5.6938000000000002E-2</v>
      </c>
      <c r="K38" s="132">
        <v>5.7182999999999998E-2</v>
      </c>
      <c r="L38" s="132">
        <v>5.7389000000000003E-2</v>
      </c>
      <c r="M38" s="132">
        <v>5.7556000000000003E-2</v>
      </c>
      <c r="N38" s="132">
        <v>5.7675999999999998E-2</v>
      </c>
      <c r="O38" s="132">
        <v>5.7755000000000001E-2</v>
      </c>
      <c r="P38" s="132">
        <v>5.7840999999999997E-2</v>
      </c>
      <c r="Q38" s="132">
        <v>5.7946999999999999E-2</v>
      </c>
      <c r="R38" s="132">
        <v>5.8089000000000002E-2</v>
      </c>
      <c r="S38" s="132">
        <v>5.8269000000000001E-2</v>
      </c>
      <c r="T38" s="132">
        <v>5.8487999999999998E-2</v>
      </c>
      <c r="U38" s="132">
        <v>5.8698E-2</v>
      </c>
      <c r="V38" s="132">
        <v>5.8899E-2</v>
      </c>
      <c r="W38" s="132">
        <v>5.9097999999999998E-2</v>
      </c>
      <c r="X38" s="132">
        <v>5.9290000000000002E-2</v>
      </c>
      <c r="Y38" s="132">
        <v>5.9472999999999998E-2</v>
      </c>
      <c r="Z38" s="132">
        <v>5.9649000000000001E-2</v>
      </c>
      <c r="AA38" s="132">
        <v>5.9818000000000003E-2</v>
      </c>
      <c r="AB38" s="132">
        <v>5.9979999999999999E-2</v>
      </c>
      <c r="AC38" s="132">
        <v>6.0138999999999998E-2</v>
      </c>
      <c r="AD38" s="132">
        <v>6.0290000000000003E-2</v>
      </c>
      <c r="AE38" s="132">
        <v>6.0440000000000001E-2</v>
      </c>
      <c r="AF38" s="132">
        <v>6.0595000000000003E-2</v>
      </c>
      <c r="AG38" s="132">
        <v>6.0755999999999998E-2</v>
      </c>
      <c r="AH38" s="132">
        <f t="shared" si="1"/>
        <v>6.0957649164000004E-2</v>
      </c>
      <c r="AI38" s="132">
        <f t="shared" si="1"/>
        <v>6.1159967601575327E-2</v>
      </c>
      <c r="AJ38" s="132">
        <f t="shared" si="1"/>
        <v>6.1362957534044957E-2</v>
      </c>
      <c r="AK38" s="132">
        <f t="shared" si="1"/>
        <v>6.1566621190100458E-2</v>
      </c>
      <c r="AL38" s="132">
        <f t="shared" si="1"/>
        <v>6.1770960805830409E-2</v>
      </c>
      <c r="AM38" s="132">
        <f t="shared" si="1"/>
        <v>6.1975978624744965E-2</v>
      </c>
      <c r="AN38" s="132">
        <f t="shared" si="1"/>
        <v>6.2181676897800499E-2</v>
      </c>
      <c r="AO38" s="132">
        <f t="shared" si="1"/>
        <v>6.2388057883424303E-2</v>
      </c>
      <c r="AP38" s="132">
        <f t="shared" si="1"/>
        <v>6.2595123847539388E-2</v>
      </c>
      <c r="AQ38" s="132">
        <f t="shared" si="1"/>
        <v>6.2802877063589377E-2</v>
      </c>
      <c r="AR38" s="133">
        <v>3.3189999999999999E-3</v>
      </c>
    </row>
    <row r="39" spans="1:44">
      <c r="A39" s="4" t="s">
        <v>53</v>
      </c>
      <c r="B39" s="131" t="s">
        <v>54</v>
      </c>
      <c r="C39" s="132">
        <v>0.21642</v>
      </c>
      <c r="D39" s="132">
        <v>0.220336</v>
      </c>
      <c r="E39" s="132">
        <v>0.224132</v>
      </c>
      <c r="F39" s="132">
        <v>0.22769200000000001</v>
      </c>
      <c r="G39" s="132">
        <v>0.23162199999999999</v>
      </c>
      <c r="H39" s="132">
        <v>0.23560700000000001</v>
      </c>
      <c r="I39" s="132">
        <v>0.239343</v>
      </c>
      <c r="J39" s="132">
        <v>0.242757</v>
      </c>
      <c r="K39" s="132">
        <v>0.246061</v>
      </c>
      <c r="L39" s="132">
        <v>0.24932599999999999</v>
      </c>
      <c r="M39" s="132">
        <v>0.25254500000000002</v>
      </c>
      <c r="N39" s="132">
        <v>0.25559799999999999</v>
      </c>
      <c r="O39" s="132">
        <v>0.25867800000000002</v>
      </c>
      <c r="P39" s="132">
        <v>0.26185199999999997</v>
      </c>
      <c r="Q39" s="132">
        <v>0.265235</v>
      </c>
      <c r="R39" s="132">
        <v>0.268841</v>
      </c>
      <c r="S39" s="132">
        <v>0.27256999999999998</v>
      </c>
      <c r="T39" s="132">
        <v>0.27624399999999999</v>
      </c>
      <c r="U39" s="132">
        <v>0.27982899999999999</v>
      </c>
      <c r="V39" s="132">
        <v>0.28336299999999998</v>
      </c>
      <c r="W39" s="132">
        <v>0.28689100000000001</v>
      </c>
      <c r="X39" s="132">
        <v>0.29037000000000002</v>
      </c>
      <c r="Y39" s="132">
        <v>0.29383700000000001</v>
      </c>
      <c r="Z39" s="132">
        <v>0.29735</v>
      </c>
      <c r="AA39" s="132">
        <v>0.30087399999999997</v>
      </c>
      <c r="AB39" s="132">
        <v>0.30434699999999998</v>
      </c>
      <c r="AC39" s="132">
        <v>0.307894</v>
      </c>
      <c r="AD39" s="132">
        <v>0.31149100000000002</v>
      </c>
      <c r="AE39" s="132">
        <v>0.31518600000000002</v>
      </c>
      <c r="AF39" s="132">
        <v>0.31905499999999998</v>
      </c>
      <c r="AG39" s="132">
        <v>0.32299800000000001</v>
      </c>
      <c r="AH39" s="132">
        <f t="shared" si="1"/>
        <v>0.327338124126</v>
      </c>
      <c r="AI39" s="132">
        <f t="shared" si="1"/>
        <v>0.33173656649988104</v>
      </c>
      <c r="AJ39" s="132">
        <f t="shared" si="1"/>
        <v>0.3361941107439399</v>
      </c>
      <c r="AK39" s="132">
        <f t="shared" si="1"/>
        <v>0.34071155101000622</v>
      </c>
      <c r="AL39" s="132">
        <f t="shared" si="1"/>
        <v>0.34528969212092764</v>
      </c>
      <c r="AM39" s="132">
        <f t="shared" si="1"/>
        <v>0.34992934971395651</v>
      </c>
      <c r="AN39" s="132">
        <f t="shared" si="1"/>
        <v>0.35463135038606292</v>
      </c>
      <c r="AO39" s="132">
        <f t="shared" si="1"/>
        <v>0.35939653184120041</v>
      </c>
      <c r="AP39" s="132">
        <f t="shared" si="1"/>
        <v>0.36422574303955058</v>
      </c>
      <c r="AQ39" s="132">
        <f t="shared" si="1"/>
        <v>0.36911984434877299</v>
      </c>
      <c r="AR39" s="133">
        <v>1.3436999999999999E-2</v>
      </c>
    </row>
    <row r="40" spans="1:44">
      <c r="A40" s="4" t="s">
        <v>55</v>
      </c>
      <c r="B40" s="131" t="s">
        <v>56</v>
      </c>
      <c r="C40" s="132">
        <v>6.9181000000000006E-2</v>
      </c>
      <c r="D40" s="132">
        <v>6.8847000000000005E-2</v>
      </c>
      <c r="E40" s="132">
        <v>6.8697999999999995E-2</v>
      </c>
      <c r="F40" s="132">
        <v>6.8526000000000004E-2</v>
      </c>
      <c r="G40" s="132">
        <v>6.8339999999999998E-2</v>
      </c>
      <c r="H40" s="132">
        <v>6.8156999999999995E-2</v>
      </c>
      <c r="I40" s="132">
        <v>6.7953E-2</v>
      </c>
      <c r="J40" s="132">
        <v>6.7707000000000003E-2</v>
      </c>
      <c r="K40" s="132">
        <v>6.7460999999999993E-2</v>
      </c>
      <c r="L40" s="132">
        <v>6.7224000000000006E-2</v>
      </c>
      <c r="M40" s="132">
        <v>6.6994999999999999E-2</v>
      </c>
      <c r="N40" s="132">
        <v>6.6774E-2</v>
      </c>
      <c r="O40" s="132">
        <v>6.6570000000000004E-2</v>
      </c>
      <c r="P40" s="132">
        <v>6.6382999999999998E-2</v>
      </c>
      <c r="Q40" s="132">
        <v>6.6213999999999995E-2</v>
      </c>
      <c r="R40" s="132">
        <v>6.6076999999999997E-2</v>
      </c>
      <c r="S40" s="132">
        <v>6.5975000000000006E-2</v>
      </c>
      <c r="T40" s="132">
        <v>6.5902000000000002E-2</v>
      </c>
      <c r="U40" s="132">
        <v>6.5862000000000004E-2</v>
      </c>
      <c r="V40" s="132">
        <v>6.5854999999999997E-2</v>
      </c>
      <c r="W40" s="132">
        <v>6.5888000000000002E-2</v>
      </c>
      <c r="X40" s="132">
        <v>6.5965999999999997E-2</v>
      </c>
      <c r="Y40" s="132">
        <v>6.6082000000000002E-2</v>
      </c>
      <c r="Z40" s="132">
        <v>6.6247E-2</v>
      </c>
      <c r="AA40" s="132">
        <v>6.6464999999999996E-2</v>
      </c>
      <c r="AB40" s="132">
        <v>6.6737000000000005E-2</v>
      </c>
      <c r="AC40" s="132">
        <v>6.7062999999999998E-2</v>
      </c>
      <c r="AD40" s="132">
        <v>6.7429000000000003E-2</v>
      </c>
      <c r="AE40" s="132">
        <v>6.7790000000000003E-2</v>
      </c>
      <c r="AF40" s="132">
        <v>6.8152000000000004E-2</v>
      </c>
      <c r="AG40" s="132">
        <v>6.8514000000000005E-2</v>
      </c>
      <c r="AH40" s="132">
        <f t="shared" si="1"/>
        <v>6.8491869978000011E-2</v>
      </c>
      <c r="AI40" s="132">
        <f t="shared" si="1"/>
        <v>6.8469747103997114E-2</v>
      </c>
      <c r="AJ40" s="132">
        <f t="shared" si="1"/>
        <v>6.8447631375682522E-2</v>
      </c>
      <c r="AK40" s="132">
        <f t="shared" si="1"/>
        <v>6.8425522790748178E-2</v>
      </c>
      <c r="AL40" s="132">
        <f t="shared" si="1"/>
        <v>6.8403421346886775E-2</v>
      </c>
      <c r="AM40" s="132">
        <f t="shared" si="1"/>
        <v>6.8381327041791728E-2</v>
      </c>
      <c r="AN40" s="132">
        <f t="shared" si="1"/>
        <v>6.8359239873157229E-2</v>
      </c>
      <c r="AO40" s="132">
        <f t="shared" si="1"/>
        <v>6.8337159838678205E-2</v>
      </c>
      <c r="AP40" s="132">
        <f t="shared" si="1"/>
        <v>6.8315086936050318E-2</v>
      </c>
      <c r="AQ40" s="132">
        <f t="shared" si="1"/>
        <v>6.829302116296998E-2</v>
      </c>
      <c r="AR40" s="133">
        <v>-3.2299999999999999E-4</v>
      </c>
    </row>
    <row r="41" spans="1:44">
      <c r="A41" s="4" t="s">
        <v>57</v>
      </c>
      <c r="B41" s="131" t="s">
        <v>58</v>
      </c>
      <c r="C41" s="132">
        <v>0.21124499999999999</v>
      </c>
      <c r="D41" s="132">
        <v>0.20465800000000001</v>
      </c>
      <c r="E41" s="132">
        <v>0.20252100000000001</v>
      </c>
      <c r="F41" s="132">
        <v>0.20193</v>
      </c>
      <c r="G41" s="132">
        <v>0.202401</v>
      </c>
      <c r="H41" s="132">
        <v>0.201491</v>
      </c>
      <c r="I41" s="132">
        <v>0.200873</v>
      </c>
      <c r="J41" s="132">
        <v>0.20083799999999999</v>
      </c>
      <c r="K41" s="132">
        <v>0.201379</v>
      </c>
      <c r="L41" s="132">
        <v>0.20219599999999999</v>
      </c>
      <c r="M41" s="132">
        <v>0.200463</v>
      </c>
      <c r="N41" s="132">
        <v>0.19920399999999999</v>
      </c>
      <c r="O41" s="132">
        <v>0.19839200000000001</v>
      </c>
      <c r="P41" s="132">
        <v>0.197965</v>
      </c>
      <c r="Q41" s="132">
        <v>0.19794500000000001</v>
      </c>
      <c r="R41" s="132">
        <v>0.19828599999999999</v>
      </c>
      <c r="S41" s="132">
        <v>0.19874800000000001</v>
      </c>
      <c r="T41" s="132">
        <v>0.19925100000000001</v>
      </c>
      <c r="U41" s="132">
        <v>0.19975699999999999</v>
      </c>
      <c r="V41" s="132">
        <v>0.20028799999999999</v>
      </c>
      <c r="W41" s="132">
        <v>0.197496</v>
      </c>
      <c r="X41" s="132">
        <v>0.195328</v>
      </c>
      <c r="Y41" s="132">
        <v>0.19364100000000001</v>
      </c>
      <c r="Z41" s="132">
        <v>0.19243299999999999</v>
      </c>
      <c r="AA41" s="132">
        <v>0.19162399999999999</v>
      </c>
      <c r="AB41" s="132">
        <v>0.19103800000000001</v>
      </c>
      <c r="AC41" s="132">
        <v>0.19062899999999999</v>
      </c>
      <c r="AD41" s="132">
        <v>0.190303</v>
      </c>
      <c r="AE41" s="132">
        <v>0.190083</v>
      </c>
      <c r="AF41" s="132">
        <v>0.19001399999999999</v>
      </c>
      <c r="AG41" s="132">
        <v>0.190188</v>
      </c>
      <c r="AH41" s="132">
        <f t="shared" si="1"/>
        <v>0.18952348312799999</v>
      </c>
      <c r="AI41" s="132">
        <f t="shared" si="1"/>
        <v>0.18886128807795077</v>
      </c>
      <c r="AJ41" s="132">
        <f t="shared" si="1"/>
        <v>0.1882014067374064</v>
      </c>
      <c r="AK41" s="132">
        <f t="shared" si="1"/>
        <v>0.18754383102226591</v>
      </c>
      <c r="AL41" s="132">
        <f t="shared" si="1"/>
        <v>0.18688855287667411</v>
      </c>
      <c r="AM41" s="132">
        <f t="shared" si="1"/>
        <v>0.18623556427292301</v>
      </c>
      <c r="AN41" s="132">
        <f t="shared" si="1"/>
        <v>0.18558485721135343</v>
      </c>
      <c r="AO41" s="132">
        <f t="shared" si="1"/>
        <v>0.18493642372025695</v>
      </c>
      <c r="AP41" s="132">
        <f t="shared" si="1"/>
        <v>0.18429025585577838</v>
      </c>
      <c r="AQ41" s="132">
        <f t="shared" si="1"/>
        <v>0.18364634570181829</v>
      </c>
      <c r="AR41" s="133">
        <v>-3.4940000000000001E-3</v>
      </c>
    </row>
    <row r="42" spans="1:44">
      <c r="A42" s="4" t="s">
        <v>59</v>
      </c>
      <c r="B42" s="131" t="s">
        <v>342</v>
      </c>
      <c r="C42" s="132">
        <v>3.6778999999999999E-2</v>
      </c>
      <c r="D42" s="132">
        <v>3.7026000000000003E-2</v>
      </c>
      <c r="E42" s="132">
        <v>3.7374999999999999E-2</v>
      </c>
      <c r="F42" s="132">
        <v>3.7720999999999998E-2</v>
      </c>
      <c r="G42" s="132">
        <v>3.8074999999999998E-2</v>
      </c>
      <c r="H42" s="132">
        <v>3.8448999999999997E-2</v>
      </c>
      <c r="I42" s="132">
        <v>3.8823999999999997E-2</v>
      </c>
      <c r="J42" s="132">
        <v>3.918E-2</v>
      </c>
      <c r="K42" s="132">
        <v>3.9523000000000003E-2</v>
      </c>
      <c r="L42" s="132">
        <v>3.9855000000000002E-2</v>
      </c>
      <c r="M42" s="132">
        <v>4.0193E-2</v>
      </c>
      <c r="N42" s="132">
        <v>4.0518999999999999E-2</v>
      </c>
      <c r="O42" s="132">
        <v>4.0839E-2</v>
      </c>
      <c r="P42" s="132">
        <v>4.1152000000000001E-2</v>
      </c>
      <c r="Q42" s="132">
        <v>4.1454999999999999E-2</v>
      </c>
      <c r="R42" s="132">
        <v>4.1758999999999998E-2</v>
      </c>
      <c r="S42" s="132">
        <v>4.206E-2</v>
      </c>
      <c r="T42" s="132">
        <v>4.2358E-2</v>
      </c>
      <c r="U42" s="132">
        <v>4.2653000000000003E-2</v>
      </c>
      <c r="V42" s="132">
        <v>4.2944999999999997E-2</v>
      </c>
      <c r="W42" s="132">
        <v>4.3240000000000001E-2</v>
      </c>
      <c r="X42" s="132">
        <v>4.3534999999999997E-2</v>
      </c>
      <c r="Y42" s="132">
        <v>4.3829E-2</v>
      </c>
      <c r="Z42" s="132">
        <v>4.4122000000000001E-2</v>
      </c>
      <c r="AA42" s="132">
        <v>4.4415999999999997E-2</v>
      </c>
      <c r="AB42" s="132">
        <v>4.4708999999999999E-2</v>
      </c>
      <c r="AC42" s="132">
        <v>4.5004000000000002E-2</v>
      </c>
      <c r="AD42" s="132">
        <v>4.5295000000000002E-2</v>
      </c>
      <c r="AE42" s="132">
        <v>4.5585000000000001E-2</v>
      </c>
      <c r="AF42" s="132">
        <v>4.5874999999999999E-2</v>
      </c>
      <c r="AG42" s="132">
        <v>4.6168000000000001E-2</v>
      </c>
      <c r="AH42" s="132">
        <f t="shared" si="1"/>
        <v>4.6519199976E-2</v>
      </c>
      <c r="AI42" s="132">
        <f t="shared" si="1"/>
        <v>4.6873071530217428E-2</v>
      </c>
      <c r="AJ42" s="132">
        <f t="shared" si="1"/>
        <v>4.7229634985347789E-2</v>
      </c>
      <c r="AK42" s="132">
        <f t="shared" si="1"/>
        <v>4.7588910818681329E-2</v>
      </c>
      <c r="AL42" s="132">
        <f t="shared" si="1"/>
        <v>4.7950919663279037E-2</v>
      </c>
      <c r="AM42" s="132">
        <f t="shared" si="1"/>
        <v>4.8315682309157594E-2</v>
      </c>
      <c r="AN42" s="132">
        <f t="shared" si="1"/>
        <v>4.8683219704483353E-2</v>
      </c>
      <c r="AO42" s="132">
        <f t="shared" si="1"/>
        <v>4.9053552956775354E-2</v>
      </c>
      <c r="AP42" s="132">
        <f t="shared" si="1"/>
        <v>4.9426703334117542E-2</v>
      </c>
      <c r="AQ42" s="132">
        <f t="shared" si="1"/>
        <v>4.980269226638017E-2</v>
      </c>
      <c r="AR42" s="133">
        <v>7.607E-3</v>
      </c>
    </row>
    <row r="43" spans="1:44">
      <c r="A43" s="4" t="s">
        <v>60</v>
      </c>
      <c r="B43" s="131" t="s">
        <v>343</v>
      </c>
      <c r="C43" s="132">
        <v>2.6616999999999998E-2</v>
      </c>
      <c r="D43" s="132">
        <v>2.6991999999999999E-2</v>
      </c>
      <c r="E43" s="132">
        <v>2.7431000000000001E-2</v>
      </c>
      <c r="F43" s="132">
        <v>2.7858999999999998E-2</v>
      </c>
      <c r="G43" s="132">
        <v>2.8282999999999999E-2</v>
      </c>
      <c r="H43" s="132">
        <v>2.8708999999999998E-2</v>
      </c>
      <c r="I43" s="132">
        <v>2.9123E-2</v>
      </c>
      <c r="J43" s="132">
        <v>2.9508E-2</v>
      </c>
      <c r="K43" s="132">
        <v>2.9918E-2</v>
      </c>
      <c r="L43" s="132">
        <v>3.0360000000000002E-2</v>
      </c>
      <c r="M43" s="132">
        <v>3.083E-2</v>
      </c>
      <c r="N43" s="132">
        <v>3.1329999999999997E-2</v>
      </c>
      <c r="O43" s="132">
        <v>3.1868E-2</v>
      </c>
      <c r="P43" s="132">
        <v>3.2445000000000002E-2</v>
      </c>
      <c r="Q43" s="132">
        <v>3.3062000000000001E-2</v>
      </c>
      <c r="R43" s="132">
        <v>3.3676999999999999E-2</v>
      </c>
      <c r="S43" s="132">
        <v>3.4289E-2</v>
      </c>
      <c r="T43" s="132">
        <v>3.4896000000000003E-2</v>
      </c>
      <c r="U43" s="132">
        <v>3.5500999999999998E-2</v>
      </c>
      <c r="V43" s="132">
        <v>3.6103000000000003E-2</v>
      </c>
      <c r="W43" s="132">
        <v>3.6706000000000003E-2</v>
      </c>
      <c r="X43" s="132">
        <v>3.7309000000000002E-2</v>
      </c>
      <c r="Y43" s="132">
        <v>3.7909999999999999E-2</v>
      </c>
      <c r="Z43" s="132">
        <v>3.8510000000000003E-2</v>
      </c>
      <c r="AA43" s="132">
        <v>3.9109999999999999E-2</v>
      </c>
      <c r="AB43" s="132">
        <v>3.9710000000000002E-2</v>
      </c>
      <c r="AC43" s="132">
        <v>4.0308999999999998E-2</v>
      </c>
      <c r="AD43" s="132">
        <v>4.0904999999999997E-2</v>
      </c>
      <c r="AE43" s="132">
        <v>4.1499000000000001E-2</v>
      </c>
      <c r="AF43" s="132">
        <v>4.2092999999999998E-2</v>
      </c>
      <c r="AG43" s="132">
        <v>4.2686000000000002E-2</v>
      </c>
      <c r="AH43" s="132">
        <f t="shared" si="1"/>
        <v>4.3363426820000002E-2</v>
      </c>
      <c r="AI43" s="132">
        <f t="shared" si="1"/>
        <v>4.4051604403633406E-2</v>
      </c>
      <c r="AJ43" s="132">
        <f t="shared" ref="AI43:AQ58" si="3">AI43*(1+$AR43)</f>
        <v>4.4750703365519069E-2</v>
      </c>
      <c r="AK43" s="132">
        <f t="shared" si="3"/>
        <v>4.546089702792986E-2</v>
      </c>
      <c r="AL43" s="132">
        <f t="shared" si="3"/>
        <v>4.6182361463763109E-2</v>
      </c>
      <c r="AM43" s="132">
        <f t="shared" si="3"/>
        <v>4.6915275540193035E-2</v>
      </c>
      <c r="AN43" s="132">
        <f t="shared" si="3"/>
        <v>4.7659820963015902E-2</v>
      </c>
      <c r="AO43" s="132">
        <f t="shared" si="3"/>
        <v>4.8416182321698968E-2</v>
      </c>
      <c r="AP43" s="132">
        <f t="shared" si="3"/>
        <v>4.9184547135144335E-2</v>
      </c>
      <c r="AQ43" s="132">
        <f t="shared" si="3"/>
        <v>4.9965105898179075E-2</v>
      </c>
      <c r="AR43" s="133">
        <v>1.5869999999999999E-2</v>
      </c>
    </row>
    <row r="44" spans="1:44">
      <c r="A44" s="4" t="s">
        <v>61</v>
      </c>
      <c r="B44" s="131" t="s">
        <v>344</v>
      </c>
      <c r="C44" s="132">
        <v>0.20913000000000001</v>
      </c>
      <c r="D44" s="132">
        <v>0.20516200000000001</v>
      </c>
      <c r="E44" s="132">
        <v>0.202737</v>
      </c>
      <c r="F44" s="132">
        <v>0.20082800000000001</v>
      </c>
      <c r="G44" s="132">
        <v>0.19992599999999999</v>
      </c>
      <c r="H44" s="132">
        <v>0.19981199999999999</v>
      </c>
      <c r="I44" s="132">
        <v>0.20025999999999999</v>
      </c>
      <c r="J44" s="132">
        <v>0.201233</v>
      </c>
      <c r="K44" s="132">
        <v>0.20279</v>
      </c>
      <c r="L44" s="132">
        <v>0.20499000000000001</v>
      </c>
      <c r="M44" s="132">
        <v>0.20774500000000001</v>
      </c>
      <c r="N44" s="132">
        <v>0.21087900000000001</v>
      </c>
      <c r="O44" s="132">
        <v>0.21451600000000001</v>
      </c>
      <c r="P44" s="132">
        <v>0.21862799999999999</v>
      </c>
      <c r="Q44" s="132">
        <v>0.22312899999999999</v>
      </c>
      <c r="R44" s="132">
        <v>0.22802700000000001</v>
      </c>
      <c r="S44" s="132">
        <v>0.23313400000000001</v>
      </c>
      <c r="T44" s="132">
        <v>0.23827000000000001</v>
      </c>
      <c r="U44" s="132">
        <v>0.24330499999999999</v>
      </c>
      <c r="V44" s="132">
        <v>0.24812600000000001</v>
      </c>
      <c r="W44" s="132">
        <v>0.252637</v>
      </c>
      <c r="X44" s="132">
        <v>0.25661600000000001</v>
      </c>
      <c r="Y44" s="132">
        <v>0.26006899999999999</v>
      </c>
      <c r="Z44" s="132">
        <v>0.26324199999999998</v>
      </c>
      <c r="AA44" s="132">
        <v>0.266345</v>
      </c>
      <c r="AB44" s="132">
        <v>0.26934000000000002</v>
      </c>
      <c r="AC44" s="132">
        <v>0.27229599999999998</v>
      </c>
      <c r="AD44" s="132">
        <v>0.27520499999999998</v>
      </c>
      <c r="AE44" s="132">
        <v>0.27812999999999999</v>
      </c>
      <c r="AF44" s="132">
        <v>0.28109899999999999</v>
      </c>
      <c r="AG44" s="132">
        <v>0.284057</v>
      </c>
      <c r="AH44" s="132">
        <f t="shared" si="1"/>
        <v>0.28697142481999999</v>
      </c>
      <c r="AI44" s="132">
        <f t="shared" si="3"/>
        <v>0.28991575163865319</v>
      </c>
      <c r="AJ44" s="132">
        <f t="shared" si="3"/>
        <v>0.29289028725046573</v>
      </c>
      <c r="AK44" s="132">
        <f t="shared" si="3"/>
        <v>0.29589534159765551</v>
      </c>
      <c r="AL44" s="132">
        <f t="shared" si="3"/>
        <v>0.29893122780244746</v>
      </c>
      <c r="AM44" s="132">
        <f t="shared" si="3"/>
        <v>0.30199826219970055</v>
      </c>
      <c r="AN44" s="132">
        <f t="shared" si="3"/>
        <v>0.30509676436986943</v>
      </c>
      <c r="AO44" s="132">
        <f t="shared" si="3"/>
        <v>0.30822705717230425</v>
      </c>
      <c r="AP44" s="132">
        <f t="shared" si="3"/>
        <v>0.31138946677889207</v>
      </c>
      <c r="AQ44" s="132">
        <f t="shared" si="3"/>
        <v>0.31458432270804348</v>
      </c>
      <c r="AR44" s="133">
        <v>1.026E-2</v>
      </c>
    </row>
    <row r="45" spans="1:44">
      <c r="A45" s="4" t="s">
        <v>62</v>
      </c>
      <c r="B45" s="131" t="s">
        <v>345</v>
      </c>
      <c r="C45" s="132">
        <v>8.6663000000000004E-2</v>
      </c>
      <c r="D45" s="132">
        <v>8.3815000000000001E-2</v>
      </c>
      <c r="E45" s="132">
        <v>8.1571000000000005E-2</v>
      </c>
      <c r="F45" s="132">
        <v>7.9480999999999996E-2</v>
      </c>
      <c r="G45" s="132">
        <v>7.7709E-2</v>
      </c>
      <c r="H45" s="132">
        <v>7.6121999999999995E-2</v>
      </c>
      <c r="I45" s="132">
        <v>7.4638999999999997E-2</v>
      </c>
      <c r="J45" s="132">
        <v>7.3223999999999997E-2</v>
      </c>
      <c r="K45" s="132">
        <v>7.1899000000000005E-2</v>
      </c>
      <c r="L45" s="132">
        <v>7.0669999999999997E-2</v>
      </c>
      <c r="M45" s="132">
        <v>6.9486999999999993E-2</v>
      </c>
      <c r="N45" s="132">
        <v>6.8283999999999997E-2</v>
      </c>
      <c r="O45" s="132">
        <v>6.7100000000000007E-2</v>
      </c>
      <c r="P45" s="132">
        <v>6.5909999999999996E-2</v>
      </c>
      <c r="Q45" s="132">
        <v>6.4686999999999995E-2</v>
      </c>
      <c r="R45" s="132">
        <v>6.3421000000000005E-2</v>
      </c>
      <c r="S45" s="132">
        <v>6.2059000000000003E-2</v>
      </c>
      <c r="T45" s="132">
        <v>6.0712000000000002E-2</v>
      </c>
      <c r="U45" s="132">
        <v>5.9373000000000002E-2</v>
      </c>
      <c r="V45" s="132">
        <v>5.8027000000000002E-2</v>
      </c>
      <c r="W45" s="132">
        <v>5.6675000000000003E-2</v>
      </c>
      <c r="X45" s="132">
        <v>5.5294999999999997E-2</v>
      </c>
      <c r="Y45" s="132">
        <v>5.3886999999999997E-2</v>
      </c>
      <c r="Z45" s="132">
        <v>5.2461000000000001E-2</v>
      </c>
      <c r="AA45" s="132">
        <v>5.1003E-2</v>
      </c>
      <c r="AB45" s="132">
        <v>4.9484E-2</v>
      </c>
      <c r="AC45" s="132">
        <v>4.7905000000000003E-2</v>
      </c>
      <c r="AD45" s="132">
        <v>4.6247999999999997E-2</v>
      </c>
      <c r="AE45" s="132">
        <v>4.4521999999999999E-2</v>
      </c>
      <c r="AF45" s="132">
        <v>4.2687000000000003E-2</v>
      </c>
      <c r="AG45" s="132">
        <v>4.0729000000000001E-2</v>
      </c>
      <c r="AH45" s="132">
        <f t="shared" si="1"/>
        <v>3.9716680705E-2</v>
      </c>
      <c r="AI45" s="132">
        <f t="shared" si="3"/>
        <v>3.8729522606077225E-2</v>
      </c>
      <c r="AJ45" s="132">
        <f t="shared" si="3"/>
        <v>3.7766900321703177E-2</v>
      </c>
      <c r="AK45" s="132">
        <f t="shared" si="3"/>
        <v>3.6828204014207243E-2</v>
      </c>
      <c r="AL45" s="132">
        <f t="shared" si="3"/>
        <v>3.5912839003434123E-2</v>
      </c>
      <c r="AM45" s="132">
        <f t="shared" si="3"/>
        <v>3.5020225390003767E-2</v>
      </c>
      <c r="AN45" s="132">
        <f t="shared" si="3"/>
        <v>3.4149797687935225E-2</v>
      </c>
      <c r="AO45" s="132">
        <f t="shared" si="3"/>
        <v>3.33010044664016E-2</v>
      </c>
      <c r="AP45" s="132">
        <f t="shared" si="3"/>
        <v>3.2473308000389188E-2</v>
      </c>
      <c r="AQ45" s="132">
        <f t="shared" si="3"/>
        <v>3.1666183930039518E-2</v>
      </c>
      <c r="AR45" s="133">
        <v>-2.4854999999999999E-2</v>
      </c>
    </row>
    <row r="46" spans="1:44">
      <c r="A46" s="4" t="s">
        <v>63</v>
      </c>
      <c r="B46" s="131" t="s">
        <v>64</v>
      </c>
      <c r="C46" s="132">
        <v>7.8188999999999995E-2</v>
      </c>
      <c r="D46" s="132">
        <v>8.4182999999999994E-2</v>
      </c>
      <c r="E46" s="132">
        <v>8.5001999999999994E-2</v>
      </c>
      <c r="F46" s="132">
        <v>8.5620000000000002E-2</v>
      </c>
      <c r="G46" s="132">
        <v>8.6391999999999997E-2</v>
      </c>
      <c r="H46" s="132">
        <v>8.7022000000000002E-2</v>
      </c>
      <c r="I46" s="132">
        <v>8.7474999999999997E-2</v>
      </c>
      <c r="J46" s="132">
        <v>8.7863999999999998E-2</v>
      </c>
      <c r="K46" s="132">
        <v>8.8203000000000004E-2</v>
      </c>
      <c r="L46" s="132">
        <v>8.8428000000000007E-2</v>
      </c>
      <c r="M46" s="132">
        <v>8.8433999999999999E-2</v>
      </c>
      <c r="N46" s="132">
        <v>8.8325000000000001E-2</v>
      </c>
      <c r="O46" s="132">
        <v>8.8066000000000005E-2</v>
      </c>
      <c r="P46" s="132">
        <v>8.7601999999999999E-2</v>
      </c>
      <c r="Q46" s="132">
        <v>8.6923E-2</v>
      </c>
      <c r="R46" s="132">
        <v>8.6102999999999999E-2</v>
      </c>
      <c r="S46" s="132">
        <v>8.5139000000000006E-2</v>
      </c>
      <c r="T46" s="132">
        <v>8.4037000000000001E-2</v>
      </c>
      <c r="U46" s="132">
        <v>8.2822999999999994E-2</v>
      </c>
      <c r="V46" s="132">
        <v>8.1584000000000004E-2</v>
      </c>
      <c r="W46" s="132">
        <v>8.0390000000000003E-2</v>
      </c>
      <c r="X46" s="132">
        <v>7.9242000000000007E-2</v>
      </c>
      <c r="Y46" s="132">
        <v>7.8127000000000002E-2</v>
      </c>
      <c r="Z46" s="132">
        <v>7.7107999999999996E-2</v>
      </c>
      <c r="AA46" s="132">
        <v>7.6200000000000004E-2</v>
      </c>
      <c r="AB46" s="132">
        <v>7.5408000000000003E-2</v>
      </c>
      <c r="AC46" s="132">
        <v>7.4749999999999997E-2</v>
      </c>
      <c r="AD46" s="132">
        <v>7.4200000000000002E-2</v>
      </c>
      <c r="AE46" s="132">
        <v>7.3778999999999997E-2</v>
      </c>
      <c r="AF46" s="132">
        <v>7.3468000000000006E-2</v>
      </c>
      <c r="AG46" s="132">
        <v>7.3273000000000005E-2</v>
      </c>
      <c r="AH46" s="132">
        <f t="shared" si="1"/>
        <v>7.3114583774E-2</v>
      </c>
      <c r="AI46" s="132">
        <f t="shared" si="3"/>
        <v>7.295651004388061E-2</v>
      </c>
      <c r="AJ46" s="132">
        <f t="shared" si="3"/>
        <v>7.2798778069165737E-2</v>
      </c>
      <c r="AK46" s="132">
        <f t="shared" si="3"/>
        <v>7.2641387110980199E-2</v>
      </c>
      <c r="AL46" s="132">
        <f t="shared" si="3"/>
        <v>7.2484336432046256E-2</v>
      </c>
      <c r="AM46" s="132">
        <f t="shared" si="3"/>
        <v>7.2327625296680173E-2</v>
      </c>
      <c r="AN46" s="132">
        <f t="shared" si="3"/>
        <v>7.2171252970788746E-2</v>
      </c>
      <c r="AO46" s="132">
        <f t="shared" si="3"/>
        <v>7.2015218721865906E-2</v>
      </c>
      <c r="AP46" s="132">
        <f t="shared" si="3"/>
        <v>7.1859521818989233E-2</v>
      </c>
      <c r="AQ46" s="132">
        <f t="shared" si="3"/>
        <v>7.1704161532816585E-2</v>
      </c>
      <c r="AR46" s="133">
        <v>-2.1619999999999999E-3</v>
      </c>
    </row>
    <row r="47" spans="1:44">
      <c r="A47" s="4" t="s">
        <v>65</v>
      </c>
      <c r="B47" s="131" t="s">
        <v>75</v>
      </c>
      <c r="C47" s="132">
        <v>1.782232</v>
      </c>
      <c r="D47" s="132">
        <v>1.818837</v>
      </c>
      <c r="E47" s="132">
        <v>1.7344930000000001</v>
      </c>
      <c r="F47" s="132">
        <v>1.7519929999999999</v>
      </c>
      <c r="G47" s="132">
        <v>1.7678430000000001</v>
      </c>
      <c r="H47" s="132">
        <v>1.7855730000000001</v>
      </c>
      <c r="I47" s="132">
        <v>1.8115870000000001</v>
      </c>
      <c r="J47" s="132">
        <v>1.8356129999999999</v>
      </c>
      <c r="K47" s="132">
        <v>1.8602780000000001</v>
      </c>
      <c r="L47" s="132">
        <v>1.8846989999999999</v>
      </c>
      <c r="M47" s="132">
        <v>1.9090450000000001</v>
      </c>
      <c r="N47" s="132">
        <v>1.9318519999999999</v>
      </c>
      <c r="O47" s="132">
        <v>1.955325</v>
      </c>
      <c r="P47" s="132">
        <v>1.97879</v>
      </c>
      <c r="Q47" s="132">
        <v>2.0066739999999998</v>
      </c>
      <c r="R47" s="132">
        <v>2.0347849999999998</v>
      </c>
      <c r="S47" s="132">
        <v>2.063161</v>
      </c>
      <c r="T47" s="132">
        <v>2.0911780000000002</v>
      </c>
      <c r="U47" s="132">
        <v>2.118852</v>
      </c>
      <c r="V47" s="132">
        <v>2.1473849999999999</v>
      </c>
      <c r="W47" s="132">
        <v>2.1765509999999999</v>
      </c>
      <c r="X47" s="132">
        <v>2.2055920000000002</v>
      </c>
      <c r="Y47" s="132">
        <v>2.235001</v>
      </c>
      <c r="Z47" s="132">
        <v>2.264894</v>
      </c>
      <c r="AA47" s="132">
        <v>2.294718</v>
      </c>
      <c r="AB47" s="132">
        <v>2.3253870000000001</v>
      </c>
      <c r="AC47" s="132">
        <v>2.355893</v>
      </c>
      <c r="AD47" s="132">
        <v>2.3862860000000001</v>
      </c>
      <c r="AE47" s="132">
        <v>2.4192659999999999</v>
      </c>
      <c r="AF47" s="132">
        <v>2.4529139999999998</v>
      </c>
      <c r="AG47" s="132">
        <v>2.4869430000000001</v>
      </c>
      <c r="AH47" s="132">
        <f t="shared" si="1"/>
        <v>2.5147171794240002</v>
      </c>
      <c r="AI47" s="132">
        <f t="shared" si="3"/>
        <v>2.5428015408838074</v>
      </c>
      <c r="AJ47" s="132">
        <f t="shared" si="3"/>
        <v>2.5711995484923977</v>
      </c>
      <c r="AK47" s="132">
        <f t="shared" si="3"/>
        <v>2.5999147050499611</v>
      </c>
      <c r="AL47" s="132">
        <f t="shared" si="3"/>
        <v>2.6289505524759593</v>
      </c>
      <c r="AM47" s="132">
        <f t="shared" si="3"/>
        <v>2.658310672246011</v>
      </c>
      <c r="AN47" s="132">
        <f t="shared" si="3"/>
        <v>2.6879986858336546</v>
      </c>
      <c r="AO47" s="132">
        <f t="shared" si="3"/>
        <v>2.7180182551570451</v>
      </c>
      <c r="AP47" s="132">
        <f t="shared" si="3"/>
        <v>2.7483730830306392</v>
      </c>
      <c r="AQ47" s="132">
        <f t="shared" si="3"/>
        <v>2.7790669136219255</v>
      </c>
      <c r="AR47" s="133">
        <v>1.1168000000000001E-2</v>
      </c>
    </row>
    <row r="48" spans="1:44">
      <c r="A48" s="4" t="s">
        <v>66</v>
      </c>
      <c r="B48" s="130" t="s">
        <v>346</v>
      </c>
      <c r="C48" s="134">
        <v>5.1309459999999998</v>
      </c>
      <c r="D48" s="134">
        <v>5.1750970000000001</v>
      </c>
      <c r="E48" s="134">
        <v>5.1948220000000003</v>
      </c>
      <c r="F48" s="134">
        <v>5.2247170000000001</v>
      </c>
      <c r="G48" s="134">
        <v>5.2597699999999996</v>
      </c>
      <c r="H48" s="134">
        <v>5.2973460000000001</v>
      </c>
      <c r="I48" s="134">
        <v>5.3417539999999999</v>
      </c>
      <c r="J48" s="134">
        <v>5.3828639999999996</v>
      </c>
      <c r="K48" s="134">
        <v>5.4251149999999999</v>
      </c>
      <c r="L48" s="134">
        <v>5.4677100000000003</v>
      </c>
      <c r="M48" s="134">
        <v>5.5076280000000004</v>
      </c>
      <c r="N48" s="134">
        <v>5.5467219999999999</v>
      </c>
      <c r="O48" s="134">
        <v>5.5886829999999996</v>
      </c>
      <c r="P48" s="134">
        <v>5.6331569999999997</v>
      </c>
      <c r="Q48" s="134">
        <v>5.6848840000000003</v>
      </c>
      <c r="R48" s="134">
        <v>5.7410990000000002</v>
      </c>
      <c r="S48" s="134">
        <v>5.7989839999999999</v>
      </c>
      <c r="T48" s="134">
        <v>5.8581079999999996</v>
      </c>
      <c r="U48" s="134">
        <v>5.9166119999999998</v>
      </c>
      <c r="V48" s="134">
        <v>5.9755700000000003</v>
      </c>
      <c r="W48" s="134">
        <v>6.0327279999999996</v>
      </c>
      <c r="X48" s="134">
        <v>6.0894979999999999</v>
      </c>
      <c r="Y48" s="134">
        <v>6.147964</v>
      </c>
      <c r="Z48" s="134">
        <v>6.2077249999999999</v>
      </c>
      <c r="AA48" s="134">
        <v>6.2689680000000001</v>
      </c>
      <c r="AB48" s="134">
        <v>6.3308669999999996</v>
      </c>
      <c r="AC48" s="134">
        <v>6.3943700000000003</v>
      </c>
      <c r="AD48" s="134">
        <v>6.4583029999999999</v>
      </c>
      <c r="AE48" s="134">
        <v>6.5272379999999997</v>
      </c>
      <c r="AF48" s="134">
        <v>6.5986260000000003</v>
      </c>
      <c r="AG48" s="134">
        <v>6.6721069999999996</v>
      </c>
      <c r="AH48" s="132">
        <f t="shared" si="1"/>
        <v>6.7307748368510003</v>
      </c>
      <c r="AI48" s="132">
        <f t="shared" si="3"/>
        <v>6.7899585399914315</v>
      </c>
      <c r="AJ48" s="132">
        <f t="shared" si="3"/>
        <v>6.8496626454335763</v>
      </c>
      <c r="AK48" s="132">
        <f t="shared" si="3"/>
        <v>6.9098917290748743</v>
      </c>
      <c r="AL48" s="132">
        <f t="shared" si="3"/>
        <v>6.9706504070486304</v>
      </c>
      <c r="AM48" s="132">
        <f t="shared" si="3"/>
        <v>7.0319433360778092</v>
      </c>
      <c r="AN48" s="132">
        <f t="shared" si="3"/>
        <v>7.0937752138319414</v>
      </c>
      <c r="AO48" s="132">
        <f t="shared" si="3"/>
        <v>7.1561507792871657</v>
      </c>
      <c r="AP48" s="132">
        <f t="shared" si="3"/>
        <v>7.2190748130894384</v>
      </c>
      <c r="AQ48" s="132">
        <f t="shared" si="3"/>
        <v>7.2825521379209341</v>
      </c>
      <c r="AR48" s="135">
        <v>8.7930000000000005E-3</v>
      </c>
    </row>
    <row r="49" spans="1:44">
      <c r="A49" s="4" t="s">
        <v>347</v>
      </c>
      <c r="B49" s="131" t="s">
        <v>348</v>
      </c>
      <c r="C49" s="132">
        <v>7.8133999999999995E-2</v>
      </c>
      <c r="D49" s="132">
        <v>8.9459999999999998E-2</v>
      </c>
      <c r="E49" s="132">
        <v>9.9012000000000003E-2</v>
      </c>
      <c r="F49" s="132">
        <v>0.108281</v>
      </c>
      <c r="G49" s="132">
        <v>0.11738</v>
      </c>
      <c r="H49" s="132">
        <v>0.126529</v>
      </c>
      <c r="I49" s="132">
        <v>0.13586699999999999</v>
      </c>
      <c r="J49" s="132">
        <v>0.145236</v>
      </c>
      <c r="K49" s="132">
        <v>0.154673</v>
      </c>
      <c r="L49" s="132">
        <v>0.16417200000000001</v>
      </c>
      <c r="M49" s="132">
        <v>0.17386699999999999</v>
      </c>
      <c r="N49" s="132">
        <v>0.18379300000000001</v>
      </c>
      <c r="O49" s="132">
        <v>0.19391700000000001</v>
      </c>
      <c r="P49" s="132">
        <v>0.20421900000000001</v>
      </c>
      <c r="Q49" s="132">
        <v>0.214726</v>
      </c>
      <c r="R49" s="132">
        <v>0.22539300000000001</v>
      </c>
      <c r="S49" s="132">
        <v>0.23625399999999999</v>
      </c>
      <c r="T49" s="132">
        <v>0.247311</v>
      </c>
      <c r="U49" s="132">
        <v>0.25860100000000003</v>
      </c>
      <c r="V49" s="132">
        <v>0.27011499999999999</v>
      </c>
      <c r="W49" s="132">
        <v>0.28189500000000001</v>
      </c>
      <c r="X49" s="132">
        <v>0.29394199999999998</v>
      </c>
      <c r="Y49" s="132">
        <v>0.30629499999999998</v>
      </c>
      <c r="Z49" s="132">
        <v>0.31898300000000002</v>
      </c>
      <c r="AA49" s="132">
        <v>0.33201700000000001</v>
      </c>
      <c r="AB49" s="132">
        <v>0.34545999999999999</v>
      </c>
      <c r="AC49" s="132">
        <v>0.35925099999999999</v>
      </c>
      <c r="AD49" s="132">
        <v>0.373388</v>
      </c>
      <c r="AE49" s="132">
        <v>0.38795400000000002</v>
      </c>
      <c r="AF49" s="132">
        <v>0.40290599999999999</v>
      </c>
      <c r="AG49" s="132">
        <v>0.41825600000000002</v>
      </c>
      <c r="AH49" s="132">
        <f t="shared" si="1"/>
        <v>0.44231199384000003</v>
      </c>
      <c r="AI49" s="132">
        <f t="shared" si="3"/>
        <v>0.46775156816570762</v>
      </c>
      <c r="AJ49" s="132">
        <f t="shared" si="3"/>
        <v>0.49465429960875829</v>
      </c>
      <c r="AK49" s="132">
        <f t="shared" si="3"/>
        <v>0.52310434165075603</v>
      </c>
      <c r="AL49" s="132">
        <f t="shared" si="3"/>
        <v>0.55319068786079928</v>
      </c>
      <c r="AM49" s="132">
        <f t="shared" si="3"/>
        <v>0.58500745027311318</v>
      </c>
      <c r="AN49" s="132">
        <f t="shared" si="3"/>
        <v>0.61865415377557131</v>
      </c>
      <c r="AO49" s="132">
        <f t="shared" si="3"/>
        <v>0.65423604742997332</v>
      </c>
      <c r="AP49" s="132">
        <f t="shared" si="3"/>
        <v>0.69186443369790818</v>
      </c>
      <c r="AQ49" s="132">
        <f t="shared" si="3"/>
        <v>0.73165701660204341</v>
      </c>
      <c r="AR49" s="133">
        <v>5.7514999999999997E-2</v>
      </c>
    </row>
    <row r="50" spans="1:44" ht="15" customHeight="1">
      <c r="A50" s="4" t="s">
        <v>349</v>
      </c>
      <c r="B50" s="130" t="s">
        <v>350</v>
      </c>
      <c r="C50" s="134">
        <v>5.0528120000000003</v>
      </c>
      <c r="D50" s="134">
        <v>5.0856370000000002</v>
      </c>
      <c r="E50" s="134">
        <v>5.0958110000000003</v>
      </c>
      <c r="F50" s="134">
        <v>5.1164360000000002</v>
      </c>
      <c r="G50" s="134">
        <v>5.1423909999999999</v>
      </c>
      <c r="H50" s="134">
        <v>5.1708170000000004</v>
      </c>
      <c r="I50" s="134">
        <v>5.2058869999999997</v>
      </c>
      <c r="J50" s="134">
        <v>5.237628</v>
      </c>
      <c r="K50" s="134">
        <v>5.2704420000000001</v>
      </c>
      <c r="L50" s="134">
        <v>5.3035379999999996</v>
      </c>
      <c r="M50" s="134">
        <v>5.333761</v>
      </c>
      <c r="N50" s="134">
        <v>5.3629300000000004</v>
      </c>
      <c r="O50" s="134">
        <v>5.3947649999999996</v>
      </c>
      <c r="P50" s="134">
        <v>5.4289379999999996</v>
      </c>
      <c r="Q50" s="134">
        <v>5.4701579999999996</v>
      </c>
      <c r="R50" s="134">
        <v>5.5157069999999999</v>
      </c>
      <c r="S50" s="134">
        <v>5.562729</v>
      </c>
      <c r="T50" s="134">
        <v>5.6107959999999997</v>
      </c>
      <c r="U50" s="134">
        <v>5.65801</v>
      </c>
      <c r="V50" s="134">
        <v>5.7054549999999997</v>
      </c>
      <c r="W50" s="134">
        <v>5.7508330000000001</v>
      </c>
      <c r="X50" s="134">
        <v>5.7955560000000004</v>
      </c>
      <c r="Y50" s="134">
        <v>5.8416689999999996</v>
      </c>
      <c r="Z50" s="134">
        <v>5.8887409999999996</v>
      </c>
      <c r="AA50" s="134">
        <v>5.9369509999999996</v>
      </c>
      <c r="AB50" s="134">
        <v>5.9854070000000004</v>
      </c>
      <c r="AC50" s="134">
        <v>6.0351189999999999</v>
      </c>
      <c r="AD50" s="134">
        <v>6.0849159999999998</v>
      </c>
      <c r="AE50" s="134">
        <v>6.139284</v>
      </c>
      <c r="AF50" s="134">
        <v>6.1957209999999998</v>
      </c>
      <c r="AG50" s="134">
        <v>6.253851</v>
      </c>
      <c r="AH50" s="132">
        <f t="shared" si="1"/>
        <v>6.2984659730340002</v>
      </c>
      <c r="AI50" s="132">
        <f t="shared" si="3"/>
        <v>6.3433992292856249</v>
      </c>
      <c r="AJ50" s="132">
        <f t="shared" si="3"/>
        <v>6.3886530393873482</v>
      </c>
      <c r="AK50" s="132">
        <f t="shared" si="3"/>
        <v>6.4342296901703371</v>
      </c>
      <c r="AL50" s="132">
        <f t="shared" si="3"/>
        <v>6.4801314847800118</v>
      </c>
      <c r="AM50" s="132">
        <f t="shared" si="3"/>
        <v>6.5263607427924324</v>
      </c>
      <c r="AN50" s="132">
        <f t="shared" si="3"/>
        <v>6.5729198003315137</v>
      </c>
      <c r="AO50" s="132">
        <f t="shared" si="3"/>
        <v>6.6198110101870782</v>
      </c>
      <c r="AP50" s="132">
        <f t="shared" si="3"/>
        <v>6.6670367419337531</v>
      </c>
      <c r="AQ50" s="132">
        <f t="shared" si="3"/>
        <v>6.7145993820507082</v>
      </c>
      <c r="AR50" s="135">
        <v>7.1339999999999997E-3</v>
      </c>
    </row>
    <row r="51" spans="1:44" ht="15" customHeight="1"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</row>
    <row r="52" spans="1:44" ht="15" customHeight="1">
      <c r="B52" s="130" t="s">
        <v>68</v>
      </c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</row>
    <row r="53" spans="1:44" s="145" customFormat="1" ht="15" customHeight="1">
      <c r="A53" s="141" t="s">
        <v>69</v>
      </c>
      <c r="B53" s="142" t="s">
        <v>44</v>
      </c>
      <c r="C53" s="143">
        <v>3.5271979999999998</v>
      </c>
      <c r="D53" s="143">
        <v>3.4068170000000002</v>
      </c>
      <c r="E53" s="143">
        <v>3.5381719999999999</v>
      </c>
      <c r="F53" s="143">
        <v>3.5356019999999999</v>
      </c>
      <c r="G53" s="143">
        <v>3.5398179999999999</v>
      </c>
      <c r="H53" s="143">
        <v>3.535704</v>
      </c>
      <c r="I53" s="143">
        <v>3.5229430000000002</v>
      </c>
      <c r="J53" s="143">
        <v>3.505328</v>
      </c>
      <c r="K53" s="143">
        <v>3.4882430000000002</v>
      </c>
      <c r="L53" s="143">
        <v>3.4696370000000001</v>
      </c>
      <c r="M53" s="143">
        <v>3.4476300000000002</v>
      </c>
      <c r="N53" s="143">
        <v>3.4280680000000001</v>
      </c>
      <c r="O53" s="143">
        <v>3.4110649999999998</v>
      </c>
      <c r="P53" s="143">
        <v>3.3951519999999999</v>
      </c>
      <c r="Q53" s="143">
        <v>3.3800249999999998</v>
      </c>
      <c r="R53" s="143">
        <v>3.3672270000000002</v>
      </c>
      <c r="S53" s="143">
        <v>3.3551799999999998</v>
      </c>
      <c r="T53" s="143">
        <v>3.3433769999999998</v>
      </c>
      <c r="U53" s="143">
        <v>3.3330289999999998</v>
      </c>
      <c r="V53" s="143">
        <v>3.3236430000000001</v>
      </c>
      <c r="W53" s="143">
        <v>3.3156490000000001</v>
      </c>
      <c r="X53" s="143">
        <v>3.3071489999999999</v>
      </c>
      <c r="Y53" s="143">
        <v>3.298006</v>
      </c>
      <c r="Z53" s="143">
        <v>3.2885770000000001</v>
      </c>
      <c r="AA53" s="143">
        <v>3.2791389999999998</v>
      </c>
      <c r="AB53" s="143">
        <v>3.2696429999999999</v>
      </c>
      <c r="AC53" s="143">
        <v>3.2606869999999999</v>
      </c>
      <c r="AD53" s="143">
        <v>3.2516229999999999</v>
      </c>
      <c r="AE53" s="143">
        <v>3.2431939999999999</v>
      </c>
      <c r="AF53" s="143">
        <v>3.234245</v>
      </c>
      <c r="AG53" s="143">
        <v>3.2248079999999999</v>
      </c>
      <c r="AH53" s="143">
        <f t="shared" si="1"/>
        <v>3.2151883977360001</v>
      </c>
      <c r="AI53" s="143">
        <f t="shared" si="3"/>
        <v>3.2055974907455536</v>
      </c>
      <c r="AJ53" s="143">
        <f t="shared" si="3"/>
        <v>3.1960351934306597</v>
      </c>
      <c r="AK53" s="143">
        <f t="shared" si="3"/>
        <v>3.1865014204486561</v>
      </c>
      <c r="AL53" s="143">
        <f t="shared" si="3"/>
        <v>3.1769960867114579</v>
      </c>
      <c r="AM53" s="143">
        <f t="shared" si="3"/>
        <v>3.1675191073847979</v>
      </c>
      <c r="AN53" s="143">
        <f t="shared" si="3"/>
        <v>3.1580703978874691</v>
      </c>
      <c r="AO53" s="143">
        <f t="shared" si="3"/>
        <v>3.1486498738905708</v>
      </c>
      <c r="AP53" s="143">
        <f t="shared" si="3"/>
        <v>3.1392574513167553</v>
      </c>
      <c r="AQ53" s="143">
        <f t="shared" si="3"/>
        <v>3.1298930463394776</v>
      </c>
      <c r="AR53" s="144">
        <v>-2.983E-3</v>
      </c>
    </row>
    <row r="54" spans="1:44" ht="15" customHeight="1">
      <c r="A54" s="4" t="s">
        <v>70</v>
      </c>
      <c r="B54" s="131" t="s">
        <v>46</v>
      </c>
      <c r="C54" s="132">
        <v>5.8618000000000003E-2</v>
      </c>
      <c r="D54" s="132">
        <v>5.5421999999999999E-2</v>
      </c>
      <c r="E54" s="132">
        <v>6.0291999999999998E-2</v>
      </c>
      <c r="F54" s="132">
        <v>6.0192000000000002E-2</v>
      </c>
      <c r="G54" s="132">
        <v>6.0163000000000001E-2</v>
      </c>
      <c r="H54" s="132">
        <v>6.0023E-2</v>
      </c>
      <c r="I54" s="132">
        <v>5.9796000000000002E-2</v>
      </c>
      <c r="J54" s="132">
        <v>5.9541999999999998E-2</v>
      </c>
      <c r="K54" s="132">
        <v>5.9324000000000002E-2</v>
      </c>
      <c r="L54" s="132">
        <v>5.9101000000000001E-2</v>
      </c>
      <c r="M54" s="132">
        <v>5.8810000000000001E-2</v>
      </c>
      <c r="N54" s="132">
        <v>5.8534999999999997E-2</v>
      </c>
      <c r="O54" s="132">
        <v>5.8282E-2</v>
      </c>
      <c r="P54" s="132">
        <v>5.8022999999999998E-2</v>
      </c>
      <c r="Q54" s="132">
        <v>5.7819000000000002E-2</v>
      </c>
      <c r="R54" s="132">
        <v>5.7718999999999999E-2</v>
      </c>
      <c r="S54" s="132">
        <v>5.7716999999999997E-2</v>
      </c>
      <c r="T54" s="132">
        <v>5.7849999999999999E-2</v>
      </c>
      <c r="U54" s="132">
        <v>5.8006000000000002E-2</v>
      </c>
      <c r="V54" s="132">
        <v>5.8187000000000003E-2</v>
      </c>
      <c r="W54" s="132">
        <v>5.8388000000000002E-2</v>
      </c>
      <c r="X54" s="132">
        <v>5.8542999999999998E-2</v>
      </c>
      <c r="Y54" s="132">
        <v>5.8715000000000003E-2</v>
      </c>
      <c r="Z54" s="132">
        <v>5.8860999999999997E-2</v>
      </c>
      <c r="AA54" s="132">
        <v>5.9041999999999997E-2</v>
      </c>
      <c r="AB54" s="132">
        <v>5.9193999999999997E-2</v>
      </c>
      <c r="AC54" s="132">
        <v>5.9373000000000002E-2</v>
      </c>
      <c r="AD54" s="132">
        <v>5.9533000000000003E-2</v>
      </c>
      <c r="AE54" s="132">
        <v>5.9739E-2</v>
      </c>
      <c r="AF54" s="132">
        <v>5.9929999999999997E-2</v>
      </c>
      <c r="AG54" s="132">
        <v>6.0134E-2</v>
      </c>
      <c r="AH54" s="132">
        <f t="shared" si="1"/>
        <v>6.0185234168000007E-2</v>
      </c>
      <c r="AI54" s="132">
        <f t="shared" si="3"/>
        <v>6.0236511987511149E-2</v>
      </c>
      <c r="AJ54" s="132">
        <f t="shared" si="3"/>
        <v>6.0287833495724516E-2</v>
      </c>
      <c r="AK54" s="132">
        <f t="shared" si="3"/>
        <v>6.0339198729862875E-2</v>
      </c>
      <c r="AL54" s="132">
        <f t="shared" si="3"/>
        <v>6.0390607727180724E-2</v>
      </c>
      <c r="AM54" s="132">
        <f t="shared" si="3"/>
        <v>6.0442060524964286E-2</v>
      </c>
      <c r="AN54" s="132">
        <f t="shared" si="3"/>
        <v>6.0493557160531564E-2</v>
      </c>
      <c r="AO54" s="132">
        <f t="shared" si="3"/>
        <v>6.054509767123234E-2</v>
      </c>
      <c r="AP54" s="132">
        <f t="shared" si="3"/>
        <v>6.0596682094448233E-2</v>
      </c>
      <c r="AQ54" s="132">
        <f t="shared" si="3"/>
        <v>6.0648310467592705E-2</v>
      </c>
      <c r="AR54" s="133">
        <v>8.52E-4</v>
      </c>
    </row>
    <row r="55" spans="1:44" s="163" customFormat="1" ht="15" customHeight="1">
      <c r="A55" s="159" t="s">
        <v>71</v>
      </c>
      <c r="B55" s="160" t="s">
        <v>48</v>
      </c>
      <c r="C55" s="161">
        <v>1.007279</v>
      </c>
      <c r="D55" s="161">
        <v>1.0041690000000001</v>
      </c>
      <c r="E55" s="161">
        <v>1.007347</v>
      </c>
      <c r="F55" s="161">
        <v>1.014073</v>
      </c>
      <c r="G55" s="161">
        <v>1.0237890000000001</v>
      </c>
      <c r="H55" s="161">
        <v>1.0331030000000001</v>
      </c>
      <c r="I55" s="161">
        <v>1.0415760000000001</v>
      </c>
      <c r="J55" s="161">
        <v>1.0490330000000001</v>
      </c>
      <c r="K55" s="161">
        <v>1.0568759999999999</v>
      </c>
      <c r="L55" s="161">
        <v>1.0648519999999999</v>
      </c>
      <c r="M55" s="161">
        <v>1.0706519999999999</v>
      </c>
      <c r="N55" s="161">
        <v>1.0764830000000001</v>
      </c>
      <c r="O55" s="161">
        <v>1.0828819999999999</v>
      </c>
      <c r="P55" s="161">
        <v>1.089521</v>
      </c>
      <c r="Q55" s="161">
        <v>1.095863</v>
      </c>
      <c r="R55" s="161">
        <v>1.10233</v>
      </c>
      <c r="S55" s="161">
        <v>1.108471</v>
      </c>
      <c r="T55" s="161">
        <v>1.114128</v>
      </c>
      <c r="U55" s="161">
        <v>1.1194850000000001</v>
      </c>
      <c r="V55" s="161">
        <v>1.124763</v>
      </c>
      <c r="W55" s="161">
        <v>1.1300380000000001</v>
      </c>
      <c r="X55" s="161">
        <v>1.1350690000000001</v>
      </c>
      <c r="Y55" s="161">
        <v>1.139977</v>
      </c>
      <c r="Z55" s="161">
        <v>1.1451070000000001</v>
      </c>
      <c r="AA55" s="161">
        <v>1.1505080000000001</v>
      </c>
      <c r="AB55" s="161">
        <v>1.1562790000000001</v>
      </c>
      <c r="AC55" s="161">
        <v>1.16249</v>
      </c>
      <c r="AD55" s="161">
        <v>1.1689529999999999</v>
      </c>
      <c r="AE55" s="161">
        <v>1.175813</v>
      </c>
      <c r="AF55" s="161">
        <v>1.18275</v>
      </c>
      <c r="AG55" s="161">
        <v>1.189524</v>
      </c>
      <c r="AH55" s="161">
        <f t="shared" si="1"/>
        <v>1.1961365639160002</v>
      </c>
      <c r="AI55" s="161">
        <f t="shared" si="3"/>
        <v>1.2027858870748094</v>
      </c>
      <c r="AJ55" s="161">
        <f t="shared" si="3"/>
        <v>1.2094721738210583</v>
      </c>
      <c r="AK55" s="161">
        <f t="shared" si="3"/>
        <v>1.2161956296353298</v>
      </c>
      <c r="AL55" s="161">
        <f t="shared" si="3"/>
        <v>1.2229564611404726</v>
      </c>
      <c r="AM55" s="161">
        <f t="shared" si="3"/>
        <v>1.2297548761079526</v>
      </c>
      <c r="AN55" s="161">
        <f t="shared" si="3"/>
        <v>1.2365910834642369</v>
      </c>
      <c r="AO55" s="161">
        <f t="shared" si="3"/>
        <v>1.2434652932972146</v>
      </c>
      <c r="AP55" s="161">
        <f t="shared" si="3"/>
        <v>1.250377716862654</v>
      </c>
      <c r="AQ55" s="161">
        <f t="shared" si="3"/>
        <v>1.2573285665906935</v>
      </c>
      <c r="AR55" s="162">
        <v>5.5589999999999997E-3</v>
      </c>
    </row>
    <row r="56" spans="1:44" ht="15" customHeight="1">
      <c r="A56" s="4" t="s">
        <v>72</v>
      </c>
      <c r="B56" s="131" t="s">
        <v>52</v>
      </c>
      <c r="C56" s="132">
        <v>0.10345600000000001</v>
      </c>
      <c r="D56" s="132">
        <v>0.103327</v>
      </c>
      <c r="E56" s="132">
        <v>0.103488</v>
      </c>
      <c r="F56" s="132">
        <v>0.103641</v>
      </c>
      <c r="G56" s="132">
        <v>0.103815</v>
      </c>
      <c r="H56" s="132">
        <v>0.10403</v>
      </c>
      <c r="I56" s="132">
        <v>0.10424</v>
      </c>
      <c r="J56" s="132">
        <v>0.104418</v>
      </c>
      <c r="K56" s="132">
        <v>0.10459599999999999</v>
      </c>
      <c r="L56" s="132">
        <v>0.104837</v>
      </c>
      <c r="M56" s="132">
        <v>0.105138</v>
      </c>
      <c r="N56" s="132">
        <v>0.105513</v>
      </c>
      <c r="O56" s="132">
        <v>0.105978</v>
      </c>
      <c r="P56" s="132">
        <v>0.10654</v>
      </c>
      <c r="Q56" s="132">
        <v>0.107144</v>
      </c>
      <c r="R56" s="132">
        <v>0.10781</v>
      </c>
      <c r="S56" s="132">
        <v>0.10852199999999999</v>
      </c>
      <c r="T56" s="132">
        <v>0.109274</v>
      </c>
      <c r="U56" s="132">
        <v>0.11004700000000001</v>
      </c>
      <c r="V56" s="132">
        <v>0.110843</v>
      </c>
      <c r="W56" s="132">
        <v>0.11167000000000001</v>
      </c>
      <c r="X56" s="132">
        <v>0.112526</v>
      </c>
      <c r="Y56" s="132">
        <v>0.113409</v>
      </c>
      <c r="Z56" s="132">
        <v>0.11432199999999999</v>
      </c>
      <c r="AA56" s="132">
        <v>0.115263</v>
      </c>
      <c r="AB56" s="132">
        <v>0.116226</v>
      </c>
      <c r="AC56" s="132">
        <v>0.117205</v>
      </c>
      <c r="AD56" s="132">
        <v>0.118188</v>
      </c>
      <c r="AE56" s="132">
        <v>0.11916499999999999</v>
      </c>
      <c r="AF56" s="132">
        <v>0.120132</v>
      </c>
      <c r="AG56" s="132">
        <v>0.12108099999999999</v>
      </c>
      <c r="AH56" s="132">
        <f t="shared" si="1"/>
        <v>0.121717522817</v>
      </c>
      <c r="AI56" s="132">
        <f t="shared" si="3"/>
        <v>0.12235739183444898</v>
      </c>
      <c r="AJ56" s="132">
        <f t="shared" si="3"/>
        <v>0.12300062464332269</v>
      </c>
      <c r="AK56" s="132">
        <f t="shared" si="3"/>
        <v>0.12364723892707265</v>
      </c>
      <c r="AL56" s="132">
        <f t="shared" si="3"/>
        <v>0.12429725246211228</v>
      </c>
      <c r="AM56" s="132">
        <f t="shared" si="3"/>
        <v>0.12495068311830561</v>
      </c>
      <c r="AN56" s="132">
        <f t="shared" si="3"/>
        <v>0.12560754885945855</v>
      </c>
      <c r="AO56" s="132">
        <f t="shared" si="3"/>
        <v>0.12626786774381274</v>
      </c>
      <c r="AP56" s="132">
        <f t="shared" si="3"/>
        <v>0.12693165792454197</v>
      </c>
      <c r="AQ56" s="132">
        <f t="shared" si="3"/>
        <v>0.12759893765025129</v>
      </c>
      <c r="AR56" s="133">
        <v>5.2570000000000004E-3</v>
      </c>
    </row>
    <row r="57" spans="1:44" ht="15" customHeight="1">
      <c r="A57" s="4" t="s">
        <v>73</v>
      </c>
      <c r="B57" s="131" t="s">
        <v>54</v>
      </c>
      <c r="C57" s="132">
        <v>3.9426999999999997E-2</v>
      </c>
      <c r="D57" s="132">
        <v>3.9794000000000003E-2</v>
      </c>
      <c r="E57" s="132">
        <v>4.0383000000000002E-2</v>
      </c>
      <c r="F57" s="132">
        <v>4.1098000000000003E-2</v>
      </c>
      <c r="G57" s="132">
        <v>4.1911999999999998E-2</v>
      </c>
      <c r="H57" s="132">
        <v>4.2687999999999997E-2</v>
      </c>
      <c r="I57" s="132">
        <v>4.3422000000000002E-2</v>
      </c>
      <c r="J57" s="132">
        <v>4.4122000000000001E-2</v>
      </c>
      <c r="K57" s="132">
        <v>4.4798999999999999E-2</v>
      </c>
      <c r="L57" s="132">
        <v>4.5449999999999997E-2</v>
      </c>
      <c r="M57" s="132">
        <v>4.5976000000000003E-2</v>
      </c>
      <c r="N57" s="132">
        <v>4.6544000000000002E-2</v>
      </c>
      <c r="O57" s="132">
        <v>4.7157999999999999E-2</v>
      </c>
      <c r="P57" s="132">
        <v>4.7801000000000003E-2</v>
      </c>
      <c r="Q57" s="132">
        <v>4.8443E-2</v>
      </c>
      <c r="R57" s="132">
        <v>4.9086999999999999E-2</v>
      </c>
      <c r="S57" s="132">
        <v>4.9716000000000003E-2</v>
      </c>
      <c r="T57" s="132">
        <v>5.0361999999999997E-2</v>
      </c>
      <c r="U57" s="132">
        <v>5.1031E-2</v>
      </c>
      <c r="V57" s="132">
        <v>5.1721000000000003E-2</v>
      </c>
      <c r="W57" s="132">
        <v>5.2427000000000001E-2</v>
      </c>
      <c r="X57" s="132">
        <v>5.3130999999999998E-2</v>
      </c>
      <c r="Y57" s="132">
        <v>5.3830999999999997E-2</v>
      </c>
      <c r="Z57" s="132">
        <v>5.4533999999999999E-2</v>
      </c>
      <c r="AA57" s="132">
        <v>5.5234999999999999E-2</v>
      </c>
      <c r="AB57" s="132">
        <v>5.5934999999999999E-2</v>
      </c>
      <c r="AC57" s="132">
        <v>5.6635999999999999E-2</v>
      </c>
      <c r="AD57" s="132">
        <v>5.7333000000000002E-2</v>
      </c>
      <c r="AE57" s="132">
        <v>5.8035000000000003E-2</v>
      </c>
      <c r="AF57" s="132">
        <v>5.8729000000000003E-2</v>
      </c>
      <c r="AG57" s="132">
        <v>5.9408000000000002E-2</v>
      </c>
      <c r="AH57" s="132">
        <f t="shared" si="1"/>
        <v>6.0225454080000004E-2</v>
      </c>
      <c r="AI57" s="132">
        <f t="shared" si="3"/>
        <v>6.1054156328140805E-2</v>
      </c>
      <c r="AJ57" s="132">
        <f t="shared" si="3"/>
        <v>6.1894261519216023E-2</v>
      </c>
      <c r="AK57" s="132">
        <f t="shared" si="3"/>
        <v>6.2745926557720433E-2</v>
      </c>
      <c r="AL57" s="132">
        <f t="shared" si="3"/>
        <v>6.3609310507154668E-2</v>
      </c>
      <c r="AM57" s="132">
        <f t="shared" si="3"/>
        <v>6.4484574619733115E-2</v>
      </c>
      <c r="AN57" s="132">
        <f t="shared" si="3"/>
        <v>6.5371882366500642E-2</v>
      </c>
      <c r="AO57" s="132">
        <f t="shared" si="3"/>
        <v>6.6271399467863687E-2</v>
      </c>
      <c r="AP57" s="132">
        <f t="shared" si="3"/>
        <v>6.718329392454149E-2</v>
      </c>
      <c r="AQ57" s="132">
        <f t="shared" si="3"/>
        <v>6.8107736048943185E-2</v>
      </c>
      <c r="AR57" s="133">
        <v>1.376E-2</v>
      </c>
    </row>
    <row r="58" spans="1:44" ht="15" customHeight="1">
      <c r="A58" s="4" t="s">
        <v>74</v>
      </c>
      <c r="B58" s="131" t="s">
        <v>351</v>
      </c>
      <c r="C58" s="132">
        <v>0.233372</v>
      </c>
      <c r="D58" s="132">
        <v>0.23185500000000001</v>
      </c>
      <c r="E58" s="132">
        <v>0.23150200000000001</v>
      </c>
      <c r="F58" s="132">
        <v>0.23178599999999999</v>
      </c>
      <c r="G58" s="132">
        <v>0.23241100000000001</v>
      </c>
      <c r="H58" s="132">
        <v>0.232655</v>
      </c>
      <c r="I58" s="132">
        <v>0.232517</v>
      </c>
      <c r="J58" s="132">
        <v>0.23203799999999999</v>
      </c>
      <c r="K58" s="132">
        <v>0.23147699999999999</v>
      </c>
      <c r="L58" s="132">
        <v>0.23080999999999999</v>
      </c>
      <c r="M58" s="132">
        <v>0.229433</v>
      </c>
      <c r="N58" s="132">
        <v>0.22833200000000001</v>
      </c>
      <c r="O58" s="132">
        <v>0.22751299999999999</v>
      </c>
      <c r="P58" s="132">
        <v>0.226939</v>
      </c>
      <c r="Q58" s="132">
        <v>0.22645000000000001</v>
      </c>
      <c r="R58" s="132">
        <v>0.22605900000000001</v>
      </c>
      <c r="S58" s="132">
        <v>0.22570499999999999</v>
      </c>
      <c r="T58" s="132">
        <v>0.225355</v>
      </c>
      <c r="U58" s="132">
        <v>0.22502800000000001</v>
      </c>
      <c r="V58" s="132">
        <v>0.22472800000000001</v>
      </c>
      <c r="W58" s="132">
        <v>0.22443299999999999</v>
      </c>
      <c r="X58" s="132">
        <v>0.22409799999999999</v>
      </c>
      <c r="Y58" s="132">
        <v>0.22373199999999999</v>
      </c>
      <c r="Z58" s="132">
        <v>0.22336800000000001</v>
      </c>
      <c r="AA58" s="132">
        <v>0.223001</v>
      </c>
      <c r="AB58" s="132">
        <v>0.222637</v>
      </c>
      <c r="AC58" s="132">
        <v>0.22229299999999999</v>
      </c>
      <c r="AD58" s="132">
        <v>0.22195400000000001</v>
      </c>
      <c r="AE58" s="132">
        <v>0.22166</v>
      </c>
      <c r="AF58" s="132">
        <v>0.221362</v>
      </c>
      <c r="AG58" s="132">
        <v>0.221026</v>
      </c>
      <c r="AH58" s="132">
        <f t="shared" si="1"/>
        <v>0.22062594294000001</v>
      </c>
      <c r="AI58" s="132">
        <f t="shared" si="3"/>
        <v>0.22022660998327862</v>
      </c>
      <c r="AJ58" s="132">
        <f t="shared" si="3"/>
        <v>0.21982799981920889</v>
      </c>
      <c r="AK58" s="132">
        <f t="shared" si="3"/>
        <v>0.21943011113953612</v>
      </c>
      <c r="AL58" s="132">
        <f t="shared" si="3"/>
        <v>0.21903294263837356</v>
      </c>
      <c r="AM58" s="132">
        <f t="shared" si="3"/>
        <v>0.21863649301219812</v>
      </c>
      <c r="AN58" s="132">
        <f t="shared" si="3"/>
        <v>0.21824076095984604</v>
      </c>
      <c r="AO58" s="132">
        <f t="shared" si="3"/>
        <v>0.21784574518250874</v>
      </c>
      <c r="AP58" s="132">
        <f t="shared" si="3"/>
        <v>0.2174514443837284</v>
      </c>
      <c r="AQ58" s="132">
        <f t="shared" si="3"/>
        <v>0.21705785726939386</v>
      </c>
      <c r="AR58" s="133">
        <v>-1.81E-3</v>
      </c>
    </row>
    <row r="59" spans="1:44" ht="15" customHeight="1">
      <c r="A59" s="4" t="s">
        <v>76</v>
      </c>
      <c r="B59" s="130" t="s">
        <v>67</v>
      </c>
      <c r="C59" s="134">
        <v>4.9693500000000004</v>
      </c>
      <c r="D59" s="134">
        <v>4.8413839999999997</v>
      </c>
      <c r="E59" s="134">
        <v>4.9811839999999998</v>
      </c>
      <c r="F59" s="134">
        <v>4.9863920000000004</v>
      </c>
      <c r="G59" s="134">
        <v>5.0019070000000001</v>
      </c>
      <c r="H59" s="134">
        <v>5.008203</v>
      </c>
      <c r="I59" s="134">
        <v>5.0044950000000004</v>
      </c>
      <c r="J59" s="134">
        <v>4.9944800000000003</v>
      </c>
      <c r="K59" s="134">
        <v>4.9853160000000001</v>
      </c>
      <c r="L59" s="134">
        <v>4.9746870000000003</v>
      </c>
      <c r="M59" s="134">
        <v>4.9576399999999996</v>
      </c>
      <c r="N59" s="134">
        <v>4.9434750000000003</v>
      </c>
      <c r="O59" s="134">
        <v>4.9328779999999997</v>
      </c>
      <c r="P59" s="134">
        <v>4.9239769999999998</v>
      </c>
      <c r="Q59" s="134">
        <v>4.9157450000000003</v>
      </c>
      <c r="R59" s="134">
        <v>4.9102319999999997</v>
      </c>
      <c r="S59" s="134">
        <v>4.9053110000000002</v>
      </c>
      <c r="T59" s="134">
        <v>4.9003480000000001</v>
      </c>
      <c r="U59" s="134">
        <v>4.8966260000000004</v>
      </c>
      <c r="V59" s="134">
        <v>4.893885</v>
      </c>
      <c r="W59" s="134">
        <v>4.8926049999999996</v>
      </c>
      <c r="X59" s="134">
        <v>4.8905159999999999</v>
      </c>
      <c r="Y59" s="134">
        <v>4.88767</v>
      </c>
      <c r="Z59" s="134">
        <v>4.8847680000000002</v>
      </c>
      <c r="AA59" s="134">
        <v>4.8821870000000001</v>
      </c>
      <c r="AB59" s="134">
        <v>4.8799149999999996</v>
      </c>
      <c r="AC59" s="134">
        <v>4.8786829999999997</v>
      </c>
      <c r="AD59" s="134">
        <v>4.8775849999999998</v>
      </c>
      <c r="AE59" s="134">
        <v>4.877605</v>
      </c>
      <c r="AF59" s="134">
        <v>4.877148</v>
      </c>
      <c r="AG59" s="134">
        <v>4.8759800000000002</v>
      </c>
      <c r="AH59" s="132">
        <f t="shared" si="1"/>
        <v>4.8728983806400006</v>
      </c>
      <c r="AI59" s="132">
        <f t="shared" ref="AI59:AQ74" si="4">AH59*(1+$AR59)</f>
        <v>4.8698187088634359</v>
      </c>
      <c r="AJ59" s="132">
        <f t="shared" si="4"/>
        <v>4.8667409834394348</v>
      </c>
      <c r="AK59" s="132">
        <f t="shared" si="4"/>
        <v>4.8636652031379013</v>
      </c>
      <c r="AL59" s="132">
        <f t="shared" si="4"/>
        <v>4.8605913667295182</v>
      </c>
      <c r="AM59" s="132">
        <f t="shared" si="4"/>
        <v>4.8575194729857456</v>
      </c>
      <c r="AN59" s="132">
        <f t="shared" si="4"/>
        <v>4.854449520678819</v>
      </c>
      <c r="AO59" s="132">
        <f t="shared" si="4"/>
        <v>4.85138150858175</v>
      </c>
      <c r="AP59" s="132">
        <f t="shared" si="4"/>
        <v>4.8483154354683267</v>
      </c>
      <c r="AQ59" s="132">
        <f t="shared" si="4"/>
        <v>4.8452513001131106</v>
      </c>
      <c r="AR59" s="135">
        <v>-6.3199999999999997E-4</v>
      </c>
    </row>
    <row r="60" spans="1:44" ht="15" customHeight="1"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</row>
    <row r="61" spans="1:44" ht="15" customHeight="1">
      <c r="B61" s="130" t="s">
        <v>352</v>
      </c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</row>
    <row r="62" spans="1:44" s="147" customFormat="1" ht="15" customHeight="1">
      <c r="A62" s="149" t="s">
        <v>77</v>
      </c>
      <c r="B62" s="150" t="s">
        <v>44</v>
      </c>
      <c r="C62" s="151">
        <v>0.372664</v>
      </c>
      <c r="D62" s="151">
        <v>0.399955</v>
      </c>
      <c r="E62" s="151">
        <v>0.39968799999999999</v>
      </c>
      <c r="F62" s="151">
        <v>0.38928299999999999</v>
      </c>
      <c r="G62" s="151">
        <v>0.37951299999999999</v>
      </c>
      <c r="H62" s="151">
        <v>0.37123200000000001</v>
      </c>
      <c r="I62" s="151">
        <v>0.36319899999999999</v>
      </c>
      <c r="J62" s="151">
        <v>0.35584300000000002</v>
      </c>
      <c r="K62" s="151">
        <v>0.34920899999999999</v>
      </c>
      <c r="L62" s="151">
        <v>0.34301399999999999</v>
      </c>
      <c r="M62" s="151">
        <v>0.337038</v>
      </c>
      <c r="N62" s="151">
        <v>0.33146399999999998</v>
      </c>
      <c r="O62" s="151">
        <v>0.32606499999999999</v>
      </c>
      <c r="P62" s="151">
        <v>0.320905</v>
      </c>
      <c r="Q62" s="151">
        <v>0.31589800000000001</v>
      </c>
      <c r="R62" s="151">
        <v>0.31137300000000001</v>
      </c>
      <c r="S62" s="151">
        <v>0.30709900000000001</v>
      </c>
      <c r="T62" s="151">
        <v>0.30277500000000002</v>
      </c>
      <c r="U62" s="151">
        <v>0.29836299999999999</v>
      </c>
      <c r="V62" s="151">
        <v>0.29428900000000002</v>
      </c>
      <c r="W62" s="151">
        <v>0.29003899999999999</v>
      </c>
      <c r="X62" s="151">
        <v>0.28581899999999999</v>
      </c>
      <c r="Y62" s="151">
        <v>0.281613</v>
      </c>
      <c r="Z62" s="151">
        <v>0.27742600000000001</v>
      </c>
      <c r="AA62" s="151">
        <v>0.27319500000000002</v>
      </c>
      <c r="AB62" s="151">
        <v>0.268874</v>
      </c>
      <c r="AC62" s="151">
        <v>0.26463199999999998</v>
      </c>
      <c r="AD62" s="151">
        <v>0.26042599999999999</v>
      </c>
      <c r="AE62" s="151">
        <v>0.256324</v>
      </c>
      <c r="AF62" s="151">
        <v>0.25215399999999999</v>
      </c>
      <c r="AG62" s="151">
        <v>0.24796299999999999</v>
      </c>
      <c r="AH62" s="151">
        <f t="shared" si="1"/>
        <v>0.24461847505600001</v>
      </c>
      <c r="AI62" s="151">
        <f t="shared" si="4"/>
        <v>0.2413190610644447</v>
      </c>
      <c r="AJ62" s="151">
        <f t="shared" si="4"/>
        <v>0.23806414956880748</v>
      </c>
      <c r="AK62" s="151">
        <f t="shared" si="4"/>
        <v>0.23485314031942342</v>
      </c>
      <c r="AL62" s="151">
        <f t="shared" si="4"/>
        <v>0.23168544116279505</v>
      </c>
      <c r="AM62" s="151">
        <f t="shared" si="4"/>
        <v>0.22856046793239129</v>
      </c>
      <c r="AN62" s="151">
        <f t="shared" si="4"/>
        <v>0.22547764434091921</v>
      </c>
      <c r="AO62" s="151">
        <f t="shared" si="4"/>
        <v>0.22243640187404892</v>
      </c>
      <c r="AP62" s="151">
        <f t="shared" si="4"/>
        <v>0.21943617968557177</v>
      </c>
      <c r="AQ62" s="151">
        <f t="shared" si="4"/>
        <v>0.21647642449397281</v>
      </c>
      <c r="AR62" s="152">
        <v>-1.3488E-2</v>
      </c>
    </row>
    <row r="63" spans="1:44" ht="15" customHeight="1">
      <c r="A63" s="4" t="s">
        <v>78</v>
      </c>
      <c r="B63" s="131" t="s">
        <v>48</v>
      </c>
      <c r="C63" s="132">
        <v>4.8758999999999997E-2</v>
      </c>
      <c r="D63" s="132">
        <v>4.7107999999999997E-2</v>
      </c>
      <c r="E63" s="132">
        <v>4.5227999999999997E-2</v>
      </c>
      <c r="F63" s="132">
        <v>4.3108E-2</v>
      </c>
      <c r="G63" s="132">
        <v>4.1235000000000001E-2</v>
      </c>
      <c r="H63" s="132">
        <v>3.9720999999999999E-2</v>
      </c>
      <c r="I63" s="132">
        <v>3.8404000000000001E-2</v>
      </c>
      <c r="J63" s="132">
        <v>3.7331000000000003E-2</v>
      </c>
      <c r="K63" s="132">
        <v>3.6495E-2</v>
      </c>
      <c r="L63" s="132">
        <v>3.5866000000000002E-2</v>
      </c>
      <c r="M63" s="132">
        <v>3.5411999999999999E-2</v>
      </c>
      <c r="N63" s="132">
        <v>3.4931999999999998E-2</v>
      </c>
      <c r="O63" s="132">
        <v>3.4422000000000001E-2</v>
      </c>
      <c r="P63" s="132">
        <v>3.3897999999999998E-2</v>
      </c>
      <c r="Q63" s="132">
        <v>3.3360000000000001E-2</v>
      </c>
      <c r="R63" s="132">
        <v>3.2837999999999999E-2</v>
      </c>
      <c r="S63" s="132">
        <v>3.2328999999999997E-2</v>
      </c>
      <c r="T63" s="132">
        <v>3.1798E-2</v>
      </c>
      <c r="U63" s="132">
        <v>3.1244000000000001E-2</v>
      </c>
      <c r="V63" s="132">
        <v>3.0721999999999999E-2</v>
      </c>
      <c r="W63" s="132">
        <v>3.0176000000000001E-2</v>
      </c>
      <c r="X63" s="132">
        <v>2.9644E-2</v>
      </c>
      <c r="Y63" s="132">
        <v>2.9135999999999999E-2</v>
      </c>
      <c r="Z63" s="132">
        <v>2.8657999999999999E-2</v>
      </c>
      <c r="AA63" s="132">
        <v>2.8198999999999998E-2</v>
      </c>
      <c r="AB63" s="132">
        <v>2.775E-2</v>
      </c>
      <c r="AC63" s="132">
        <v>2.733E-2</v>
      </c>
      <c r="AD63" s="132">
        <v>2.6935000000000001E-2</v>
      </c>
      <c r="AE63" s="132">
        <v>2.6564000000000001E-2</v>
      </c>
      <c r="AF63" s="132">
        <v>2.6193999999999999E-2</v>
      </c>
      <c r="AG63" s="132">
        <v>2.5829000000000001E-2</v>
      </c>
      <c r="AH63" s="132">
        <f t="shared" si="1"/>
        <v>2.5287701647000001E-2</v>
      </c>
      <c r="AI63" s="132">
        <f t="shared" si="4"/>
        <v>2.4757747283583823E-2</v>
      </c>
      <c r="AJ63" s="132">
        <f t="shared" si="4"/>
        <v>2.4238899173761756E-2</v>
      </c>
      <c r="AK63" s="132">
        <f t="shared" si="4"/>
        <v>2.373092456377723E-2</v>
      </c>
      <c r="AL63" s="132">
        <f t="shared" si="4"/>
        <v>2.3233595577694152E-2</v>
      </c>
      <c r="AM63" s="132">
        <f t="shared" si="4"/>
        <v>2.2746689115172417E-2</v>
      </c>
      <c r="AN63" s="132">
        <f t="shared" si="4"/>
        <v>2.2269986751385747E-2</v>
      </c>
      <c r="AO63" s="132">
        <f t="shared" si="4"/>
        <v>2.1803274639036956E-2</v>
      </c>
      <c r="AP63" s="132">
        <f t="shared" si="4"/>
        <v>2.1346343412426659E-2</v>
      </c>
      <c r="AQ63" s="132">
        <f t="shared" si="4"/>
        <v>2.0898988093532432E-2</v>
      </c>
      <c r="AR63" s="133">
        <v>-2.0957E-2</v>
      </c>
    </row>
    <row r="64" spans="1:44" ht="15" customHeight="1">
      <c r="A64" s="4" t="s">
        <v>79</v>
      </c>
      <c r="B64" s="131" t="s">
        <v>86</v>
      </c>
      <c r="C64" s="132">
        <v>7.8510000000000003E-3</v>
      </c>
      <c r="D64" s="132">
        <v>7.9019999999999993E-3</v>
      </c>
      <c r="E64" s="132">
        <v>7.8910000000000004E-3</v>
      </c>
      <c r="F64" s="132">
        <v>7.8130000000000005E-3</v>
      </c>
      <c r="G64" s="132">
        <v>7.7390000000000002E-3</v>
      </c>
      <c r="H64" s="132">
        <v>7.6880000000000004E-3</v>
      </c>
      <c r="I64" s="132">
        <v>7.6400000000000001E-3</v>
      </c>
      <c r="J64" s="132">
        <v>7.5989999999999999E-3</v>
      </c>
      <c r="K64" s="132">
        <v>7.5659999999999998E-3</v>
      </c>
      <c r="L64" s="132">
        <v>7.5360000000000002E-3</v>
      </c>
      <c r="M64" s="132">
        <v>7.5050000000000004E-3</v>
      </c>
      <c r="N64" s="132">
        <v>7.4790000000000004E-3</v>
      </c>
      <c r="O64" s="132">
        <v>7.4539999999999997E-3</v>
      </c>
      <c r="P64" s="132">
        <v>7.43E-3</v>
      </c>
      <c r="Q64" s="132">
        <v>7.4079999999999997E-3</v>
      </c>
      <c r="R64" s="132">
        <v>7.3920000000000001E-3</v>
      </c>
      <c r="S64" s="132">
        <v>7.3800000000000003E-3</v>
      </c>
      <c r="T64" s="132">
        <v>7.3629999999999998E-3</v>
      </c>
      <c r="U64" s="132">
        <v>7.3419999999999996E-3</v>
      </c>
      <c r="V64" s="132">
        <v>7.326E-3</v>
      </c>
      <c r="W64" s="132">
        <v>7.3020000000000003E-3</v>
      </c>
      <c r="X64" s="132">
        <v>7.2789999999999999E-3</v>
      </c>
      <c r="Y64" s="132">
        <v>7.2560000000000003E-3</v>
      </c>
      <c r="Z64" s="132">
        <v>7.2360000000000002E-3</v>
      </c>
      <c r="AA64" s="132">
        <v>7.2139999999999999E-3</v>
      </c>
      <c r="AB64" s="132">
        <v>7.1900000000000002E-3</v>
      </c>
      <c r="AC64" s="132">
        <v>7.1679999999999999E-3</v>
      </c>
      <c r="AD64" s="132">
        <v>7.1479999999999998E-3</v>
      </c>
      <c r="AE64" s="132">
        <v>7.1310000000000002E-3</v>
      </c>
      <c r="AF64" s="132">
        <v>7.1120000000000003E-3</v>
      </c>
      <c r="AG64" s="132">
        <v>7.0920000000000002E-3</v>
      </c>
      <c r="AH64" s="132">
        <f t="shared" si="1"/>
        <v>7.0680290399999998E-3</v>
      </c>
      <c r="AI64" s="132">
        <f t="shared" si="4"/>
        <v>7.0441391018447996E-3</v>
      </c>
      <c r="AJ64" s="132">
        <f t="shared" si="4"/>
        <v>7.020329911680564E-3</v>
      </c>
      <c r="AK64" s="132">
        <f t="shared" si="4"/>
        <v>6.9966011965790836E-3</v>
      </c>
      <c r="AL64" s="132">
        <f t="shared" si="4"/>
        <v>6.9729526845346461E-3</v>
      </c>
      <c r="AM64" s="132">
        <f t="shared" si="4"/>
        <v>6.9493841044609185E-3</v>
      </c>
      <c r="AN64" s="132">
        <f t="shared" si="4"/>
        <v>6.9258951861878399E-3</v>
      </c>
      <c r="AO64" s="132">
        <f t="shared" si="4"/>
        <v>6.9024856604585245E-3</v>
      </c>
      <c r="AP64" s="132">
        <f t="shared" si="4"/>
        <v>6.8791552589261744E-3</v>
      </c>
      <c r="AQ64" s="132">
        <f t="shared" si="4"/>
        <v>6.855903714151004E-3</v>
      </c>
      <c r="AR64" s="133">
        <v>-3.3800000000000002E-3</v>
      </c>
    </row>
    <row r="65" spans="1:44" ht="15" customHeight="1">
      <c r="A65" s="4" t="s">
        <v>80</v>
      </c>
      <c r="B65" s="130" t="s">
        <v>67</v>
      </c>
      <c r="C65" s="134">
        <v>0.42927399999999999</v>
      </c>
      <c r="D65" s="134">
        <v>0.45496599999999998</v>
      </c>
      <c r="E65" s="134">
        <v>0.45280599999999999</v>
      </c>
      <c r="F65" s="134">
        <v>0.44020399999999998</v>
      </c>
      <c r="G65" s="134">
        <v>0.42848700000000001</v>
      </c>
      <c r="H65" s="134">
        <v>0.41864099999999999</v>
      </c>
      <c r="I65" s="134">
        <v>0.40924300000000002</v>
      </c>
      <c r="J65" s="134">
        <v>0.40077299999999999</v>
      </c>
      <c r="K65" s="134">
        <v>0.39327000000000001</v>
      </c>
      <c r="L65" s="134">
        <v>0.38641599999999998</v>
      </c>
      <c r="M65" s="134">
        <v>0.37995499999999999</v>
      </c>
      <c r="N65" s="134">
        <v>0.37387599999999999</v>
      </c>
      <c r="O65" s="134">
        <v>0.36794100000000002</v>
      </c>
      <c r="P65" s="134">
        <v>0.36223300000000003</v>
      </c>
      <c r="Q65" s="134">
        <v>0.35666599999999998</v>
      </c>
      <c r="R65" s="134">
        <v>0.351603</v>
      </c>
      <c r="S65" s="134">
        <v>0.34680699999999998</v>
      </c>
      <c r="T65" s="134">
        <v>0.34193600000000002</v>
      </c>
      <c r="U65" s="134">
        <v>0.336949</v>
      </c>
      <c r="V65" s="134">
        <v>0.33233699999999999</v>
      </c>
      <c r="W65" s="134">
        <v>0.32751799999999998</v>
      </c>
      <c r="X65" s="134">
        <v>0.32274199999999997</v>
      </c>
      <c r="Y65" s="134">
        <v>0.31800600000000001</v>
      </c>
      <c r="Z65" s="134">
        <v>0.31331900000000001</v>
      </c>
      <c r="AA65" s="134">
        <v>0.30860799999999999</v>
      </c>
      <c r="AB65" s="134">
        <v>0.30381399999999997</v>
      </c>
      <c r="AC65" s="134">
        <v>0.29912899999999998</v>
      </c>
      <c r="AD65" s="134">
        <v>0.29450900000000002</v>
      </c>
      <c r="AE65" s="134">
        <v>0.29001900000000003</v>
      </c>
      <c r="AF65" s="134">
        <v>0.28545999999999999</v>
      </c>
      <c r="AG65" s="134">
        <v>0.28089700000000001</v>
      </c>
      <c r="AH65" s="132">
        <f t="shared" si="1"/>
        <v>0.276954048811</v>
      </c>
      <c r="AI65" s="132">
        <f t="shared" si="4"/>
        <v>0.27306644482783998</v>
      </c>
      <c r="AJ65" s="132">
        <f t="shared" si="4"/>
        <v>0.26923341114179161</v>
      </c>
      <c r="AK65" s="132">
        <f t="shared" si="4"/>
        <v>0.26545418174959429</v>
      </c>
      <c r="AL65" s="132">
        <f t="shared" si="4"/>
        <v>0.26172800140037522</v>
      </c>
      <c r="AM65" s="132">
        <f t="shared" si="4"/>
        <v>0.25805412544471817</v>
      </c>
      <c r="AN65" s="132">
        <f t="shared" si="4"/>
        <v>0.25443181968585066</v>
      </c>
      <c r="AO65" s="132">
        <f t="shared" si="4"/>
        <v>0.25086036023292035</v>
      </c>
      <c r="AP65" s="132">
        <f t="shared" si="4"/>
        <v>0.24733903335633087</v>
      </c>
      <c r="AQ65" s="132">
        <f t="shared" si="4"/>
        <v>0.24386713534510807</v>
      </c>
      <c r="AR65" s="135">
        <v>-1.4037000000000001E-2</v>
      </c>
    </row>
    <row r="66" spans="1:44" ht="15" customHeight="1">
      <c r="AH66" s="132">
        <f t="shared" si="1"/>
        <v>0</v>
      </c>
      <c r="AI66" s="132">
        <f t="shared" si="4"/>
        <v>0</v>
      </c>
      <c r="AJ66" s="132">
        <f t="shared" si="4"/>
        <v>0</v>
      </c>
      <c r="AK66" s="132">
        <f t="shared" si="4"/>
        <v>0</v>
      </c>
      <c r="AL66" s="132">
        <f t="shared" si="4"/>
        <v>0</v>
      </c>
      <c r="AM66" s="132">
        <f t="shared" si="4"/>
        <v>0</v>
      </c>
      <c r="AN66" s="132">
        <f t="shared" si="4"/>
        <v>0</v>
      </c>
      <c r="AO66" s="132">
        <f t="shared" si="4"/>
        <v>0</v>
      </c>
      <c r="AP66" s="132">
        <f t="shared" si="4"/>
        <v>0</v>
      </c>
      <c r="AQ66" s="132">
        <f t="shared" si="4"/>
        <v>0</v>
      </c>
    </row>
    <row r="67" spans="1:44" ht="15" customHeight="1">
      <c r="B67" s="130" t="s">
        <v>81</v>
      </c>
      <c r="AH67" s="132">
        <f t="shared" si="1"/>
        <v>0</v>
      </c>
      <c r="AI67" s="132">
        <f t="shared" si="4"/>
        <v>0</v>
      </c>
      <c r="AJ67" s="132">
        <f t="shared" si="4"/>
        <v>0</v>
      </c>
      <c r="AK67" s="132">
        <f t="shared" si="4"/>
        <v>0</v>
      </c>
      <c r="AL67" s="132">
        <f t="shared" si="4"/>
        <v>0</v>
      </c>
      <c r="AM67" s="132">
        <f t="shared" si="4"/>
        <v>0</v>
      </c>
      <c r="AN67" s="132">
        <f t="shared" si="4"/>
        <v>0</v>
      </c>
      <c r="AO67" s="132">
        <f t="shared" si="4"/>
        <v>0</v>
      </c>
      <c r="AP67" s="132">
        <f t="shared" si="4"/>
        <v>0</v>
      </c>
      <c r="AQ67" s="132">
        <f t="shared" si="4"/>
        <v>0</v>
      </c>
    </row>
    <row r="68" spans="1:44" ht="15" customHeight="1">
      <c r="A68" s="4" t="s">
        <v>82</v>
      </c>
      <c r="B68" s="131" t="s">
        <v>44</v>
      </c>
      <c r="C68" s="132">
        <v>0.30082599999999998</v>
      </c>
      <c r="D68" s="132">
        <v>0.319245</v>
      </c>
      <c r="E68" s="132">
        <v>0.31642700000000001</v>
      </c>
      <c r="F68" s="132">
        <v>0.31378600000000001</v>
      </c>
      <c r="G68" s="132">
        <v>0.311282</v>
      </c>
      <c r="H68" s="132">
        <v>0.30873200000000001</v>
      </c>
      <c r="I68" s="132">
        <v>0.30631199999999997</v>
      </c>
      <c r="J68" s="132">
        <v>0.30398900000000001</v>
      </c>
      <c r="K68" s="132">
        <v>0.30152699999999999</v>
      </c>
      <c r="L68" s="132">
        <v>0.29885800000000001</v>
      </c>
      <c r="M68" s="132">
        <v>0.29563699999999998</v>
      </c>
      <c r="N68" s="132">
        <v>0.29248200000000002</v>
      </c>
      <c r="O68" s="132">
        <v>0.28951300000000002</v>
      </c>
      <c r="P68" s="132">
        <v>0.28678999999999999</v>
      </c>
      <c r="Q68" s="132">
        <v>0.28419699999999998</v>
      </c>
      <c r="R68" s="132">
        <v>0.28186800000000001</v>
      </c>
      <c r="S68" s="132">
        <v>0.27961000000000003</v>
      </c>
      <c r="T68" s="132">
        <v>0.27726200000000001</v>
      </c>
      <c r="U68" s="132">
        <v>0.27491900000000002</v>
      </c>
      <c r="V68" s="132">
        <v>0.27269199999999999</v>
      </c>
      <c r="W68" s="132">
        <v>0.27064199999999999</v>
      </c>
      <c r="X68" s="132">
        <v>0.26865499999999998</v>
      </c>
      <c r="Y68" s="132">
        <v>0.26665699999999998</v>
      </c>
      <c r="Z68" s="132">
        <v>0.26476</v>
      </c>
      <c r="AA68" s="132">
        <v>0.26284800000000003</v>
      </c>
      <c r="AB68" s="132">
        <v>0.26092900000000002</v>
      </c>
      <c r="AC68" s="132">
        <v>0.25897900000000001</v>
      </c>
      <c r="AD68" s="132">
        <v>0.25696999999999998</v>
      </c>
      <c r="AE68" s="132">
        <v>0.25494800000000001</v>
      </c>
      <c r="AF68" s="132">
        <v>0.25290699999999999</v>
      </c>
      <c r="AG68" s="132">
        <v>0.25086700000000001</v>
      </c>
      <c r="AH68" s="132">
        <f t="shared" si="1"/>
        <v>0.24935301765500001</v>
      </c>
      <c r="AI68" s="132">
        <f t="shared" si="4"/>
        <v>0.24784817219345209</v>
      </c>
      <c r="AJ68" s="132">
        <f t="shared" si="4"/>
        <v>0.24635240847426459</v>
      </c>
      <c r="AK68" s="132">
        <f t="shared" si="4"/>
        <v>0.2448656716891224</v>
      </c>
      <c r="AL68" s="132">
        <f t="shared" si="4"/>
        <v>0.24338790736047855</v>
      </c>
      <c r="AM68" s="132">
        <f t="shared" si="4"/>
        <v>0.24191906133955807</v>
      </c>
      <c r="AN68" s="132">
        <f t="shared" si="4"/>
        <v>0.24045907980437384</v>
      </c>
      <c r="AO68" s="132">
        <f t="shared" si="4"/>
        <v>0.23900790925775445</v>
      </c>
      <c r="AP68" s="132">
        <f t="shared" si="4"/>
        <v>0.23756549652538389</v>
      </c>
      <c r="AQ68" s="132">
        <f t="shared" si="4"/>
        <v>0.23613178875385318</v>
      </c>
      <c r="AR68" s="133">
        <v>-6.0350000000000004E-3</v>
      </c>
    </row>
    <row r="69" spans="1:44" ht="15" customHeight="1">
      <c r="A69" s="4" t="s">
        <v>83</v>
      </c>
      <c r="B69" s="131" t="s">
        <v>48</v>
      </c>
      <c r="C69" s="132">
        <v>6.5346000000000001E-2</v>
      </c>
      <c r="D69" s="132">
        <v>6.3722000000000001E-2</v>
      </c>
      <c r="E69" s="132">
        <v>6.2054999999999999E-2</v>
      </c>
      <c r="F69" s="132">
        <v>6.0464999999999998E-2</v>
      </c>
      <c r="G69" s="132">
        <v>5.9104999999999998E-2</v>
      </c>
      <c r="H69" s="132">
        <v>5.7937000000000002E-2</v>
      </c>
      <c r="I69" s="132">
        <v>5.6966999999999997E-2</v>
      </c>
      <c r="J69" s="132">
        <v>5.6138E-2</v>
      </c>
      <c r="K69" s="132">
        <v>5.5392999999999998E-2</v>
      </c>
      <c r="L69" s="132">
        <v>5.4729E-2</v>
      </c>
      <c r="M69" s="132">
        <v>5.4049E-2</v>
      </c>
      <c r="N69" s="132">
        <v>5.3270999999999999E-2</v>
      </c>
      <c r="O69" s="132">
        <v>5.2456999999999997E-2</v>
      </c>
      <c r="P69" s="132">
        <v>5.1631999999999997E-2</v>
      </c>
      <c r="Q69" s="132">
        <v>5.0781E-2</v>
      </c>
      <c r="R69" s="132">
        <v>4.9942E-2</v>
      </c>
      <c r="S69" s="132">
        <v>4.9103000000000001E-2</v>
      </c>
      <c r="T69" s="132">
        <v>4.8235E-2</v>
      </c>
      <c r="U69" s="132">
        <v>4.7364000000000003E-2</v>
      </c>
      <c r="V69" s="132">
        <v>4.6526999999999999E-2</v>
      </c>
      <c r="W69" s="132">
        <v>4.5739000000000002E-2</v>
      </c>
      <c r="X69" s="132">
        <v>4.4993999999999999E-2</v>
      </c>
      <c r="Y69" s="132">
        <v>4.4291999999999998E-2</v>
      </c>
      <c r="Z69" s="132">
        <v>4.3656E-2</v>
      </c>
      <c r="AA69" s="132">
        <v>4.3063999999999998E-2</v>
      </c>
      <c r="AB69" s="132">
        <v>4.2515999999999998E-2</v>
      </c>
      <c r="AC69" s="132">
        <v>4.1997E-2</v>
      </c>
      <c r="AD69" s="132">
        <v>4.1496999999999999E-2</v>
      </c>
      <c r="AE69" s="132">
        <v>4.1015000000000003E-2</v>
      </c>
      <c r="AF69" s="132">
        <v>4.0548000000000001E-2</v>
      </c>
      <c r="AG69" s="132">
        <v>4.0093999999999998E-2</v>
      </c>
      <c r="AH69" s="132">
        <f t="shared" si="1"/>
        <v>3.9446481899999997E-2</v>
      </c>
      <c r="AI69" s="132">
        <f t="shared" si="4"/>
        <v>3.8809421217314996E-2</v>
      </c>
      <c r="AJ69" s="132">
        <f t="shared" si="4"/>
        <v>3.8182649064655357E-2</v>
      </c>
      <c r="AK69" s="132">
        <f t="shared" si="4"/>
        <v>3.7565999282261175E-2</v>
      </c>
      <c r="AL69" s="132">
        <f t="shared" si="4"/>
        <v>3.6959308393852655E-2</v>
      </c>
      <c r="AM69" s="132">
        <f t="shared" si="4"/>
        <v>3.6362415563291936E-2</v>
      </c>
      <c r="AN69" s="132">
        <f t="shared" si="4"/>
        <v>3.5775162551944774E-2</v>
      </c>
      <c r="AO69" s="132">
        <f t="shared" si="4"/>
        <v>3.5197393676730866E-2</v>
      </c>
      <c r="AP69" s="132">
        <f t="shared" si="4"/>
        <v>3.4628955768851666E-2</v>
      </c>
      <c r="AQ69" s="132">
        <f t="shared" si="4"/>
        <v>3.4069698133184709E-2</v>
      </c>
      <c r="AR69" s="133">
        <v>-1.6150000000000001E-2</v>
      </c>
    </row>
    <row r="70" spans="1:44" ht="15" customHeight="1">
      <c r="A70" s="4" t="s">
        <v>84</v>
      </c>
      <c r="B70" s="131" t="s">
        <v>52</v>
      </c>
      <c r="C70" s="132">
        <v>1.7066999999999999E-2</v>
      </c>
      <c r="D70" s="132">
        <v>1.6858999999999999E-2</v>
      </c>
      <c r="E70" s="132">
        <v>1.6695999999999999E-2</v>
      </c>
      <c r="F70" s="132">
        <v>1.6528000000000001E-2</v>
      </c>
      <c r="G70" s="132">
        <v>1.6358000000000001E-2</v>
      </c>
      <c r="H70" s="132">
        <v>1.6188999999999999E-2</v>
      </c>
      <c r="I70" s="132">
        <v>1.601E-2</v>
      </c>
      <c r="J70" s="132">
        <v>1.5814999999999999E-2</v>
      </c>
      <c r="K70" s="132">
        <v>1.5609E-2</v>
      </c>
      <c r="L70" s="132">
        <v>1.5391999999999999E-2</v>
      </c>
      <c r="M70" s="132">
        <v>1.5162999999999999E-2</v>
      </c>
      <c r="N70" s="132">
        <v>1.4926999999999999E-2</v>
      </c>
      <c r="O70" s="132">
        <v>1.4685E-2</v>
      </c>
      <c r="P70" s="132">
        <v>1.448E-2</v>
      </c>
      <c r="Q70" s="132">
        <v>1.4312999999999999E-2</v>
      </c>
      <c r="R70" s="132">
        <v>1.4186000000000001E-2</v>
      </c>
      <c r="S70" s="132">
        <v>1.4101000000000001E-2</v>
      </c>
      <c r="T70" s="132">
        <v>1.4056000000000001E-2</v>
      </c>
      <c r="U70" s="132">
        <v>1.4005E-2</v>
      </c>
      <c r="V70" s="132">
        <v>1.3950000000000001E-2</v>
      </c>
      <c r="W70" s="132">
        <v>1.389E-2</v>
      </c>
      <c r="X70" s="132">
        <v>1.3826E-2</v>
      </c>
      <c r="Y70" s="132">
        <v>1.3757999999999999E-2</v>
      </c>
      <c r="Z70" s="132">
        <v>1.3687E-2</v>
      </c>
      <c r="AA70" s="132">
        <v>1.3616E-2</v>
      </c>
      <c r="AB70" s="132">
        <v>1.3546000000000001E-2</v>
      </c>
      <c r="AC70" s="132">
        <v>1.3480000000000001E-2</v>
      </c>
      <c r="AD70" s="132">
        <v>1.3417E-2</v>
      </c>
      <c r="AE70" s="132">
        <v>1.3358999999999999E-2</v>
      </c>
      <c r="AF70" s="132">
        <v>1.3304E-2</v>
      </c>
      <c r="AG70" s="132">
        <v>1.325E-2</v>
      </c>
      <c r="AH70" s="132">
        <f t="shared" si="1"/>
        <v>1.313868675E-2</v>
      </c>
      <c r="AI70" s="132">
        <f t="shared" si="4"/>
        <v>1.302830864261325E-2</v>
      </c>
      <c r="AJ70" s="132">
        <f t="shared" si="4"/>
        <v>1.2918857821706656E-2</v>
      </c>
      <c r="AK70" s="132">
        <f t="shared" si="4"/>
        <v>1.28103264971465E-2</v>
      </c>
      <c r="AL70" s="132">
        <f t="shared" si="4"/>
        <v>1.2702706944243972E-2</v>
      </c>
      <c r="AM70" s="132">
        <f t="shared" si="4"/>
        <v>1.2595991503205379E-2</v>
      </c>
      <c r="AN70" s="132">
        <f t="shared" si="4"/>
        <v>1.2490172578586952E-2</v>
      </c>
      <c r="AO70" s="132">
        <f t="shared" si="4"/>
        <v>1.2385242638754243E-2</v>
      </c>
      <c r="AP70" s="132">
        <f t="shared" si="4"/>
        <v>1.228119421534607E-2</v>
      </c>
      <c r="AQ70" s="132">
        <f t="shared" si="4"/>
        <v>1.2178019902742948E-2</v>
      </c>
      <c r="AR70" s="133">
        <v>-8.4010000000000005E-3</v>
      </c>
    </row>
    <row r="71" spans="1:44" ht="15" customHeight="1">
      <c r="A71" s="4" t="s">
        <v>85</v>
      </c>
      <c r="B71" s="131" t="s">
        <v>353</v>
      </c>
      <c r="C71" s="132">
        <v>7.1942000000000006E-2</v>
      </c>
      <c r="D71" s="132">
        <v>7.4218999999999993E-2</v>
      </c>
      <c r="E71" s="132">
        <v>7.6272000000000006E-2</v>
      </c>
      <c r="F71" s="132">
        <v>7.8184000000000003E-2</v>
      </c>
      <c r="G71" s="132">
        <v>8.0131999999999995E-2</v>
      </c>
      <c r="H71" s="132">
        <v>8.2116999999999996E-2</v>
      </c>
      <c r="I71" s="132">
        <v>8.4159999999999999E-2</v>
      </c>
      <c r="J71" s="132">
        <v>8.6215E-2</v>
      </c>
      <c r="K71" s="132">
        <v>8.8203000000000004E-2</v>
      </c>
      <c r="L71" s="132">
        <v>9.0112999999999999E-2</v>
      </c>
      <c r="M71" s="132">
        <v>9.1786000000000006E-2</v>
      </c>
      <c r="N71" s="132">
        <v>9.3445E-2</v>
      </c>
      <c r="O71" s="132">
        <v>9.5152E-2</v>
      </c>
      <c r="P71" s="132">
        <v>9.6923999999999996E-2</v>
      </c>
      <c r="Q71" s="132">
        <v>9.8706000000000002E-2</v>
      </c>
      <c r="R71" s="132">
        <v>0.10054200000000001</v>
      </c>
      <c r="S71" s="132">
        <v>0.102393</v>
      </c>
      <c r="T71" s="132">
        <v>0.104196</v>
      </c>
      <c r="U71" s="132">
        <v>0.105976</v>
      </c>
      <c r="V71" s="132">
        <v>0.10778500000000001</v>
      </c>
      <c r="W71" s="132">
        <v>0.109637</v>
      </c>
      <c r="X71" s="132">
        <v>0.11151</v>
      </c>
      <c r="Y71" s="132">
        <v>0.113397</v>
      </c>
      <c r="Z71" s="132">
        <v>0.115342</v>
      </c>
      <c r="AA71" s="132">
        <v>0.11730599999999999</v>
      </c>
      <c r="AB71" s="132">
        <v>0.119287</v>
      </c>
      <c r="AC71" s="132">
        <v>0.12126199999999999</v>
      </c>
      <c r="AD71" s="132">
        <v>0.123226</v>
      </c>
      <c r="AE71" s="132">
        <v>0.12518599999999999</v>
      </c>
      <c r="AF71" s="132">
        <v>0.12714300000000001</v>
      </c>
      <c r="AG71" s="132">
        <v>0.12910099999999999</v>
      </c>
      <c r="AH71" s="132">
        <f t="shared" si="1"/>
        <v>0.131641965882</v>
      </c>
      <c r="AI71" s="132">
        <f t="shared" si="4"/>
        <v>0.13423294305448952</v>
      </c>
      <c r="AJ71" s="132">
        <f t="shared" si="4"/>
        <v>0.13687491583968797</v>
      </c>
      <c r="AK71" s="132">
        <f t="shared" si="4"/>
        <v>0.13956888793324471</v>
      </c>
      <c r="AL71" s="132">
        <f t="shared" si="4"/>
        <v>0.14231588278554683</v>
      </c>
      <c r="AM71" s="132">
        <f t="shared" si="4"/>
        <v>0.14511694399053196</v>
      </c>
      <c r="AN71" s="132">
        <f t="shared" si="4"/>
        <v>0.14797313568215362</v>
      </c>
      <c r="AO71" s="132">
        <f t="shared" si="4"/>
        <v>0.15088554293864975</v>
      </c>
      <c r="AP71" s="132">
        <f t="shared" si="4"/>
        <v>0.15385527219476824</v>
      </c>
      <c r="AQ71" s="132">
        <f t="shared" si="4"/>
        <v>0.15688345166210568</v>
      </c>
      <c r="AR71" s="133">
        <v>1.9682000000000002E-2</v>
      </c>
    </row>
    <row r="72" spans="1:44" ht="15" customHeight="1">
      <c r="A72" s="4" t="s">
        <v>87</v>
      </c>
      <c r="B72" s="130" t="s">
        <v>67</v>
      </c>
      <c r="C72" s="134">
        <v>0.45517999999999997</v>
      </c>
      <c r="D72" s="134">
        <v>0.47404499999999999</v>
      </c>
      <c r="E72" s="134">
        <v>0.47144999999999998</v>
      </c>
      <c r="F72" s="134">
        <v>0.46896199999999999</v>
      </c>
      <c r="G72" s="134">
        <v>0.46687699999999999</v>
      </c>
      <c r="H72" s="134">
        <v>0.464974</v>
      </c>
      <c r="I72" s="134">
        <v>0.46344999999999997</v>
      </c>
      <c r="J72" s="134">
        <v>0.46215699999999998</v>
      </c>
      <c r="K72" s="134">
        <v>0.460731</v>
      </c>
      <c r="L72" s="134">
        <v>0.459092</v>
      </c>
      <c r="M72" s="134">
        <v>0.45663599999999999</v>
      </c>
      <c r="N72" s="134">
        <v>0.454125</v>
      </c>
      <c r="O72" s="134">
        <v>0.45180599999999999</v>
      </c>
      <c r="P72" s="134">
        <v>0.449826</v>
      </c>
      <c r="Q72" s="134">
        <v>0.44799600000000001</v>
      </c>
      <c r="R72" s="134">
        <v>0.44653900000000002</v>
      </c>
      <c r="S72" s="134">
        <v>0.44520599999999999</v>
      </c>
      <c r="T72" s="134">
        <v>0.443749</v>
      </c>
      <c r="U72" s="134">
        <v>0.44226399999999999</v>
      </c>
      <c r="V72" s="134">
        <v>0.44095299999999998</v>
      </c>
      <c r="W72" s="134">
        <v>0.43990800000000002</v>
      </c>
      <c r="X72" s="134">
        <v>0.43898500000000001</v>
      </c>
      <c r="Y72" s="134">
        <v>0.43810500000000002</v>
      </c>
      <c r="Z72" s="134">
        <v>0.43744499999999997</v>
      </c>
      <c r="AA72" s="134">
        <v>0.436834</v>
      </c>
      <c r="AB72" s="134">
        <v>0.436278</v>
      </c>
      <c r="AC72" s="134">
        <v>0.43571799999999999</v>
      </c>
      <c r="AD72" s="134">
        <v>0.43511100000000003</v>
      </c>
      <c r="AE72" s="134">
        <v>0.43450800000000001</v>
      </c>
      <c r="AF72" s="134">
        <v>0.43390099999999998</v>
      </c>
      <c r="AG72" s="134">
        <v>0.43331199999999997</v>
      </c>
      <c r="AH72" s="132">
        <f t="shared" si="1"/>
        <v>0.43260136832000001</v>
      </c>
      <c r="AI72" s="132">
        <f t="shared" si="4"/>
        <v>0.43189190207595524</v>
      </c>
      <c r="AJ72" s="132">
        <f t="shared" si="4"/>
        <v>0.43118359935655071</v>
      </c>
      <c r="AK72" s="132">
        <f t="shared" si="4"/>
        <v>0.43047645825360598</v>
      </c>
      <c r="AL72" s="132">
        <f t="shared" si="4"/>
        <v>0.42977047686207009</v>
      </c>
      <c r="AM72" s="132">
        <f t="shared" si="4"/>
        <v>0.42906565328001633</v>
      </c>
      <c r="AN72" s="132">
        <f t="shared" si="4"/>
        <v>0.42836198560863714</v>
      </c>
      <c r="AO72" s="132">
        <f t="shared" si="4"/>
        <v>0.42765947195223897</v>
      </c>
      <c r="AP72" s="132">
        <f t="shared" si="4"/>
        <v>0.42695811041823728</v>
      </c>
      <c r="AQ72" s="132">
        <f t="shared" si="4"/>
        <v>0.4262578991171514</v>
      </c>
      <c r="AR72" s="135">
        <v>-1.64E-3</v>
      </c>
    </row>
    <row r="73" spans="1:44">
      <c r="AH73" s="132">
        <f t="shared" si="1"/>
        <v>0</v>
      </c>
      <c r="AI73" s="132">
        <f t="shared" si="4"/>
        <v>0</v>
      </c>
      <c r="AJ73" s="132">
        <f t="shared" si="4"/>
        <v>0</v>
      </c>
      <c r="AK73" s="132">
        <f t="shared" si="4"/>
        <v>0</v>
      </c>
      <c r="AL73" s="132">
        <f t="shared" si="4"/>
        <v>0</v>
      </c>
      <c r="AM73" s="132">
        <f t="shared" si="4"/>
        <v>0</v>
      </c>
      <c r="AN73" s="132">
        <f t="shared" si="4"/>
        <v>0</v>
      </c>
      <c r="AO73" s="132">
        <f t="shared" si="4"/>
        <v>0</v>
      </c>
      <c r="AP73" s="132">
        <f t="shared" si="4"/>
        <v>0</v>
      </c>
      <c r="AQ73" s="132">
        <f t="shared" si="4"/>
        <v>0</v>
      </c>
    </row>
    <row r="74" spans="1:44" s="157" customFormat="1" ht="15" customHeight="1">
      <c r="A74" s="153" t="s">
        <v>88</v>
      </c>
      <c r="B74" s="154" t="s">
        <v>354</v>
      </c>
      <c r="C74" s="155">
        <v>0.457513</v>
      </c>
      <c r="D74" s="155">
        <v>0.454262</v>
      </c>
      <c r="E74" s="155">
        <v>0.442685</v>
      </c>
      <c r="F74" s="155">
        <v>0.44422</v>
      </c>
      <c r="G74" s="155">
        <v>0.44559199999999999</v>
      </c>
      <c r="H74" s="155">
        <v>0.44251099999999999</v>
      </c>
      <c r="I74" s="155">
        <v>0.43917499999999998</v>
      </c>
      <c r="J74" s="155">
        <v>0.43575999999999998</v>
      </c>
      <c r="K74" s="155">
        <v>0.43166700000000002</v>
      </c>
      <c r="L74" s="155">
        <v>0.42710900000000002</v>
      </c>
      <c r="M74" s="155">
        <v>0.42239900000000002</v>
      </c>
      <c r="N74" s="155">
        <v>0.41673700000000002</v>
      </c>
      <c r="O74" s="155">
        <v>0.41094700000000001</v>
      </c>
      <c r="P74" s="155">
        <v>0.40475699999999998</v>
      </c>
      <c r="Q74" s="155">
        <v>0.39816499999999999</v>
      </c>
      <c r="R74" s="155">
        <v>0.39063300000000001</v>
      </c>
      <c r="S74" s="155">
        <v>0.38230999999999998</v>
      </c>
      <c r="T74" s="155">
        <v>0.37514199999999998</v>
      </c>
      <c r="U74" s="155">
        <v>0.36930200000000002</v>
      </c>
      <c r="V74" s="155">
        <v>0.36285899999999999</v>
      </c>
      <c r="W74" s="155">
        <v>0.35800900000000002</v>
      </c>
      <c r="X74" s="155">
        <v>0.35352299999999998</v>
      </c>
      <c r="Y74" s="155">
        <v>0.34909699999999999</v>
      </c>
      <c r="Z74" s="155">
        <v>0.34477099999999999</v>
      </c>
      <c r="AA74" s="155">
        <v>0.341088</v>
      </c>
      <c r="AB74" s="155">
        <v>0.33825</v>
      </c>
      <c r="AC74" s="155">
        <v>0.33548600000000001</v>
      </c>
      <c r="AD74" s="155">
        <v>0.33226699999999998</v>
      </c>
      <c r="AE74" s="155">
        <v>0.32857900000000001</v>
      </c>
      <c r="AF74" s="155">
        <v>0.32532699999999998</v>
      </c>
      <c r="AG74" s="155">
        <v>0.32218599999999997</v>
      </c>
      <c r="AH74" s="155">
        <f t="shared" si="1"/>
        <v>0.31844187649399996</v>
      </c>
      <c r="AI74" s="155">
        <f t="shared" si="4"/>
        <v>0.31474126344726322</v>
      </c>
      <c r="AJ74" s="155">
        <f t="shared" si="4"/>
        <v>0.31108365522474257</v>
      </c>
      <c r="AK74" s="155">
        <f t="shared" si="4"/>
        <v>0.30746855206737583</v>
      </c>
      <c r="AL74" s="155">
        <f t="shared" si="4"/>
        <v>0.30389546002380086</v>
      </c>
      <c r="AM74" s="155">
        <f t="shared" si="4"/>
        <v>0.30036389088286425</v>
      </c>
      <c r="AN74" s="155">
        <f t="shared" si="4"/>
        <v>0.29687336210691451</v>
      </c>
      <c r="AO74" s="155">
        <f t="shared" si="4"/>
        <v>0.29342339676587004</v>
      </c>
      <c r="AP74" s="155">
        <f t="shared" si="4"/>
        <v>0.29001352347205389</v>
      </c>
      <c r="AQ74" s="155">
        <f t="shared" si="4"/>
        <v>0.28664327631578518</v>
      </c>
      <c r="AR74" s="156">
        <v>-1.1620999999999999E-2</v>
      </c>
    </row>
    <row r="75" spans="1:44" ht="15" customHeight="1"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</row>
    <row r="76" spans="1:44" ht="15" customHeight="1">
      <c r="B76" s="130" t="s">
        <v>355</v>
      </c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</row>
    <row r="77" spans="1:44" ht="15" customHeight="1">
      <c r="A77" s="4" t="s">
        <v>89</v>
      </c>
      <c r="B77" s="131" t="s">
        <v>90</v>
      </c>
      <c r="C77" s="132">
        <v>5.3071849999999996</v>
      </c>
      <c r="D77" s="132">
        <v>5.2785700000000002</v>
      </c>
      <c r="E77" s="132">
        <v>5.4034399999999998</v>
      </c>
      <c r="F77" s="132">
        <v>5.3857179999999998</v>
      </c>
      <c r="G77" s="132">
        <v>5.3772120000000001</v>
      </c>
      <c r="H77" s="132">
        <v>5.3577279999999998</v>
      </c>
      <c r="I77" s="132">
        <v>5.3288010000000003</v>
      </c>
      <c r="J77" s="132">
        <v>5.2947360000000003</v>
      </c>
      <c r="K77" s="132">
        <v>5.2608759999999997</v>
      </c>
      <c r="L77" s="132">
        <v>5.224958</v>
      </c>
      <c r="M77" s="132">
        <v>5.1849150000000002</v>
      </c>
      <c r="N77" s="132">
        <v>5.1465639999999997</v>
      </c>
      <c r="O77" s="132">
        <v>5.1109210000000003</v>
      </c>
      <c r="P77" s="132">
        <v>5.076702</v>
      </c>
      <c r="Q77" s="132">
        <v>5.0433089999999998</v>
      </c>
      <c r="R77" s="132">
        <v>5.0126749999999998</v>
      </c>
      <c r="S77" s="132">
        <v>4.9822509999999998</v>
      </c>
      <c r="T77" s="132">
        <v>4.9530599999999998</v>
      </c>
      <c r="U77" s="132">
        <v>4.9264469999999996</v>
      </c>
      <c r="V77" s="132">
        <v>4.9005470000000004</v>
      </c>
      <c r="W77" s="132">
        <v>4.8778360000000003</v>
      </c>
      <c r="X77" s="132">
        <v>4.8548910000000003</v>
      </c>
      <c r="Y77" s="132">
        <v>4.8313649999999999</v>
      </c>
      <c r="Z77" s="132">
        <v>4.8080230000000004</v>
      </c>
      <c r="AA77" s="132">
        <v>4.7852220000000001</v>
      </c>
      <c r="AB77" s="132">
        <v>4.7629630000000001</v>
      </c>
      <c r="AC77" s="132">
        <v>4.7416790000000004</v>
      </c>
      <c r="AD77" s="132">
        <v>4.7197940000000003</v>
      </c>
      <c r="AE77" s="132">
        <v>4.6983420000000002</v>
      </c>
      <c r="AF77" s="132">
        <v>4.6771839999999996</v>
      </c>
      <c r="AG77" s="132">
        <v>4.6558060000000001</v>
      </c>
      <c r="AH77" s="132">
        <f t="shared" si="1"/>
        <v>4.6355299648699999</v>
      </c>
      <c r="AI77" s="132">
        <f t="shared" ref="AI77:AQ82" si="5">AH77*(1+$AR77)</f>
        <v>4.6153422318729911</v>
      </c>
      <c r="AJ77" s="132">
        <f t="shared" si="5"/>
        <v>4.5952424164531847</v>
      </c>
      <c r="AK77" s="132">
        <f t="shared" si="5"/>
        <v>4.5752301357295311</v>
      </c>
      <c r="AL77" s="132">
        <f t="shared" si="5"/>
        <v>4.5553050084884292</v>
      </c>
      <c r="AM77" s="132">
        <f t="shared" si="5"/>
        <v>4.535466655176462</v>
      </c>
      <c r="AN77" s="132">
        <f t="shared" si="5"/>
        <v>4.5157146978931682</v>
      </c>
      <c r="AO77" s="132">
        <f t="shared" si="5"/>
        <v>4.496048760383843</v>
      </c>
      <c r="AP77" s="132">
        <f t="shared" si="5"/>
        <v>4.4764684680323716</v>
      </c>
      <c r="AQ77" s="132">
        <f t="shared" si="5"/>
        <v>4.4569734478540903</v>
      </c>
      <c r="AR77" s="133">
        <v>-4.3550000000000004E-3</v>
      </c>
    </row>
    <row r="78" spans="1:44" ht="15" customHeight="1">
      <c r="A78" s="4" t="s">
        <v>91</v>
      </c>
      <c r="B78" s="131" t="s">
        <v>92</v>
      </c>
      <c r="C78" s="132">
        <v>0.86400100000000002</v>
      </c>
      <c r="D78" s="132">
        <v>0.82172299999999998</v>
      </c>
      <c r="E78" s="132">
        <v>0.92235800000000001</v>
      </c>
      <c r="F78" s="132">
        <v>0.93750299999999998</v>
      </c>
      <c r="G78" s="132">
        <v>0.95382800000000001</v>
      </c>
      <c r="H78" s="132">
        <v>0.97087400000000001</v>
      </c>
      <c r="I78" s="132">
        <v>0.98744100000000001</v>
      </c>
      <c r="J78" s="132">
        <v>1.0033749999999999</v>
      </c>
      <c r="K78" s="132">
        <v>1.0192319999999999</v>
      </c>
      <c r="L78" s="132">
        <v>1.035058</v>
      </c>
      <c r="M78" s="132">
        <v>1.0504709999999999</v>
      </c>
      <c r="N78" s="132">
        <v>1.0661750000000001</v>
      </c>
      <c r="O78" s="132">
        <v>1.0826990000000001</v>
      </c>
      <c r="P78" s="132">
        <v>1.100006</v>
      </c>
      <c r="Q78" s="132">
        <v>1.1184829999999999</v>
      </c>
      <c r="R78" s="132">
        <v>1.1388180000000001</v>
      </c>
      <c r="S78" s="132">
        <v>1.1598269999999999</v>
      </c>
      <c r="T78" s="132">
        <v>1.182183</v>
      </c>
      <c r="U78" s="132">
        <v>1.2043250000000001</v>
      </c>
      <c r="V78" s="132">
        <v>1.2264250000000001</v>
      </c>
      <c r="W78" s="132">
        <v>1.2492259999999999</v>
      </c>
      <c r="X78" s="132">
        <v>1.2715989999999999</v>
      </c>
      <c r="Y78" s="132">
        <v>1.2950159999999999</v>
      </c>
      <c r="Z78" s="132">
        <v>1.318424</v>
      </c>
      <c r="AA78" s="132">
        <v>1.3428709999999999</v>
      </c>
      <c r="AB78" s="132">
        <v>1.367048</v>
      </c>
      <c r="AC78" s="132">
        <v>1.392083</v>
      </c>
      <c r="AD78" s="132">
        <v>1.417349</v>
      </c>
      <c r="AE78" s="132">
        <v>1.444345</v>
      </c>
      <c r="AF78" s="132">
        <v>1.4718279999999999</v>
      </c>
      <c r="AG78" s="132">
        <v>1.5003660000000001</v>
      </c>
      <c r="AH78" s="132">
        <f t="shared" si="1"/>
        <v>1.5282232955220001</v>
      </c>
      <c r="AI78" s="132">
        <f t="shared" si="5"/>
        <v>1.5565978174499571</v>
      </c>
      <c r="AJ78" s="132">
        <f t="shared" si="5"/>
        <v>1.5854991691265503</v>
      </c>
      <c r="AK78" s="132">
        <f t="shared" si="5"/>
        <v>1.614937132199723</v>
      </c>
      <c r="AL78" s="132">
        <f t="shared" si="5"/>
        <v>1.6449216699332754</v>
      </c>
      <c r="AM78" s="132">
        <f t="shared" si="5"/>
        <v>1.6754629305789266</v>
      </c>
      <c r="AN78" s="132">
        <f t="shared" si="5"/>
        <v>1.7065712508109856</v>
      </c>
      <c r="AO78" s="132">
        <f t="shared" si="5"/>
        <v>1.7382571592247931</v>
      </c>
      <c r="AP78" s="132">
        <f t="shared" si="5"/>
        <v>1.7705313799001199</v>
      </c>
      <c r="AQ78" s="132">
        <f t="shared" si="5"/>
        <v>1.8034048360307253</v>
      </c>
      <c r="AR78" s="133">
        <v>1.8567E-2</v>
      </c>
    </row>
    <row r="79" spans="1:44">
      <c r="A79" s="4" t="s">
        <v>93</v>
      </c>
      <c r="B79" s="131" t="s">
        <v>94</v>
      </c>
      <c r="C79" s="132">
        <v>1.728931</v>
      </c>
      <c r="D79" s="132">
        <v>1.7251430000000001</v>
      </c>
      <c r="E79" s="132">
        <v>1.7277039999999999</v>
      </c>
      <c r="F79" s="132">
        <v>1.7327360000000001</v>
      </c>
      <c r="G79" s="132">
        <v>1.7419750000000001</v>
      </c>
      <c r="H79" s="132">
        <v>1.7509330000000001</v>
      </c>
      <c r="I79" s="132">
        <v>1.7586029999999999</v>
      </c>
      <c r="J79" s="132">
        <v>1.765158</v>
      </c>
      <c r="K79" s="132">
        <v>1.7720849999999999</v>
      </c>
      <c r="L79" s="132">
        <v>1.7793460000000001</v>
      </c>
      <c r="M79" s="132">
        <v>1.7845960000000001</v>
      </c>
      <c r="N79" s="132">
        <v>1.7896879999999999</v>
      </c>
      <c r="O79" s="132">
        <v>1.79562</v>
      </c>
      <c r="P79" s="132">
        <v>1.802165</v>
      </c>
      <c r="Q79" s="132">
        <v>1.8088230000000001</v>
      </c>
      <c r="R79" s="132">
        <v>1.816295</v>
      </c>
      <c r="S79" s="132">
        <v>1.8237540000000001</v>
      </c>
      <c r="T79" s="132">
        <v>1.8308390000000001</v>
      </c>
      <c r="U79" s="132">
        <v>1.8376440000000001</v>
      </c>
      <c r="V79" s="132">
        <v>1.8441730000000001</v>
      </c>
      <c r="W79" s="132">
        <v>1.850649</v>
      </c>
      <c r="X79" s="132">
        <v>1.8568420000000001</v>
      </c>
      <c r="Y79" s="132">
        <v>1.8630409999999999</v>
      </c>
      <c r="Z79" s="132">
        <v>1.86975</v>
      </c>
      <c r="AA79" s="132">
        <v>1.8769450000000001</v>
      </c>
      <c r="AB79" s="132">
        <v>1.8846339999999999</v>
      </c>
      <c r="AC79" s="132">
        <v>1.8931420000000001</v>
      </c>
      <c r="AD79" s="132">
        <v>1.902191</v>
      </c>
      <c r="AE79" s="132">
        <v>1.912034</v>
      </c>
      <c r="AF79" s="132">
        <v>1.9224779999999999</v>
      </c>
      <c r="AG79" s="132">
        <v>1.933017</v>
      </c>
      <c r="AH79" s="132">
        <f t="shared" si="1"/>
        <v>1.9402194213419999</v>
      </c>
      <c r="AI79" s="132">
        <f t="shared" si="5"/>
        <v>1.94744867890592</v>
      </c>
      <c r="AJ79" s="132">
        <f t="shared" si="5"/>
        <v>1.9547048726835232</v>
      </c>
      <c r="AK79" s="132">
        <f t="shared" si="5"/>
        <v>1.9619881030391417</v>
      </c>
      <c r="AL79" s="132">
        <f t="shared" si="5"/>
        <v>1.9692984707110655</v>
      </c>
      <c r="AM79" s="132">
        <f t="shared" si="5"/>
        <v>1.9766360768129347</v>
      </c>
      <c r="AN79" s="132">
        <f t="shared" si="5"/>
        <v>1.9840010228351395</v>
      </c>
      <c r="AO79" s="132">
        <f t="shared" si="5"/>
        <v>1.991393410646223</v>
      </c>
      <c r="AP79" s="132">
        <f t="shared" si="5"/>
        <v>1.9988133424942907</v>
      </c>
      <c r="AQ79" s="132">
        <f t="shared" si="5"/>
        <v>2.0062609210084243</v>
      </c>
      <c r="AR79" s="133">
        <v>3.7260000000000001E-3</v>
      </c>
    </row>
    <row r="80" spans="1:44" ht="15" customHeight="1">
      <c r="A80" s="4" t="s">
        <v>95</v>
      </c>
      <c r="B80" s="131" t="s">
        <v>96</v>
      </c>
      <c r="C80" s="132">
        <v>0.29757099999999997</v>
      </c>
      <c r="D80" s="132">
        <v>0.295346</v>
      </c>
      <c r="E80" s="132">
        <v>0.293794</v>
      </c>
      <c r="F80" s="132">
        <v>0.29208899999999999</v>
      </c>
      <c r="G80" s="132">
        <v>0.29061599999999999</v>
      </c>
      <c r="H80" s="132">
        <v>0.28947400000000001</v>
      </c>
      <c r="I80" s="132">
        <v>0.28854099999999999</v>
      </c>
      <c r="J80" s="132">
        <v>0.28769600000000001</v>
      </c>
      <c r="K80" s="132">
        <v>0.28695900000000002</v>
      </c>
      <c r="L80" s="132">
        <v>0.28637600000000002</v>
      </c>
      <c r="M80" s="132">
        <v>0.28598000000000001</v>
      </c>
      <c r="N80" s="132">
        <v>0.28582600000000002</v>
      </c>
      <c r="O80" s="132">
        <v>0.28596500000000002</v>
      </c>
      <c r="P80" s="132">
        <v>0.28639300000000001</v>
      </c>
      <c r="Q80" s="132">
        <v>0.28710599999999997</v>
      </c>
      <c r="R80" s="132">
        <v>0.28817399999999999</v>
      </c>
      <c r="S80" s="132">
        <v>0.28956700000000002</v>
      </c>
      <c r="T80" s="132">
        <v>0.29125800000000002</v>
      </c>
      <c r="U80" s="132">
        <v>0.29325600000000002</v>
      </c>
      <c r="V80" s="132">
        <v>0.29553299999999999</v>
      </c>
      <c r="W80" s="132">
        <v>0.298126</v>
      </c>
      <c r="X80" s="132">
        <v>0.30101800000000001</v>
      </c>
      <c r="Y80" s="132">
        <v>0.30418000000000001</v>
      </c>
      <c r="Z80" s="132">
        <v>0.30732399999999999</v>
      </c>
      <c r="AA80" s="132">
        <v>0.31043999999999999</v>
      </c>
      <c r="AB80" s="132">
        <v>0.31352000000000002</v>
      </c>
      <c r="AC80" s="132">
        <v>0.31655800000000001</v>
      </c>
      <c r="AD80" s="132">
        <v>0.31952199999999997</v>
      </c>
      <c r="AE80" s="132">
        <v>0.322411</v>
      </c>
      <c r="AF80" s="132">
        <v>0.325241</v>
      </c>
      <c r="AG80" s="132">
        <v>0.328011</v>
      </c>
      <c r="AH80" s="132">
        <f t="shared" si="1"/>
        <v>0.32907769177200002</v>
      </c>
      <c r="AI80" s="132">
        <f t="shared" si="5"/>
        <v>0.3301478524256426</v>
      </c>
      <c r="AJ80" s="132">
        <f t="shared" si="5"/>
        <v>0.33122149324173078</v>
      </c>
      <c r="AK80" s="132">
        <f t="shared" si="5"/>
        <v>0.33229862553775291</v>
      </c>
      <c r="AL80" s="132">
        <f t="shared" si="5"/>
        <v>0.33337926066800172</v>
      </c>
      <c r="AM80" s="132">
        <f t="shared" si="5"/>
        <v>0.33446341002369406</v>
      </c>
      <c r="AN80" s="132">
        <f t="shared" si="5"/>
        <v>0.33555108503309111</v>
      </c>
      <c r="AO80" s="132">
        <f t="shared" si="5"/>
        <v>0.33664229716161875</v>
      </c>
      <c r="AP80" s="132">
        <f t="shared" si="5"/>
        <v>0.33773705791198833</v>
      </c>
      <c r="AQ80" s="132">
        <f t="shared" si="5"/>
        <v>0.33883537882431813</v>
      </c>
      <c r="AR80" s="133">
        <v>3.2520000000000001E-3</v>
      </c>
    </row>
    <row r="81" spans="1:44">
      <c r="A81" s="4" t="s">
        <v>97</v>
      </c>
      <c r="B81" s="131" t="s">
        <v>98</v>
      </c>
      <c r="C81" s="132">
        <v>0.17552999999999999</v>
      </c>
      <c r="D81" s="132">
        <v>0.175348</v>
      </c>
      <c r="E81" s="132">
        <v>0.17564399999999999</v>
      </c>
      <c r="F81" s="132">
        <v>0.17591899999999999</v>
      </c>
      <c r="G81" s="132">
        <v>0.17621800000000001</v>
      </c>
      <c r="H81" s="132">
        <v>0.17657600000000001</v>
      </c>
      <c r="I81" s="132">
        <v>0.17691399999999999</v>
      </c>
      <c r="J81" s="132">
        <v>0.177171</v>
      </c>
      <c r="K81" s="132">
        <v>0.17738799999999999</v>
      </c>
      <c r="L81" s="132">
        <v>0.177618</v>
      </c>
      <c r="M81" s="132">
        <v>0.17785699999999999</v>
      </c>
      <c r="N81" s="132">
        <v>0.178115</v>
      </c>
      <c r="O81" s="132">
        <v>0.17841799999999999</v>
      </c>
      <c r="P81" s="132">
        <v>0.17886099999999999</v>
      </c>
      <c r="Q81" s="132">
        <v>0.17940400000000001</v>
      </c>
      <c r="R81" s="132">
        <v>0.180086</v>
      </c>
      <c r="S81" s="132">
        <v>0.180891</v>
      </c>
      <c r="T81" s="132">
        <v>0.18181800000000001</v>
      </c>
      <c r="U81" s="132">
        <v>0.18275</v>
      </c>
      <c r="V81" s="132">
        <v>0.18369199999999999</v>
      </c>
      <c r="W81" s="132">
        <v>0.18465799999999999</v>
      </c>
      <c r="X81" s="132">
        <v>0.185641</v>
      </c>
      <c r="Y81" s="132">
        <v>0.18664</v>
      </c>
      <c r="Z81" s="132">
        <v>0.18765899999999999</v>
      </c>
      <c r="AA81" s="132">
        <v>0.188696</v>
      </c>
      <c r="AB81" s="132">
        <v>0.189752</v>
      </c>
      <c r="AC81" s="132">
        <v>0.19082399999999999</v>
      </c>
      <c r="AD81" s="132">
        <v>0.19189500000000001</v>
      </c>
      <c r="AE81" s="132">
        <v>0.192964</v>
      </c>
      <c r="AF81" s="132">
        <v>0.19403000000000001</v>
      </c>
      <c r="AG81" s="132">
        <v>0.19508700000000001</v>
      </c>
      <c r="AH81" s="132">
        <f t="shared" si="1"/>
        <v>0.195775266936</v>
      </c>
      <c r="AI81" s="132">
        <f t="shared" si="5"/>
        <v>0.19646596207775022</v>
      </c>
      <c r="AJ81" s="132">
        <f t="shared" si="5"/>
        <v>0.19715909399196052</v>
      </c>
      <c r="AK81" s="132">
        <f t="shared" si="5"/>
        <v>0.19785467127556416</v>
      </c>
      <c r="AL81" s="132">
        <f t="shared" si="5"/>
        <v>0.19855270255582436</v>
      </c>
      <c r="AM81" s="132">
        <f t="shared" si="5"/>
        <v>0.19925319649044129</v>
      </c>
      <c r="AN81" s="132">
        <f t="shared" si="5"/>
        <v>0.19995616176765957</v>
      </c>
      <c r="AO81" s="132">
        <f t="shared" si="5"/>
        <v>0.20066160710637587</v>
      </c>
      <c r="AP81" s="132">
        <f t="shared" si="5"/>
        <v>0.20136954125624715</v>
      </c>
      <c r="AQ81" s="132">
        <f t="shared" si="5"/>
        <v>0.20207997299779917</v>
      </c>
      <c r="AR81" s="133">
        <v>3.5279999999999999E-3</v>
      </c>
    </row>
    <row r="82" spans="1:44" ht="15" customHeight="1">
      <c r="A82" s="4" t="s">
        <v>99</v>
      </c>
      <c r="B82" s="131" t="s">
        <v>100</v>
      </c>
      <c r="C82" s="132">
        <v>0.25584600000000002</v>
      </c>
      <c r="D82" s="132">
        <v>0.26012999999999997</v>
      </c>
      <c r="E82" s="132">
        <v>0.26451400000000003</v>
      </c>
      <c r="F82" s="132">
        <v>0.26878999999999997</v>
      </c>
      <c r="G82" s="132">
        <v>0.27353499999999997</v>
      </c>
      <c r="H82" s="132">
        <v>0.27829500000000001</v>
      </c>
      <c r="I82" s="132">
        <v>0.28276600000000002</v>
      </c>
      <c r="J82" s="132">
        <v>0.28688000000000002</v>
      </c>
      <c r="K82" s="132">
        <v>0.29086099999999998</v>
      </c>
      <c r="L82" s="132">
        <v>0.29477599999999998</v>
      </c>
      <c r="M82" s="132">
        <v>0.29852200000000001</v>
      </c>
      <c r="N82" s="132">
        <v>0.30214099999999999</v>
      </c>
      <c r="O82" s="132">
        <v>0.305836</v>
      </c>
      <c r="P82" s="132">
        <v>0.30965300000000001</v>
      </c>
      <c r="Q82" s="132">
        <v>0.31367800000000001</v>
      </c>
      <c r="R82" s="132">
        <v>0.31792799999999999</v>
      </c>
      <c r="S82" s="132">
        <v>0.32228600000000002</v>
      </c>
      <c r="T82" s="132">
        <v>0.32660600000000001</v>
      </c>
      <c r="U82" s="132">
        <v>0.33085999999999999</v>
      </c>
      <c r="V82" s="132">
        <v>0.33508399999999999</v>
      </c>
      <c r="W82" s="132">
        <v>0.33931800000000001</v>
      </c>
      <c r="X82" s="132">
        <v>0.343501</v>
      </c>
      <c r="Y82" s="132">
        <v>0.34766799999999998</v>
      </c>
      <c r="Z82" s="132">
        <v>0.35188399999999997</v>
      </c>
      <c r="AA82" s="132">
        <v>0.35610900000000001</v>
      </c>
      <c r="AB82" s="132">
        <v>0.36028100000000002</v>
      </c>
      <c r="AC82" s="132">
        <v>0.36453000000000002</v>
      </c>
      <c r="AD82" s="132">
        <v>0.36882399999999999</v>
      </c>
      <c r="AE82" s="132">
        <v>0.37322100000000002</v>
      </c>
      <c r="AF82" s="132">
        <v>0.37778400000000001</v>
      </c>
      <c r="AG82" s="132">
        <v>0.38240600000000002</v>
      </c>
      <c r="AH82" s="132">
        <f t="shared" si="1"/>
        <v>0.38756350972200004</v>
      </c>
      <c r="AI82" s="132">
        <f t="shared" si="5"/>
        <v>0.39279057877762069</v>
      </c>
      <c r="AJ82" s="132">
        <f t="shared" si="5"/>
        <v>0.39808814531359449</v>
      </c>
      <c r="AK82" s="132">
        <f t="shared" si="5"/>
        <v>0.40345716012943894</v>
      </c>
      <c r="AL82" s="132">
        <f t="shared" si="5"/>
        <v>0.40889858684810471</v>
      </c>
      <c r="AM82" s="132">
        <f t="shared" si="5"/>
        <v>0.41441340208892513</v>
      </c>
      <c r="AN82" s="132">
        <f t="shared" si="5"/>
        <v>0.42000259564289849</v>
      </c>
      <c r="AO82" s="132">
        <f t="shared" si="5"/>
        <v>0.42566717065033427</v>
      </c>
      <c r="AP82" s="132">
        <f t="shared" si="5"/>
        <v>0.43140814378089531</v>
      </c>
      <c r="AQ82" s="132">
        <f t="shared" si="5"/>
        <v>0.43722654541606826</v>
      </c>
      <c r="AR82" s="133">
        <v>1.3487000000000001E-2</v>
      </c>
    </row>
    <row r="83" spans="1:44" ht="15" customHeight="1">
      <c r="A83" s="4" t="s">
        <v>101</v>
      </c>
      <c r="B83" s="131" t="s">
        <v>102</v>
      </c>
      <c r="C83" s="132">
        <v>6.9181000000000006E-2</v>
      </c>
      <c r="D83" s="132">
        <v>6.8847000000000005E-2</v>
      </c>
      <c r="E83" s="132">
        <v>6.8697999999999995E-2</v>
      </c>
      <c r="F83" s="132">
        <v>6.8526000000000004E-2</v>
      </c>
      <c r="G83" s="132">
        <v>6.8339999999999998E-2</v>
      </c>
      <c r="H83" s="132">
        <v>6.8156999999999995E-2</v>
      </c>
      <c r="I83" s="132">
        <v>6.7953E-2</v>
      </c>
      <c r="J83" s="132">
        <v>6.7707000000000003E-2</v>
      </c>
      <c r="K83" s="132">
        <v>6.7460999999999993E-2</v>
      </c>
      <c r="L83" s="132">
        <v>6.7224000000000006E-2</v>
      </c>
      <c r="M83" s="132">
        <v>6.6994999999999999E-2</v>
      </c>
      <c r="N83" s="132">
        <v>6.6774E-2</v>
      </c>
      <c r="O83" s="132">
        <v>6.6570000000000004E-2</v>
      </c>
      <c r="P83" s="132">
        <v>6.6382999999999998E-2</v>
      </c>
      <c r="Q83" s="132">
        <v>6.6213999999999995E-2</v>
      </c>
      <c r="R83" s="132">
        <v>6.6076999999999997E-2</v>
      </c>
      <c r="S83" s="132">
        <v>6.5975000000000006E-2</v>
      </c>
      <c r="T83" s="132">
        <v>6.5902000000000002E-2</v>
      </c>
      <c r="U83" s="132">
        <v>6.5862000000000004E-2</v>
      </c>
      <c r="V83" s="132">
        <v>6.5854999999999997E-2</v>
      </c>
      <c r="W83" s="132">
        <v>6.5888000000000002E-2</v>
      </c>
      <c r="X83" s="132">
        <v>6.5965999999999997E-2</v>
      </c>
      <c r="Y83" s="132">
        <v>6.6082000000000002E-2</v>
      </c>
      <c r="Z83" s="132">
        <v>6.6247E-2</v>
      </c>
      <c r="AA83" s="132">
        <v>6.6464999999999996E-2</v>
      </c>
      <c r="AB83" s="132">
        <v>6.6737000000000005E-2</v>
      </c>
      <c r="AC83" s="132">
        <v>6.7062999999999998E-2</v>
      </c>
      <c r="AD83" s="132">
        <v>6.7429000000000003E-2</v>
      </c>
      <c r="AE83" s="132">
        <v>6.7790000000000003E-2</v>
      </c>
      <c r="AF83" s="132">
        <v>6.8152000000000004E-2</v>
      </c>
      <c r="AG83" s="132">
        <v>6.8514000000000005E-2</v>
      </c>
      <c r="AH83" s="132">
        <f t="shared" ref="AH83:AQ111" si="6">AG83*(1+$AR83)</f>
        <v>6.8491869978000011E-2</v>
      </c>
      <c r="AI83" s="132">
        <f t="shared" si="6"/>
        <v>6.8469747103997114E-2</v>
      </c>
      <c r="AJ83" s="132">
        <f t="shared" si="6"/>
        <v>6.8447631375682522E-2</v>
      </c>
      <c r="AK83" s="132">
        <f t="shared" si="6"/>
        <v>6.8425522790748178E-2</v>
      </c>
      <c r="AL83" s="132">
        <f t="shared" si="6"/>
        <v>6.8403421346886775E-2</v>
      </c>
      <c r="AM83" s="132">
        <f t="shared" si="6"/>
        <v>6.8381327041791728E-2</v>
      </c>
      <c r="AN83" s="132">
        <f t="shared" si="6"/>
        <v>6.8359239873157229E-2</v>
      </c>
      <c r="AO83" s="132">
        <f t="shared" si="6"/>
        <v>6.8337159838678205E-2</v>
      </c>
      <c r="AP83" s="132">
        <f t="shared" si="6"/>
        <v>6.8315086936050318E-2</v>
      </c>
      <c r="AQ83" s="132">
        <f t="shared" si="6"/>
        <v>6.829302116296998E-2</v>
      </c>
      <c r="AR83" s="133">
        <v>-3.2299999999999999E-4</v>
      </c>
    </row>
    <row r="84" spans="1:44" ht="15" customHeight="1">
      <c r="A84" s="4" t="s">
        <v>103</v>
      </c>
      <c r="B84" s="131" t="s">
        <v>104</v>
      </c>
      <c r="C84" s="132">
        <v>0.21124499999999999</v>
      </c>
      <c r="D84" s="132">
        <v>0.20465800000000001</v>
      </c>
      <c r="E84" s="132">
        <v>0.20252100000000001</v>
      </c>
      <c r="F84" s="132">
        <v>0.20193</v>
      </c>
      <c r="G84" s="132">
        <v>0.202401</v>
      </c>
      <c r="H84" s="132">
        <v>0.201491</v>
      </c>
      <c r="I84" s="132">
        <v>0.200873</v>
      </c>
      <c r="J84" s="132">
        <v>0.20083799999999999</v>
      </c>
      <c r="K84" s="132">
        <v>0.201379</v>
      </c>
      <c r="L84" s="132">
        <v>0.20219599999999999</v>
      </c>
      <c r="M84" s="132">
        <v>0.200463</v>
      </c>
      <c r="N84" s="132">
        <v>0.19920399999999999</v>
      </c>
      <c r="O84" s="132">
        <v>0.19839200000000001</v>
      </c>
      <c r="P84" s="132">
        <v>0.197965</v>
      </c>
      <c r="Q84" s="132">
        <v>0.19794500000000001</v>
      </c>
      <c r="R84" s="132">
        <v>0.19828599999999999</v>
      </c>
      <c r="S84" s="132">
        <v>0.19874800000000001</v>
      </c>
      <c r="T84" s="132">
        <v>0.19925100000000001</v>
      </c>
      <c r="U84" s="132">
        <v>0.19975699999999999</v>
      </c>
      <c r="V84" s="132">
        <v>0.20028799999999999</v>
      </c>
      <c r="W84" s="132">
        <v>0.197496</v>
      </c>
      <c r="X84" s="132">
        <v>0.195328</v>
      </c>
      <c r="Y84" s="132">
        <v>0.19364100000000001</v>
      </c>
      <c r="Z84" s="132">
        <v>0.19243299999999999</v>
      </c>
      <c r="AA84" s="132">
        <v>0.19162399999999999</v>
      </c>
      <c r="AB84" s="132">
        <v>0.19103800000000001</v>
      </c>
      <c r="AC84" s="132">
        <v>0.19062899999999999</v>
      </c>
      <c r="AD84" s="132">
        <v>0.190303</v>
      </c>
      <c r="AE84" s="132">
        <v>0.190083</v>
      </c>
      <c r="AF84" s="132">
        <v>0.19001399999999999</v>
      </c>
      <c r="AG84" s="132">
        <v>0.190188</v>
      </c>
      <c r="AH84" s="132">
        <f t="shared" si="6"/>
        <v>0.18952348312799999</v>
      </c>
      <c r="AI84" s="132">
        <f t="shared" si="6"/>
        <v>0.18886128807795077</v>
      </c>
      <c r="AJ84" s="132">
        <f t="shared" si="6"/>
        <v>0.1882014067374064</v>
      </c>
      <c r="AK84" s="132">
        <f t="shared" si="6"/>
        <v>0.18754383102226591</v>
      </c>
      <c r="AL84" s="132">
        <f t="shared" si="6"/>
        <v>0.18688855287667411</v>
      </c>
      <c r="AM84" s="132">
        <f t="shared" si="6"/>
        <v>0.18623556427292301</v>
      </c>
      <c r="AN84" s="132">
        <f t="shared" si="6"/>
        <v>0.18558485721135343</v>
      </c>
      <c r="AO84" s="132">
        <f t="shared" si="6"/>
        <v>0.18493642372025695</v>
      </c>
      <c r="AP84" s="132">
        <f t="shared" si="6"/>
        <v>0.18429025585577838</v>
      </c>
      <c r="AQ84" s="132">
        <f t="shared" si="6"/>
        <v>0.18364634570181829</v>
      </c>
      <c r="AR84" s="133">
        <v>-3.4940000000000001E-3</v>
      </c>
    </row>
    <row r="85" spans="1:44" ht="15" customHeight="1">
      <c r="A85" s="4" t="s">
        <v>105</v>
      </c>
      <c r="B85" s="131" t="s">
        <v>356</v>
      </c>
      <c r="C85" s="132">
        <v>3.6778999999999999E-2</v>
      </c>
      <c r="D85" s="132">
        <v>3.7026000000000003E-2</v>
      </c>
      <c r="E85" s="132">
        <v>3.7374999999999999E-2</v>
      </c>
      <c r="F85" s="132">
        <v>3.7720999999999998E-2</v>
      </c>
      <c r="G85" s="132">
        <v>3.8074999999999998E-2</v>
      </c>
      <c r="H85" s="132">
        <v>3.8448999999999997E-2</v>
      </c>
      <c r="I85" s="132">
        <v>3.8823999999999997E-2</v>
      </c>
      <c r="J85" s="132">
        <v>3.918E-2</v>
      </c>
      <c r="K85" s="132">
        <v>3.9523000000000003E-2</v>
      </c>
      <c r="L85" s="132">
        <v>3.9855000000000002E-2</v>
      </c>
      <c r="M85" s="132">
        <v>4.0193E-2</v>
      </c>
      <c r="N85" s="132">
        <v>4.0518999999999999E-2</v>
      </c>
      <c r="O85" s="132">
        <v>4.0839E-2</v>
      </c>
      <c r="P85" s="132">
        <v>4.1152000000000001E-2</v>
      </c>
      <c r="Q85" s="132">
        <v>4.1454999999999999E-2</v>
      </c>
      <c r="R85" s="132">
        <v>4.1758999999999998E-2</v>
      </c>
      <c r="S85" s="132">
        <v>4.206E-2</v>
      </c>
      <c r="T85" s="132">
        <v>4.2358E-2</v>
      </c>
      <c r="U85" s="132">
        <v>4.2653000000000003E-2</v>
      </c>
      <c r="V85" s="132">
        <v>4.2944999999999997E-2</v>
      </c>
      <c r="W85" s="132">
        <v>4.3240000000000001E-2</v>
      </c>
      <c r="X85" s="132">
        <v>4.3534999999999997E-2</v>
      </c>
      <c r="Y85" s="132">
        <v>4.3829E-2</v>
      </c>
      <c r="Z85" s="132">
        <v>4.4122000000000001E-2</v>
      </c>
      <c r="AA85" s="132">
        <v>4.4415999999999997E-2</v>
      </c>
      <c r="AB85" s="132">
        <v>4.4708999999999999E-2</v>
      </c>
      <c r="AC85" s="132">
        <v>4.5004000000000002E-2</v>
      </c>
      <c r="AD85" s="132">
        <v>4.5295000000000002E-2</v>
      </c>
      <c r="AE85" s="132">
        <v>4.5585000000000001E-2</v>
      </c>
      <c r="AF85" s="132">
        <v>4.5874999999999999E-2</v>
      </c>
      <c r="AG85" s="132">
        <v>4.6168000000000001E-2</v>
      </c>
      <c r="AH85" s="132">
        <f t="shared" si="6"/>
        <v>4.6519199976E-2</v>
      </c>
      <c r="AI85" s="132">
        <f t="shared" si="6"/>
        <v>4.6873071530217428E-2</v>
      </c>
      <c r="AJ85" s="132">
        <f t="shared" si="6"/>
        <v>4.7229634985347789E-2</v>
      </c>
      <c r="AK85" s="132">
        <f t="shared" si="6"/>
        <v>4.7588910818681329E-2</v>
      </c>
      <c r="AL85" s="132">
        <f t="shared" si="6"/>
        <v>4.7950919663279037E-2</v>
      </c>
      <c r="AM85" s="132">
        <f t="shared" si="6"/>
        <v>4.8315682309157594E-2</v>
      </c>
      <c r="AN85" s="132">
        <f t="shared" si="6"/>
        <v>4.8683219704483353E-2</v>
      </c>
      <c r="AO85" s="132">
        <f t="shared" si="6"/>
        <v>4.9053552956775354E-2</v>
      </c>
      <c r="AP85" s="132">
        <f t="shared" si="6"/>
        <v>4.9426703334117542E-2</v>
      </c>
      <c r="AQ85" s="132">
        <f t="shared" si="6"/>
        <v>4.980269226638017E-2</v>
      </c>
      <c r="AR85" s="133">
        <v>7.607E-3</v>
      </c>
    </row>
    <row r="86" spans="1:44" ht="15" customHeight="1">
      <c r="A86" s="4" t="s">
        <v>106</v>
      </c>
      <c r="B86" s="131" t="s">
        <v>357</v>
      </c>
      <c r="C86" s="132">
        <v>2.6616999999999998E-2</v>
      </c>
      <c r="D86" s="132">
        <v>2.6991999999999999E-2</v>
      </c>
      <c r="E86" s="132">
        <v>2.7431000000000001E-2</v>
      </c>
      <c r="F86" s="132">
        <v>2.7858999999999998E-2</v>
      </c>
      <c r="G86" s="132">
        <v>2.8282999999999999E-2</v>
      </c>
      <c r="H86" s="132">
        <v>2.8708999999999998E-2</v>
      </c>
      <c r="I86" s="132">
        <v>2.9123E-2</v>
      </c>
      <c r="J86" s="132">
        <v>2.9508E-2</v>
      </c>
      <c r="K86" s="132">
        <v>2.9918E-2</v>
      </c>
      <c r="L86" s="132">
        <v>3.0360000000000002E-2</v>
      </c>
      <c r="M86" s="132">
        <v>3.083E-2</v>
      </c>
      <c r="N86" s="132">
        <v>3.1329999999999997E-2</v>
      </c>
      <c r="O86" s="132">
        <v>3.1868E-2</v>
      </c>
      <c r="P86" s="132">
        <v>3.2445000000000002E-2</v>
      </c>
      <c r="Q86" s="132">
        <v>3.3062000000000001E-2</v>
      </c>
      <c r="R86" s="132">
        <v>3.3676999999999999E-2</v>
      </c>
      <c r="S86" s="132">
        <v>3.4289E-2</v>
      </c>
      <c r="T86" s="132">
        <v>3.4896000000000003E-2</v>
      </c>
      <c r="U86" s="132">
        <v>3.5500999999999998E-2</v>
      </c>
      <c r="V86" s="132">
        <v>3.6103000000000003E-2</v>
      </c>
      <c r="W86" s="132">
        <v>3.6706000000000003E-2</v>
      </c>
      <c r="X86" s="132">
        <v>3.7309000000000002E-2</v>
      </c>
      <c r="Y86" s="132">
        <v>3.7909999999999999E-2</v>
      </c>
      <c r="Z86" s="132">
        <v>3.8510000000000003E-2</v>
      </c>
      <c r="AA86" s="132">
        <v>3.9109999999999999E-2</v>
      </c>
      <c r="AB86" s="132">
        <v>3.9710000000000002E-2</v>
      </c>
      <c r="AC86" s="132">
        <v>4.0308999999999998E-2</v>
      </c>
      <c r="AD86" s="132">
        <v>4.0904999999999997E-2</v>
      </c>
      <c r="AE86" s="132">
        <v>4.1499000000000001E-2</v>
      </c>
      <c r="AF86" s="132">
        <v>4.2092999999999998E-2</v>
      </c>
      <c r="AG86" s="132">
        <v>4.2686000000000002E-2</v>
      </c>
      <c r="AH86" s="132">
        <f t="shared" si="6"/>
        <v>4.3363426820000002E-2</v>
      </c>
      <c r="AI86" s="132">
        <f t="shared" si="6"/>
        <v>4.4051604403633406E-2</v>
      </c>
      <c r="AJ86" s="132">
        <f t="shared" si="6"/>
        <v>4.4750703365519069E-2</v>
      </c>
      <c r="AK86" s="132">
        <f t="shared" si="6"/>
        <v>4.546089702792986E-2</v>
      </c>
      <c r="AL86" s="132">
        <f t="shared" si="6"/>
        <v>4.6182361463763109E-2</v>
      </c>
      <c r="AM86" s="132">
        <f t="shared" si="6"/>
        <v>4.6915275540193035E-2</v>
      </c>
      <c r="AN86" s="132">
        <f t="shared" si="6"/>
        <v>4.7659820963015902E-2</v>
      </c>
      <c r="AO86" s="132">
        <f t="shared" si="6"/>
        <v>4.8416182321698968E-2</v>
      </c>
      <c r="AP86" s="132">
        <f t="shared" si="6"/>
        <v>4.9184547135144335E-2</v>
      </c>
      <c r="AQ86" s="132">
        <f t="shared" si="6"/>
        <v>4.9965105898179075E-2</v>
      </c>
      <c r="AR86" s="133">
        <v>1.5869999999999999E-2</v>
      </c>
    </row>
    <row r="87" spans="1:44" ht="15" customHeight="1">
      <c r="A87" s="4" t="s">
        <v>107</v>
      </c>
      <c r="B87" s="131" t="s">
        <v>358</v>
      </c>
      <c r="C87" s="132">
        <v>0.20913000000000001</v>
      </c>
      <c r="D87" s="132">
        <v>0.20516200000000001</v>
      </c>
      <c r="E87" s="132">
        <v>0.202737</v>
      </c>
      <c r="F87" s="132">
        <v>0.20082800000000001</v>
      </c>
      <c r="G87" s="132">
        <v>0.19992599999999999</v>
      </c>
      <c r="H87" s="132">
        <v>0.19981199999999999</v>
      </c>
      <c r="I87" s="132">
        <v>0.20025999999999999</v>
      </c>
      <c r="J87" s="132">
        <v>0.201233</v>
      </c>
      <c r="K87" s="132">
        <v>0.20279</v>
      </c>
      <c r="L87" s="132">
        <v>0.20499000000000001</v>
      </c>
      <c r="M87" s="132">
        <v>0.20774500000000001</v>
      </c>
      <c r="N87" s="132">
        <v>0.21087900000000001</v>
      </c>
      <c r="O87" s="132">
        <v>0.21451600000000001</v>
      </c>
      <c r="P87" s="132">
        <v>0.21862799999999999</v>
      </c>
      <c r="Q87" s="132">
        <v>0.22312899999999999</v>
      </c>
      <c r="R87" s="132">
        <v>0.22802700000000001</v>
      </c>
      <c r="S87" s="132">
        <v>0.23313400000000001</v>
      </c>
      <c r="T87" s="132">
        <v>0.23827000000000001</v>
      </c>
      <c r="U87" s="132">
        <v>0.24330499999999999</v>
      </c>
      <c r="V87" s="132">
        <v>0.24812600000000001</v>
      </c>
      <c r="W87" s="132">
        <v>0.252637</v>
      </c>
      <c r="X87" s="132">
        <v>0.25661600000000001</v>
      </c>
      <c r="Y87" s="132">
        <v>0.26006899999999999</v>
      </c>
      <c r="Z87" s="132">
        <v>0.26324199999999998</v>
      </c>
      <c r="AA87" s="132">
        <v>0.266345</v>
      </c>
      <c r="AB87" s="132">
        <v>0.26934000000000002</v>
      </c>
      <c r="AC87" s="132">
        <v>0.27229599999999998</v>
      </c>
      <c r="AD87" s="132">
        <v>0.27520499999999998</v>
      </c>
      <c r="AE87" s="132">
        <v>0.27812999999999999</v>
      </c>
      <c r="AF87" s="132">
        <v>0.28109899999999999</v>
      </c>
      <c r="AG87" s="132">
        <v>0.284057</v>
      </c>
      <c r="AH87" s="132">
        <f t="shared" si="6"/>
        <v>0.28697142481999999</v>
      </c>
      <c r="AI87" s="132">
        <f t="shared" si="6"/>
        <v>0.28991575163865319</v>
      </c>
      <c r="AJ87" s="132">
        <f t="shared" si="6"/>
        <v>0.29289028725046573</v>
      </c>
      <c r="AK87" s="132">
        <f t="shared" si="6"/>
        <v>0.29589534159765551</v>
      </c>
      <c r="AL87" s="132">
        <f t="shared" si="6"/>
        <v>0.29893122780244746</v>
      </c>
      <c r="AM87" s="132">
        <f t="shared" si="6"/>
        <v>0.30199826219970055</v>
      </c>
      <c r="AN87" s="132">
        <f t="shared" si="6"/>
        <v>0.30509676436986943</v>
      </c>
      <c r="AO87" s="132">
        <f t="shared" si="6"/>
        <v>0.30822705717230425</v>
      </c>
      <c r="AP87" s="132">
        <f t="shared" si="6"/>
        <v>0.31138946677889207</v>
      </c>
      <c r="AQ87" s="132">
        <f t="shared" si="6"/>
        <v>0.31458432270804348</v>
      </c>
      <c r="AR87" s="133">
        <v>1.026E-2</v>
      </c>
    </row>
    <row r="88" spans="1:44" ht="15" customHeight="1">
      <c r="A88" s="4" t="s">
        <v>108</v>
      </c>
      <c r="B88" s="131" t="s">
        <v>359</v>
      </c>
      <c r="C88" s="132">
        <v>8.6663000000000004E-2</v>
      </c>
      <c r="D88" s="132">
        <v>8.3815000000000001E-2</v>
      </c>
      <c r="E88" s="132">
        <v>8.1571000000000005E-2</v>
      </c>
      <c r="F88" s="132">
        <v>7.9480999999999996E-2</v>
      </c>
      <c r="G88" s="132">
        <v>7.7709E-2</v>
      </c>
      <c r="H88" s="132">
        <v>7.6121999999999995E-2</v>
      </c>
      <c r="I88" s="132">
        <v>7.4638999999999997E-2</v>
      </c>
      <c r="J88" s="132">
        <v>7.3223999999999997E-2</v>
      </c>
      <c r="K88" s="132">
        <v>7.1899000000000005E-2</v>
      </c>
      <c r="L88" s="132">
        <v>7.0669999999999997E-2</v>
      </c>
      <c r="M88" s="132">
        <v>6.9486999999999993E-2</v>
      </c>
      <c r="N88" s="132">
        <v>6.8283999999999997E-2</v>
      </c>
      <c r="O88" s="132">
        <v>6.7100000000000007E-2</v>
      </c>
      <c r="P88" s="132">
        <v>6.5909999999999996E-2</v>
      </c>
      <c r="Q88" s="132">
        <v>6.4686999999999995E-2</v>
      </c>
      <c r="R88" s="132">
        <v>6.3421000000000005E-2</v>
      </c>
      <c r="S88" s="132">
        <v>6.2059000000000003E-2</v>
      </c>
      <c r="T88" s="132">
        <v>6.0712000000000002E-2</v>
      </c>
      <c r="U88" s="132">
        <v>5.9373000000000002E-2</v>
      </c>
      <c r="V88" s="132">
        <v>5.8027000000000002E-2</v>
      </c>
      <c r="W88" s="132">
        <v>5.6675000000000003E-2</v>
      </c>
      <c r="X88" s="132">
        <v>5.5294999999999997E-2</v>
      </c>
      <c r="Y88" s="132">
        <v>5.3886999999999997E-2</v>
      </c>
      <c r="Z88" s="132">
        <v>5.2461000000000001E-2</v>
      </c>
      <c r="AA88" s="132">
        <v>5.1003E-2</v>
      </c>
      <c r="AB88" s="132">
        <v>4.9484E-2</v>
      </c>
      <c r="AC88" s="132">
        <v>4.7905000000000003E-2</v>
      </c>
      <c r="AD88" s="132">
        <v>4.6247999999999997E-2</v>
      </c>
      <c r="AE88" s="132">
        <v>4.4521999999999999E-2</v>
      </c>
      <c r="AF88" s="132">
        <v>4.2687000000000003E-2</v>
      </c>
      <c r="AG88" s="132">
        <v>4.0729000000000001E-2</v>
      </c>
      <c r="AH88" s="132">
        <f t="shared" si="6"/>
        <v>3.9716680705E-2</v>
      </c>
      <c r="AI88" s="132">
        <f t="shared" si="6"/>
        <v>3.8729522606077225E-2</v>
      </c>
      <c r="AJ88" s="132">
        <f t="shared" si="6"/>
        <v>3.7766900321703177E-2</v>
      </c>
      <c r="AK88" s="132">
        <f t="shared" si="6"/>
        <v>3.6828204014207243E-2</v>
      </c>
      <c r="AL88" s="132">
        <f t="shared" si="6"/>
        <v>3.5912839003434123E-2</v>
      </c>
      <c r="AM88" s="132">
        <f t="shared" si="6"/>
        <v>3.5020225390003767E-2</v>
      </c>
      <c r="AN88" s="132">
        <f t="shared" si="6"/>
        <v>3.4149797687935225E-2</v>
      </c>
      <c r="AO88" s="132">
        <f t="shared" si="6"/>
        <v>3.33010044664016E-2</v>
      </c>
      <c r="AP88" s="132">
        <f t="shared" si="6"/>
        <v>3.2473308000389188E-2</v>
      </c>
      <c r="AQ88" s="132">
        <f t="shared" si="6"/>
        <v>3.1666183930039518E-2</v>
      </c>
      <c r="AR88" s="133">
        <v>-2.4854999999999999E-2</v>
      </c>
    </row>
    <row r="89" spans="1:44" ht="15" customHeight="1">
      <c r="A89" s="4" t="s">
        <v>109</v>
      </c>
      <c r="B89" s="131" t="s">
        <v>110</v>
      </c>
      <c r="C89" s="132">
        <v>7.8188999999999995E-2</v>
      </c>
      <c r="D89" s="132">
        <v>8.4182999999999994E-2</v>
      </c>
      <c r="E89" s="132">
        <v>8.5001999999999994E-2</v>
      </c>
      <c r="F89" s="132">
        <v>8.5620000000000002E-2</v>
      </c>
      <c r="G89" s="132">
        <v>8.6391999999999997E-2</v>
      </c>
      <c r="H89" s="132">
        <v>8.7022000000000002E-2</v>
      </c>
      <c r="I89" s="132">
        <v>8.7474999999999997E-2</v>
      </c>
      <c r="J89" s="132">
        <v>8.7863999999999998E-2</v>
      </c>
      <c r="K89" s="132">
        <v>8.8203000000000004E-2</v>
      </c>
      <c r="L89" s="132">
        <v>8.8428000000000007E-2</v>
      </c>
      <c r="M89" s="132">
        <v>8.8433999999999999E-2</v>
      </c>
      <c r="N89" s="132">
        <v>8.8325000000000001E-2</v>
      </c>
      <c r="O89" s="132">
        <v>8.8066000000000005E-2</v>
      </c>
      <c r="P89" s="132">
        <v>8.7601999999999999E-2</v>
      </c>
      <c r="Q89" s="132">
        <v>8.6923E-2</v>
      </c>
      <c r="R89" s="132">
        <v>8.6102999999999999E-2</v>
      </c>
      <c r="S89" s="132">
        <v>8.5139000000000006E-2</v>
      </c>
      <c r="T89" s="132">
        <v>8.4037000000000001E-2</v>
      </c>
      <c r="U89" s="132">
        <v>8.2822999999999994E-2</v>
      </c>
      <c r="V89" s="132">
        <v>8.1584000000000004E-2</v>
      </c>
      <c r="W89" s="132">
        <v>8.0390000000000003E-2</v>
      </c>
      <c r="X89" s="132">
        <v>7.9242000000000007E-2</v>
      </c>
      <c r="Y89" s="132">
        <v>7.8127000000000002E-2</v>
      </c>
      <c r="Z89" s="132">
        <v>7.7107999999999996E-2</v>
      </c>
      <c r="AA89" s="132">
        <v>7.6200000000000004E-2</v>
      </c>
      <c r="AB89" s="132">
        <v>7.5408000000000003E-2</v>
      </c>
      <c r="AC89" s="132">
        <v>7.4749999999999997E-2</v>
      </c>
      <c r="AD89" s="132">
        <v>7.4200000000000002E-2</v>
      </c>
      <c r="AE89" s="132">
        <v>7.3778999999999997E-2</v>
      </c>
      <c r="AF89" s="132">
        <v>7.3468000000000006E-2</v>
      </c>
      <c r="AG89" s="132">
        <v>7.3273000000000005E-2</v>
      </c>
      <c r="AH89" s="132">
        <f t="shared" si="6"/>
        <v>7.3114583774E-2</v>
      </c>
      <c r="AI89" s="132">
        <f t="shared" si="6"/>
        <v>7.295651004388061E-2</v>
      </c>
      <c r="AJ89" s="132">
        <f t="shared" si="6"/>
        <v>7.2798778069165737E-2</v>
      </c>
      <c r="AK89" s="132">
        <f t="shared" si="6"/>
        <v>7.2641387110980199E-2</v>
      </c>
      <c r="AL89" s="132">
        <f t="shared" si="6"/>
        <v>7.2484336432046256E-2</v>
      </c>
      <c r="AM89" s="132">
        <f t="shared" si="6"/>
        <v>7.2327625296680173E-2</v>
      </c>
      <c r="AN89" s="132">
        <f t="shared" si="6"/>
        <v>7.2171252970788746E-2</v>
      </c>
      <c r="AO89" s="132">
        <f t="shared" si="6"/>
        <v>7.2015218721865906E-2</v>
      </c>
      <c r="AP89" s="132">
        <f t="shared" si="6"/>
        <v>7.1859521818989233E-2</v>
      </c>
      <c r="AQ89" s="132">
        <f t="shared" si="6"/>
        <v>7.1704161532816585E-2</v>
      </c>
      <c r="AR89" s="133">
        <v>-2.1619999999999999E-3</v>
      </c>
    </row>
    <row r="90" spans="1:44" ht="15" customHeight="1">
      <c r="A90" s="4" t="s">
        <v>111</v>
      </c>
      <c r="B90" s="131" t="s">
        <v>360</v>
      </c>
      <c r="C90" s="132">
        <v>2.095396</v>
      </c>
      <c r="D90" s="132">
        <v>2.1328130000000001</v>
      </c>
      <c r="E90" s="132">
        <v>2.0501580000000001</v>
      </c>
      <c r="F90" s="132">
        <v>2.0697749999999999</v>
      </c>
      <c r="G90" s="132">
        <v>2.0881249999999998</v>
      </c>
      <c r="H90" s="132">
        <v>2.1080329999999998</v>
      </c>
      <c r="I90" s="132">
        <v>2.135904</v>
      </c>
      <c r="J90" s="132">
        <v>2.1614640000000001</v>
      </c>
      <c r="K90" s="132">
        <v>2.1875239999999998</v>
      </c>
      <c r="L90" s="132">
        <v>2.213158</v>
      </c>
      <c r="M90" s="132">
        <v>2.2377699999999998</v>
      </c>
      <c r="N90" s="132">
        <v>2.2611089999999998</v>
      </c>
      <c r="O90" s="132">
        <v>2.285444</v>
      </c>
      <c r="P90" s="132">
        <v>2.3100830000000001</v>
      </c>
      <c r="Q90" s="132">
        <v>2.3392379999999999</v>
      </c>
      <c r="R90" s="132">
        <v>2.3687779999999998</v>
      </c>
      <c r="S90" s="132">
        <v>2.398638</v>
      </c>
      <c r="T90" s="132">
        <v>2.4280919999999999</v>
      </c>
      <c r="U90" s="132">
        <v>2.457198</v>
      </c>
      <c r="V90" s="132">
        <v>2.4872230000000002</v>
      </c>
      <c r="W90" s="132">
        <v>2.5179230000000001</v>
      </c>
      <c r="X90" s="132">
        <v>2.5484779999999998</v>
      </c>
      <c r="Y90" s="132">
        <v>2.5793870000000001</v>
      </c>
      <c r="Z90" s="132">
        <v>2.61084</v>
      </c>
      <c r="AA90" s="132">
        <v>2.6422379999999999</v>
      </c>
      <c r="AB90" s="132">
        <v>2.6745000000000001</v>
      </c>
      <c r="AC90" s="132">
        <v>2.7066150000000002</v>
      </c>
      <c r="AD90" s="132">
        <v>2.7386149999999998</v>
      </c>
      <c r="AE90" s="132">
        <v>2.7732429999999999</v>
      </c>
      <c r="AF90" s="132">
        <v>2.8085309999999999</v>
      </c>
      <c r="AG90" s="132">
        <v>2.8441619999999999</v>
      </c>
      <c r="AH90" s="132">
        <f t="shared" si="6"/>
        <v>2.8732748422319996</v>
      </c>
      <c r="AI90" s="132">
        <f t="shared" si="6"/>
        <v>2.902685683517086</v>
      </c>
      <c r="AJ90" s="132">
        <f t="shared" si="6"/>
        <v>2.9323975741735668</v>
      </c>
      <c r="AK90" s="132">
        <f t="shared" si="6"/>
        <v>2.9624135957428073</v>
      </c>
      <c r="AL90" s="132">
        <f t="shared" si="6"/>
        <v>2.9927368613088303</v>
      </c>
      <c r="AM90" s="132">
        <f t="shared" si="6"/>
        <v>3.0233705158211874</v>
      </c>
      <c r="AN90" s="132">
        <f t="shared" si="6"/>
        <v>3.0543177364211327</v>
      </c>
      <c r="AO90" s="132">
        <f t="shared" si="6"/>
        <v>3.0855817327711392</v>
      </c>
      <c r="AP90" s="132">
        <f t="shared" si="6"/>
        <v>3.1171657473877845</v>
      </c>
      <c r="AQ90" s="132">
        <f t="shared" si="6"/>
        <v>3.1490730559780458</v>
      </c>
      <c r="AR90" s="133">
        <v>1.0236E-2</v>
      </c>
    </row>
    <row r="91" spans="1:44" ht="15" customHeight="1">
      <c r="A91" s="4" t="s">
        <v>361</v>
      </c>
      <c r="B91" s="130" t="s">
        <v>362</v>
      </c>
      <c r="C91" s="134">
        <v>11.442263000000001</v>
      </c>
      <c r="D91" s="134">
        <v>11.399754</v>
      </c>
      <c r="E91" s="134">
        <v>11.542944</v>
      </c>
      <c r="F91" s="134">
        <v>11.564495000000001</v>
      </c>
      <c r="G91" s="134">
        <v>11.602633000000001</v>
      </c>
      <c r="H91" s="134">
        <v>11.631674</v>
      </c>
      <c r="I91" s="134">
        <v>11.658117000000001</v>
      </c>
      <c r="J91" s="134">
        <v>11.676036</v>
      </c>
      <c r="K91" s="134">
        <v>11.696097999999999</v>
      </c>
      <c r="L91" s="134">
        <v>11.715014</v>
      </c>
      <c r="M91" s="134">
        <v>11.724257</v>
      </c>
      <c r="N91" s="134">
        <v>11.734935999999999</v>
      </c>
      <c r="O91" s="134">
        <v>11.752254000000001</v>
      </c>
      <c r="P91" s="134">
        <v>11.773948000000001</v>
      </c>
      <c r="Q91" s="134">
        <v>11.803457999999999</v>
      </c>
      <c r="R91" s="134">
        <v>11.840107</v>
      </c>
      <c r="S91" s="134">
        <v>11.878617999999999</v>
      </c>
      <c r="T91" s="134">
        <v>11.919283</v>
      </c>
      <c r="U91" s="134">
        <v>11.961754000000001</v>
      </c>
      <c r="V91" s="134">
        <v>12.005604999999999</v>
      </c>
      <c r="W91" s="134">
        <v>12.050768</v>
      </c>
      <c r="X91" s="134">
        <v>12.095262</v>
      </c>
      <c r="Y91" s="134">
        <v>12.140841999999999</v>
      </c>
      <c r="Z91" s="134">
        <v>12.188027999999999</v>
      </c>
      <c r="AA91" s="134">
        <v>12.237684</v>
      </c>
      <c r="AB91" s="134">
        <v>12.289123999999999</v>
      </c>
      <c r="AC91" s="134">
        <v>12.343386000000001</v>
      </c>
      <c r="AD91" s="134">
        <v>12.397774999999999</v>
      </c>
      <c r="AE91" s="134">
        <v>12.457947000000001</v>
      </c>
      <c r="AF91" s="134">
        <v>12.520464</v>
      </c>
      <c r="AG91" s="134">
        <v>12.58447</v>
      </c>
      <c r="AH91" s="132">
        <f t="shared" si="6"/>
        <v>12.624450861189999</v>
      </c>
      <c r="AI91" s="132">
        <f t="shared" si="6"/>
        <v>12.664558741576</v>
      </c>
      <c r="AJ91" s="132">
        <f t="shared" si="6"/>
        <v>12.704794044697987</v>
      </c>
      <c r="AK91" s="132">
        <f t="shared" si="6"/>
        <v>12.745157175377992</v>
      </c>
      <c r="AL91" s="132">
        <f t="shared" si="6"/>
        <v>12.785648539724168</v>
      </c>
      <c r="AM91" s="132">
        <f t="shared" si="6"/>
        <v>12.826268545134871</v>
      </c>
      <c r="AN91" s="132">
        <f t="shared" si="6"/>
        <v>12.867017600302765</v>
      </c>
      <c r="AO91" s="132">
        <f t="shared" si="6"/>
        <v>12.907896115218927</v>
      </c>
      <c r="AP91" s="132">
        <f t="shared" si="6"/>
        <v>12.948904501176978</v>
      </c>
      <c r="AQ91" s="132">
        <f t="shared" si="6"/>
        <v>12.990043170777216</v>
      </c>
      <c r="AR91" s="135">
        <v>3.1770000000000001E-3</v>
      </c>
    </row>
    <row r="92" spans="1:44">
      <c r="A92" s="4" t="s">
        <v>363</v>
      </c>
      <c r="B92" s="131" t="s">
        <v>364</v>
      </c>
      <c r="C92" s="132">
        <v>7.8133999999999995E-2</v>
      </c>
      <c r="D92" s="132">
        <v>8.9459999999999998E-2</v>
      </c>
      <c r="E92" s="132">
        <v>9.9012000000000003E-2</v>
      </c>
      <c r="F92" s="132">
        <v>0.108281</v>
      </c>
      <c r="G92" s="132">
        <v>0.11738</v>
      </c>
      <c r="H92" s="132">
        <v>0.126529</v>
      </c>
      <c r="I92" s="132">
        <v>0.13586699999999999</v>
      </c>
      <c r="J92" s="132">
        <v>0.145236</v>
      </c>
      <c r="K92" s="132">
        <v>0.154673</v>
      </c>
      <c r="L92" s="132">
        <v>0.16417200000000001</v>
      </c>
      <c r="M92" s="132">
        <v>0.17386699999999999</v>
      </c>
      <c r="N92" s="132">
        <v>0.18379300000000001</v>
      </c>
      <c r="O92" s="132">
        <v>0.19391700000000001</v>
      </c>
      <c r="P92" s="132">
        <v>0.20421900000000001</v>
      </c>
      <c r="Q92" s="132">
        <v>0.214726</v>
      </c>
      <c r="R92" s="132">
        <v>0.22539300000000001</v>
      </c>
      <c r="S92" s="132">
        <v>0.23625399999999999</v>
      </c>
      <c r="T92" s="132">
        <v>0.247311</v>
      </c>
      <c r="U92" s="132">
        <v>0.25860100000000003</v>
      </c>
      <c r="V92" s="132">
        <v>0.27011499999999999</v>
      </c>
      <c r="W92" s="132">
        <v>0.28189500000000001</v>
      </c>
      <c r="X92" s="132">
        <v>0.29394199999999998</v>
      </c>
      <c r="Y92" s="132">
        <v>0.30629499999999998</v>
      </c>
      <c r="Z92" s="132">
        <v>0.31898300000000002</v>
      </c>
      <c r="AA92" s="132">
        <v>0.33201700000000001</v>
      </c>
      <c r="AB92" s="132">
        <v>0.34545999999999999</v>
      </c>
      <c r="AC92" s="132">
        <v>0.35925099999999999</v>
      </c>
      <c r="AD92" s="132">
        <v>0.373388</v>
      </c>
      <c r="AE92" s="132">
        <v>0.38795400000000002</v>
      </c>
      <c r="AF92" s="132">
        <v>0.40290599999999999</v>
      </c>
      <c r="AG92" s="132">
        <v>0.41825600000000002</v>
      </c>
      <c r="AH92" s="132">
        <f t="shared" si="6"/>
        <v>0.44231199384000003</v>
      </c>
      <c r="AI92" s="132">
        <f t="shared" si="6"/>
        <v>0.46775156816570762</v>
      </c>
      <c r="AJ92" s="132">
        <f t="shared" si="6"/>
        <v>0.49465429960875829</v>
      </c>
      <c r="AK92" s="132">
        <f t="shared" si="6"/>
        <v>0.52310434165075603</v>
      </c>
      <c r="AL92" s="132">
        <f t="shared" si="6"/>
        <v>0.55319068786079928</v>
      </c>
      <c r="AM92" s="132">
        <f t="shared" si="6"/>
        <v>0.58500745027311318</v>
      </c>
      <c r="AN92" s="132">
        <f t="shared" si="6"/>
        <v>0.61865415377557131</v>
      </c>
      <c r="AO92" s="132">
        <f t="shared" si="6"/>
        <v>0.65423604742997332</v>
      </c>
      <c r="AP92" s="132">
        <f t="shared" si="6"/>
        <v>0.69186443369790818</v>
      </c>
      <c r="AQ92" s="132">
        <f t="shared" si="6"/>
        <v>0.73165701660204341</v>
      </c>
      <c r="AR92" s="133">
        <v>5.7514999999999997E-2</v>
      </c>
    </row>
    <row r="93" spans="1:44" ht="15" customHeight="1">
      <c r="A93" s="4" t="s">
        <v>112</v>
      </c>
      <c r="B93" s="130" t="s">
        <v>365</v>
      </c>
      <c r="C93" s="134">
        <v>11.364127999999999</v>
      </c>
      <c r="D93" s="134">
        <v>11.310293</v>
      </c>
      <c r="E93" s="134">
        <v>11.443932999999999</v>
      </c>
      <c r="F93" s="134">
        <v>11.456213999999999</v>
      </c>
      <c r="G93" s="134">
        <v>11.485251999999999</v>
      </c>
      <c r="H93" s="134">
        <v>11.505145000000001</v>
      </c>
      <c r="I93" s="134">
        <v>11.52225</v>
      </c>
      <c r="J93" s="134">
        <v>11.530799999999999</v>
      </c>
      <c r="K93" s="134">
        <v>11.541426</v>
      </c>
      <c r="L93" s="134">
        <v>11.550841</v>
      </c>
      <c r="M93" s="134">
        <v>11.55039</v>
      </c>
      <c r="N93" s="134">
        <v>11.551143</v>
      </c>
      <c r="O93" s="134">
        <v>11.558337</v>
      </c>
      <c r="P93" s="134">
        <v>11.569729000000001</v>
      </c>
      <c r="Q93" s="134">
        <v>11.588733</v>
      </c>
      <c r="R93" s="134">
        <v>11.614715</v>
      </c>
      <c r="S93" s="134">
        <v>11.642365</v>
      </c>
      <c r="T93" s="134">
        <v>11.671972</v>
      </c>
      <c r="U93" s="134">
        <v>11.703153</v>
      </c>
      <c r="V93" s="134">
        <v>11.73549</v>
      </c>
      <c r="W93" s="134">
        <v>11.768872999999999</v>
      </c>
      <c r="X93" s="134">
        <v>11.80132</v>
      </c>
      <c r="Y93" s="134">
        <v>11.834547000000001</v>
      </c>
      <c r="Z93" s="134">
        <v>11.869045</v>
      </c>
      <c r="AA93" s="134">
        <v>11.905666999999999</v>
      </c>
      <c r="AB93" s="134">
        <v>11.943664</v>
      </c>
      <c r="AC93" s="134">
        <v>11.984135</v>
      </c>
      <c r="AD93" s="134">
        <v>12.024387000000001</v>
      </c>
      <c r="AE93" s="134">
        <v>12.069993</v>
      </c>
      <c r="AF93" s="134">
        <v>12.117558000000001</v>
      </c>
      <c r="AG93" s="134">
        <v>12.166214</v>
      </c>
      <c r="AH93" s="132">
        <f t="shared" si="6"/>
        <v>12.193904303063999</v>
      </c>
      <c r="AI93" s="132">
        <f t="shared" si="6"/>
        <v>12.221657629257772</v>
      </c>
      <c r="AJ93" s="132">
        <f t="shared" si="6"/>
        <v>12.249474122021962</v>
      </c>
      <c r="AK93" s="132">
        <f t="shared" si="6"/>
        <v>12.277353925123682</v>
      </c>
      <c r="AL93" s="132">
        <f t="shared" si="6"/>
        <v>12.305297182657263</v>
      </c>
      <c r="AM93" s="132">
        <f t="shared" si="6"/>
        <v>12.33330403904499</v>
      </c>
      <c r="AN93" s="132">
        <f t="shared" si="6"/>
        <v>12.361374639037855</v>
      </c>
      <c r="AO93" s="132">
        <f t="shared" si="6"/>
        <v>12.389509127716305</v>
      </c>
      <c r="AP93" s="132">
        <f t="shared" si="6"/>
        <v>12.417707650490987</v>
      </c>
      <c r="AQ93" s="132">
        <f t="shared" si="6"/>
        <v>12.445970353103505</v>
      </c>
      <c r="AR93" s="135">
        <v>2.2759999999999998E-3</v>
      </c>
    </row>
    <row r="94" spans="1:44" ht="15" customHeight="1"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</row>
    <row r="95" spans="1:44" ht="15" customHeight="1">
      <c r="A95" s="4" t="s">
        <v>113</v>
      </c>
      <c r="B95" s="130" t="s">
        <v>114</v>
      </c>
      <c r="C95" s="134">
        <v>9.4238949999999999</v>
      </c>
      <c r="D95" s="134">
        <v>9.4766209999999997</v>
      </c>
      <c r="E95" s="134">
        <v>9.4891740000000002</v>
      </c>
      <c r="F95" s="134">
        <v>9.2576630000000009</v>
      </c>
      <c r="G95" s="134">
        <v>9.0444969999999998</v>
      </c>
      <c r="H95" s="134">
        <v>8.7810249999999996</v>
      </c>
      <c r="I95" s="134">
        <v>8.504918</v>
      </c>
      <c r="J95" s="134">
        <v>8.3134200000000007</v>
      </c>
      <c r="K95" s="134">
        <v>8.2309839999999994</v>
      </c>
      <c r="L95" s="134">
        <v>8.1764799999999997</v>
      </c>
      <c r="M95" s="134">
        <v>8.1923200000000005</v>
      </c>
      <c r="N95" s="134">
        <v>8.1850590000000008</v>
      </c>
      <c r="O95" s="134">
        <v>8.1644249999999996</v>
      </c>
      <c r="P95" s="134">
        <v>8.1701149999999991</v>
      </c>
      <c r="Q95" s="134">
        <v>8.1734690000000008</v>
      </c>
      <c r="R95" s="134">
        <v>8.1987780000000008</v>
      </c>
      <c r="S95" s="134">
        <v>8.2248529999999995</v>
      </c>
      <c r="T95" s="134">
        <v>8.2395200000000006</v>
      </c>
      <c r="U95" s="134">
        <v>8.258127</v>
      </c>
      <c r="V95" s="134">
        <v>8.2924489999999995</v>
      </c>
      <c r="W95" s="134">
        <v>8.3307179999999992</v>
      </c>
      <c r="X95" s="134">
        <v>8.3672699999999995</v>
      </c>
      <c r="Y95" s="134">
        <v>8.4060900000000007</v>
      </c>
      <c r="Z95" s="134">
        <v>8.4239080000000008</v>
      </c>
      <c r="AA95" s="134">
        <v>8.4097259999999991</v>
      </c>
      <c r="AB95" s="134">
        <v>8.4392980000000009</v>
      </c>
      <c r="AC95" s="134">
        <v>8.4727250000000005</v>
      </c>
      <c r="AD95" s="134">
        <v>8.5036819999999995</v>
      </c>
      <c r="AE95" s="134">
        <v>8.5330150000000007</v>
      </c>
      <c r="AF95" s="134">
        <v>8.5858139999999992</v>
      </c>
      <c r="AG95" s="134">
        <v>8.6392950000000006</v>
      </c>
      <c r="AH95" s="132">
        <f t="shared" si="6"/>
        <v>8.6143015195650001</v>
      </c>
      <c r="AI95" s="132">
        <f t="shared" si="6"/>
        <v>8.5893803452688982</v>
      </c>
      <c r="AJ95" s="132">
        <f t="shared" si="6"/>
        <v>8.5645312679300343</v>
      </c>
      <c r="AK95" s="132">
        <f t="shared" si="6"/>
        <v>8.539754078971912</v>
      </c>
      <c r="AL95" s="132">
        <f t="shared" si="6"/>
        <v>8.5150485704214454</v>
      </c>
      <c r="AM95" s="132">
        <f t="shared" si="6"/>
        <v>8.4904145349072166</v>
      </c>
      <c r="AN95" s="132">
        <f t="shared" si="6"/>
        <v>8.4658517656577299</v>
      </c>
      <c r="AO95" s="132">
        <f t="shared" si="6"/>
        <v>8.4413600564996809</v>
      </c>
      <c r="AP95" s="132">
        <f t="shared" si="6"/>
        <v>8.416939201856227</v>
      </c>
      <c r="AQ95" s="132">
        <f t="shared" si="6"/>
        <v>8.3925889967452569</v>
      </c>
      <c r="AR95" s="135">
        <v>-2.8930000000000002E-3</v>
      </c>
    </row>
    <row r="96" spans="1:44" ht="15" customHeight="1"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</row>
    <row r="97" spans="1:44" ht="15" customHeight="1">
      <c r="B97" s="130" t="s">
        <v>366</v>
      </c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</row>
    <row r="98" spans="1:44" ht="15" customHeight="1">
      <c r="A98" s="4" t="s">
        <v>115</v>
      </c>
      <c r="B98" s="131" t="s">
        <v>90</v>
      </c>
      <c r="C98" s="132">
        <v>6.5176100000000003</v>
      </c>
      <c r="D98" s="132">
        <v>6.5797939999999997</v>
      </c>
      <c r="E98" s="132">
        <v>6.719017</v>
      </c>
      <c r="F98" s="132">
        <v>6.6574369999999998</v>
      </c>
      <c r="G98" s="132">
        <v>6.6101789999999996</v>
      </c>
      <c r="H98" s="132">
        <v>6.5457239999999999</v>
      </c>
      <c r="I98" s="132">
        <v>6.4678079999999998</v>
      </c>
      <c r="J98" s="132">
        <v>6.3960290000000004</v>
      </c>
      <c r="K98" s="132">
        <v>6.3388580000000001</v>
      </c>
      <c r="L98" s="132">
        <v>6.2831239999999999</v>
      </c>
      <c r="M98" s="132">
        <v>6.23278</v>
      </c>
      <c r="N98" s="132">
        <v>6.1810980000000004</v>
      </c>
      <c r="O98" s="132">
        <v>6.1299760000000001</v>
      </c>
      <c r="P98" s="132">
        <v>6.0836779999999999</v>
      </c>
      <c r="Q98" s="132">
        <v>6.0370229999999996</v>
      </c>
      <c r="R98" s="132">
        <v>5.9961060000000002</v>
      </c>
      <c r="S98" s="132">
        <v>5.9552639999999997</v>
      </c>
      <c r="T98" s="132">
        <v>5.9142479999999997</v>
      </c>
      <c r="U98" s="132">
        <v>5.8764120000000002</v>
      </c>
      <c r="V98" s="132">
        <v>5.8410479999999998</v>
      </c>
      <c r="W98" s="132">
        <v>5.8100569999999996</v>
      </c>
      <c r="X98" s="132">
        <v>5.7785630000000001</v>
      </c>
      <c r="Y98" s="132">
        <v>5.7465979999999997</v>
      </c>
      <c r="Z98" s="132">
        <v>5.7128560000000004</v>
      </c>
      <c r="AA98" s="132">
        <v>5.6761869999999996</v>
      </c>
      <c r="AB98" s="132">
        <v>5.6446269999999998</v>
      </c>
      <c r="AC98" s="132">
        <v>5.6148110000000004</v>
      </c>
      <c r="AD98" s="132">
        <v>5.5842109999999998</v>
      </c>
      <c r="AE98" s="132">
        <v>5.5536009999999996</v>
      </c>
      <c r="AF98" s="132">
        <v>5.5260889999999998</v>
      </c>
      <c r="AG98" s="132">
        <v>5.4985140000000001</v>
      </c>
      <c r="AH98" s="132">
        <f t="shared" si="6"/>
        <v>5.4674363988720005</v>
      </c>
      <c r="AI98" s="132">
        <f t="shared" si="6"/>
        <v>5.4365344483455758</v>
      </c>
      <c r="AJ98" s="132">
        <f t="shared" si="6"/>
        <v>5.4058071556435268</v>
      </c>
      <c r="AK98" s="132">
        <f t="shared" si="6"/>
        <v>5.3752535335998299</v>
      </c>
      <c r="AL98" s="132">
        <f t="shared" si="6"/>
        <v>5.3448726006279239</v>
      </c>
      <c r="AM98" s="132">
        <f t="shared" si="6"/>
        <v>5.3146633806891748</v>
      </c>
      <c r="AN98" s="132">
        <f t="shared" si="6"/>
        <v>5.2846249032615198</v>
      </c>
      <c r="AO98" s="132">
        <f t="shared" si="6"/>
        <v>5.2547562033082853</v>
      </c>
      <c r="AP98" s="132">
        <f t="shared" si="6"/>
        <v>5.2250563212471866</v>
      </c>
      <c r="AQ98" s="132">
        <f t="shared" si="6"/>
        <v>5.1955243029194973</v>
      </c>
      <c r="AR98" s="133">
        <v>-5.6519999999999999E-3</v>
      </c>
    </row>
    <row r="99" spans="1:44" ht="15" customHeight="1">
      <c r="A99" s="4" t="s">
        <v>116</v>
      </c>
      <c r="B99" s="131" t="s">
        <v>92</v>
      </c>
      <c r="C99" s="132">
        <v>2.3661279999999998</v>
      </c>
      <c r="D99" s="132">
        <v>2.249679</v>
      </c>
      <c r="E99" s="132">
        <v>2.5276879999999999</v>
      </c>
      <c r="F99" s="132">
        <v>2.5249380000000001</v>
      </c>
      <c r="G99" s="132">
        <v>2.525652</v>
      </c>
      <c r="H99" s="132">
        <v>2.517709</v>
      </c>
      <c r="I99" s="132">
        <v>2.5029840000000001</v>
      </c>
      <c r="J99" s="132">
        <v>2.5015149999999999</v>
      </c>
      <c r="K99" s="132">
        <v>2.5183879999999998</v>
      </c>
      <c r="L99" s="132">
        <v>2.5397400000000001</v>
      </c>
      <c r="M99" s="132">
        <v>2.5736490000000001</v>
      </c>
      <c r="N99" s="132">
        <v>2.6041159999999999</v>
      </c>
      <c r="O99" s="132">
        <v>2.633105</v>
      </c>
      <c r="P99" s="132">
        <v>2.6681650000000001</v>
      </c>
      <c r="Q99" s="132">
        <v>2.7033809999999998</v>
      </c>
      <c r="R99" s="132">
        <v>2.7458749999999998</v>
      </c>
      <c r="S99" s="132">
        <v>2.7894359999999998</v>
      </c>
      <c r="T99" s="132">
        <v>2.833351</v>
      </c>
      <c r="U99" s="132">
        <v>2.8775059999999999</v>
      </c>
      <c r="V99" s="132">
        <v>2.9244509999999999</v>
      </c>
      <c r="W99" s="132">
        <v>2.97437</v>
      </c>
      <c r="X99" s="132">
        <v>3.0230250000000001</v>
      </c>
      <c r="Y99" s="132">
        <v>3.0741309999999999</v>
      </c>
      <c r="Z99" s="132">
        <v>3.1203400000000001</v>
      </c>
      <c r="AA99" s="132">
        <v>3.161524</v>
      </c>
      <c r="AB99" s="132">
        <v>3.2111999999999998</v>
      </c>
      <c r="AC99" s="132">
        <v>3.2631899999999998</v>
      </c>
      <c r="AD99" s="132">
        <v>3.3150170000000001</v>
      </c>
      <c r="AE99" s="132">
        <v>3.3689369999999998</v>
      </c>
      <c r="AF99" s="132">
        <v>3.4285139999999998</v>
      </c>
      <c r="AG99" s="132">
        <v>3.4900869999999999</v>
      </c>
      <c r="AH99" s="132">
        <f t="shared" si="6"/>
        <v>3.5355977344799996</v>
      </c>
      <c r="AI99" s="132">
        <f t="shared" si="6"/>
        <v>3.5817019289376186</v>
      </c>
      <c r="AJ99" s="132">
        <f t="shared" si="6"/>
        <v>3.6284073220909652</v>
      </c>
      <c r="AK99" s="132">
        <f t="shared" si="6"/>
        <v>3.6757217535710311</v>
      </c>
      <c r="AL99" s="132">
        <f t="shared" si="6"/>
        <v>3.723653165237597</v>
      </c>
      <c r="AM99" s="132">
        <f t="shared" si="6"/>
        <v>3.7722096025122949</v>
      </c>
      <c r="AN99" s="132">
        <f t="shared" si="6"/>
        <v>3.8213992157290551</v>
      </c>
      <c r="AO99" s="132">
        <f t="shared" si="6"/>
        <v>3.8712302615021619</v>
      </c>
      <c r="AP99" s="132">
        <f t="shared" si="6"/>
        <v>3.9217111041121497</v>
      </c>
      <c r="AQ99" s="132">
        <f t="shared" si="6"/>
        <v>3.9728502169097721</v>
      </c>
      <c r="AR99" s="133">
        <v>1.304E-2</v>
      </c>
    </row>
    <row r="100" spans="1:44" ht="15" customHeight="1">
      <c r="A100" s="4" t="s">
        <v>117</v>
      </c>
      <c r="B100" s="131" t="s">
        <v>94</v>
      </c>
      <c r="C100" s="132">
        <v>2.8620719999999999</v>
      </c>
      <c r="D100" s="132">
        <v>2.8621110000000001</v>
      </c>
      <c r="E100" s="132">
        <v>2.8693629999999999</v>
      </c>
      <c r="F100" s="132">
        <v>2.845701</v>
      </c>
      <c r="G100" s="132">
        <v>2.8286739999999999</v>
      </c>
      <c r="H100" s="132">
        <v>2.8041269999999998</v>
      </c>
      <c r="I100" s="132">
        <v>2.7742360000000001</v>
      </c>
      <c r="J100" s="132">
        <v>2.753495</v>
      </c>
      <c r="K100" s="132">
        <v>2.745571</v>
      </c>
      <c r="L100" s="132">
        <v>2.7412429999999999</v>
      </c>
      <c r="M100" s="132">
        <v>2.7437930000000001</v>
      </c>
      <c r="N100" s="132">
        <v>2.7436180000000001</v>
      </c>
      <c r="O100" s="132">
        <v>2.7428279999999998</v>
      </c>
      <c r="P100" s="132">
        <v>2.7459570000000002</v>
      </c>
      <c r="Q100" s="132">
        <v>2.7484350000000002</v>
      </c>
      <c r="R100" s="132">
        <v>2.7545540000000002</v>
      </c>
      <c r="S100" s="132">
        <v>2.760983</v>
      </c>
      <c r="T100" s="132">
        <v>2.7658499999999999</v>
      </c>
      <c r="U100" s="132">
        <v>2.7711410000000001</v>
      </c>
      <c r="V100" s="132">
        <v>2.7775500000000002</v>
      </c>
      <c r="W100" s="132">
        <v>2.784608</v>
      </c>
      <c r="X100" s="132">
        <v>2.7911830000000002</v>
      </c>
      <c r="Y100" s="132">
        <v>2.7979059999999998</v>
      </c>
      <c r="Z100" s="132">
        <v>2.8029660000000001</v>
      </c>
      <c r="AA100" s="132">
        <v>2.8050549999999999</v>
      </c>
      <c r="AB100" s="132">
        <v>2.8125779999999998</v>
      </c>
      <c r="AC100" s="132">
        <v>2.8216329999999998</v>
      </c>
      <c r="AD100" s="132">
        <v>2.8313160000000002</v>
      </c>
      <c r="AE100" s="132">
        <v>2.8414419999999998</v>
      </c>
      <c r="AF100" s="132">
        <v>2.8551380000000002</v>
      </c>
      <c r="AG100" s="132">
        <v>2.8691</v>
      </c>
      <c r="AH100" s="132">
        <f t="shared" si="6"/>
        <v>2.8693352661999998</v>
      </c>
      <c r="AI100" s="132">
        <f t="shared" si="6"/>
        <v>2.8695705516918277</v>
      </c>
      <c r="AJ100" s="132">
        <f t="shared" si="6"/>
        <v>2.8698058564770661</v>
      </c>
      <c r="AK100" s="132">
        <f t="shared" si="6"/>
        <v>2.8700411805572972</v>
      </c>
      <c r="AL100" s="132">
        <f t="shared" si="6"/>
        <v>2.8702765239341028</v>
      </c>
      <c r="AM100" s="132">
        <f t="shared" si="6"/>
        <v>2.8705118866090653</v>
      </c>
      <c r="AN100" s="132">
        <f t="shared" si="6"/>
        <v>2.8707472685837669</v>
      </c>
      <c r="AO100" s="132">
        <f t="shared" si="6"/>
        <v>2.8709826698597904</v>
      </c>
      <c r="AP100" s="132">
        <f t="shared" si="6"/>
        <v>2.8712180904387186</v>
      </c>
      <c r="AQ100" s="132">
        <f t="shared" si="6"/>
        <v>2.8714535303221345</v>
      </c>
      <c r="AR100" s="133">
        <v>8.2000000000000001E-5</v>
      </c>
    </row>
    <row r="101" spans="1:44">
      <c r="A101" s="4" t="s">
        <v>118</v>
      </c>
      <c r="B101" s="131" t="s">
        <v>96</v>
      </c>
      <c r="C101" s="132">
        <v>0.852572</v>
      </c>
      <c r="D101" s="132">
        <v>0.84570500000000004</v>
      </c>
      <c r="E101" s="132">
        <v>0.840893</v>
      </c>
      <c r="F101" s="132">
        <v>0.82060500000000003</v>
      </c>
      <c r="G101" s="132">
        <v>0.80176700000000001</v>
      </c>
      <c r="H101" s="132">
        <v>0.78106699999999996</v>
      </c>
      <c r="I101" s="132">
        <v>0.75994600000000001</v>
      </c>
      <c r="J101" s="132">
        <v>0.74435399999999996</v>
      </c>
      <c r="K101" s="132">
        <v>0.73512299999999997</v>
      </c>
      <c r="L101" s="132">
        <v>0.72789599999999999</v>
      </c>
      <c r="M101" s="132">
        <v>0.72524200000000005</v>
      </c>
      <c r="N101" s="132">
        <v>0.72207699999999997</v>
      </c>
      <c r="O101" s="132">
        <v>0.71875999999999995</v>
      </c>
      <c r="P101" s="132">
        <v>0.71740899999999996</v>
      </c>
      <c r="Q101" s="132">
        <v>0.71611400000000003</v>
      </c>
      <c r="R101" s="132">
        <v>0.71654600000000002</v>
      </c>
      <c r="S101" s="132">
        <v>0.71772800000000003</v>
      </c>
      <c r="T101" s="132">
        <v>0.71899299999999999</v>
      </c>
      <c r="U101" s="132">
        <v>0.72129500000000002</v>
      </c>
      <c r="V101" s="132">
        <v>0.72508700000000004</v>
      </c>
      <c r="W101" s="132">
        <v>0.730016</v>
      </c>
      <c r="X101" s="132">
        <v>0.73563100000000003</v>
      </c>
      <c r="Y101" s="132">
        <v>0.74191499999999999</v>
      </c>
      <c r="Z101" s="132">
        <v>0.74697800000000003</v>
      </c>
      <c r="AA101" s="132">
        <v>0.75020500000000001</v>
      </c>
      <c r="AB101" s="132">
        <v>0.755602</v>
      </c>
      <c r="AC101" s="132">
        <v>0.76100199999999996</v>
      </c>
      <c r="AD101" s="132">
        <v>0.76608200000000004</v>
      </c>
      <c r="AE101" s="132">
        <v>0.77056000000000002</v>
      </c>
      <c r="AF101" s="132">
        <v>0.77597899999999997</v>
      </c>
      <c r="AG101" s="132">
        <v>0.78116699999999994</v>
      </c>
      <c r="AH101" s="132">
        <f t="shared" si="6"/>
        <v>0.778893022863</v>
      </c>
      <c r="AI101" s="132">
        <f t="shared" si="6"/>
        <v>0.77662566527344579</v>
      </c>
      <c r="AJ101" s="132">
        <f t="shared" si="6"/>
        <v>0.77436490796183477</v>
      </c>
      <c r="AK101" s="132">
        <f t="shared" si="6"/>
        <v>0.77211073171475786</v>
      </c>
      <c r="AL101" s="132">
        <f t="shared" si="6"/>
        <v>0.76986311737473623</v>
      </c>
      <c r="AM101" s="132">
        <f t="shared" si="6"/>
        <v>0.76762204584005833</v>
      </c>
      <c r="AN101" s="132">
        <f t="shared" si="6"/>
        <v>0.76538749806461792</v>
      </c>
      <c r="AO101" s="132">
        <f t="shared" si="6"/>
        <v>0.76315945505775185</v>
      </c>
      <c r="AP101" s="132">
        <f t="shared" si="6"/>
        <v>0.76093789788407873</v>
      </c>
      <c r="AQ101" s="132">
        <f t="shared" si="6"/>
        <v>0.75872280766333822</v>
      </c>
      <c r="AR101" s="133">
        <v>-2.911E-3</v>
      </c>
    </row>
    <row r="102" spans="1:44">
      <c r="A102" s="4" t="s">
        <v>119</v>
      </c>
      <c r="B102" s="131" t="s">
        <v>98</v>
      </c>
      <c r="C102" s="132">
        <v>0.27812399999999998</v>
      </c>
      <c r="D102" s="132">
        <v>0.278138</v>
      </c>
      <c r="E102" s="132">
        <v>0.27892099999999997</v>
      </c>
      <c r="F102" s="132">
        <v>0.27679599999999999</v>
      </c>
      <c r="G102" s="132">
        <v>0.27479399999999998</v>
      </c>
      <c r="H102" s="132">
        <v>0.27228400000000003</v>
      </c>
      <c r="I102" s="132">
        <v>0.26948800000000001</v>
      </c>
      <c r="J102" s="132">
        <v>0.26754800000000001</v>
      </c>
      <c r="K102" s="132">
        <v>0.26669399999999999</v>
      </c>
      <c r="L102" s="132">
        <v>0.266098</v>
      </c>
      <c r="M102" s="132">
        <v>0.266262</v>
      </c>
      <c r="N102" s="132">
        <v>0.26614500000000002</v>
      </c>
      <c r="O102" s="132">
        <v>0.26582699999999998</v>
      </c>
      <c r="P102" s="132">
        <v>0.26591100000000001</v>
      </c>
      <c r="Q102" s="132">
        <v>0.26599200000000001</v>
      </c>
      <c r="R102" s="132">
        <v>0.26643600000000001</v>
      </c>
      <c r="S102" s="132">
        <v>0.26704899999999998</v>
      </c>
      <c r="T102" s="132">
        <v>0.26771200000000001</v>
      </c>
      <c r="U102" s="132">
        <v>0.268426</v>
      </c>
      <c r="V102" s="132">
        <v>0.26930100000000001</v>
      </c>
      <c r="W102" s="132">
        <v>0.27027200000000001</v>
      </c>
      <c r="X102" s="132">
        <v>0.27124500000000001</v>
      </c>
      <c r="Y102" s="132">
        <v>0.27222499999999999</v>
      </c>
      <c r="Z102" s="132">
        <v>0.27299200000000001</v>
      </c>
      <c r="AA102" s="132">
        <v>0.27343299999999998</v>
      </c>
      <c r="AB102" s="132">
        <v>0.27432800000000002</v>
      </c>
      <c r="AC102" s="132">
        <v>0.27525699999999997</v>
      </c>
      <c r="AD102" s="132">
        <v>0.27615699999999999</v>
      </c>
      <c r="AE102" s="132">
        <v>0.276976</v>
      </c>
      <c r="AF102" s="132">
        <v>0.278005</v>
      </c>
      <c r="AG102" s="132">
        <v>0.27902399999999999</v>
      </c>
      <c r="AH102" s="132">
        <f t="shared" si="6"/>
        <v>0.27905413459200001</v>
      </c>
      <c r="AI102" s="132">
        <f t="shared" si="6"/>
        <v>0.27908427243853595</v>
      </c>
      <c r="AJ102" s="132">
        <f t="shared" si="6"/>
        <v>0.27911441353995931</v>
      </c>
      <c r="AK102" s="132">
        <f t="shared" si="6"/>
        <v>0.27914455789662163</v>
      </c>
      <c r="AL102" s="132">
        <f t="shared" si="6"/>
        <v>0.27917470550887447</v>
      </c>
      <c r="AM102" s="132">
        <f t="shared" si="6"/>
        <v>0.27920485637706943</v>
      </c>
      <c r="AN102" s="132">
        <f t="shared" si="6"/>
        <v>0.27923501050155813</v>
      </c>
      <c r="AO102" s="132">
        <f t="shared" si="6"/>
        <v>0.27926516788269229</v>
      </c>
      <c r="AP102" s="132">
        <f t="shared" si="6"/>
        <v>0.27929532852082362</v>
      </c>
      <c r="AQ102" s="132">
        <f t="shared" si="6"/>
        <v>0.27932549241630389</v>
      </c>
      <c r="AR102" s="133">
        <v>1.08E-4</v>
      </c>
    </row>
    <row r="103" spans="1:44" ht="15" customHeight="1">
      <c r="A103" s="4" t="s">
        <v>120</v>
      </c>
      <c r="B103" s="131" t="s">
        <v>100</v>
      </c>
      <c r="C103" s="132">
        <v>0.65949199999999997</v>
      </c>
      <c r="D103" s="132">
        <v>0.67071400000000003</v>
      </c>
      <c r="E103" s="132">
        <v>0.68189</v>
      </c>
      <c r="F103" s="132">
        <v>0.68078300000000003</v>
      </c>
      <c r="G103" s="132">
        <v>0.68092399999999997</v>
      </c>
      <c r="H103" s="132">
        <v>0.67840999999999996</v>
      </c>
      <c r="I103" s="132">
        <v>0.673794</v>
      </c>
      <c r="J103" s="132">
        <v>0.67220599999999997</v>
      </c>
      <c r="K103" s="132">
        <v>0.67515199999999997</v>
      </c>
      <c r="L103" s="132">
        <v>0.67917499999999997</v>
      </c>
      <c r="M103" s="132">
        <v>0.68642899999999996</v>
      </c>
      <c r="N103" s="132">
        <v>0.69225499999999995</v>
      </c>
      <c r="O103" s="132">
        <v>0.69733299999999998</v>
      </c>
      <c r="P103" s="132">
        <v>0.70373399999999997</v>
      </c>
      <c r="Q103" s="132">
        <v>0.71000600000000003</v>
      </c>
      <c r="R103" s="132">
        <v>0.717561</v>
      </c>
      <c r="S103" s="132">
        <v>0.72531599999999996</v>
      </c>
      <c r="T103" s="132">
        <v>0.73229</v>
      </c>
      <c r="U103" s="132">
        <v>0.73930200000000001</v>
      </c>
      <c r="V103" s="132">
        <v>0.74695</v>
      </c>
      <c r="W103" s="132">
        <v>0.75493100000000002</v>
      </c>
      <c r="X103" s="132">
        <v>0.76273999999999997</v>
      </c>
      <c r="Y103" s="132">
        <v>0.77051800000000004</v>
      </c>
      <c r="Z103" s="132">
        <v>0.77727000000000002</v>
      </c>
      <c r="AA103" s="132">
        <v>0.78232199999999996</v>
      </c>
      <c r="AB103" s="132">
        <v>0.78942800000000002</v>
      </c>
      <c r="AC103" s="132">
        <v>0.79681000000000002</v>
      </c>
      <c r="AD103" s="132">
        <v>0.80415999999999999</v>
      </c>
      <c r="AE103" s="132">
        <v>0.81132700000000002</v>
      </c>
      <c r="AF103" s="132">
        <v>0.81994699999999998</v>
      </c>
      <c r="AG103" s="132">
        <v>0.82863699999999996</v>
      </c>
      <c r="AH103" s="132">
        <f t="shared" si="6"/>
        <v>0.83496695804299992</v>
      </c>
      <c r="AI103" s="132">
        <f t="shared" si="6"/>
        <v>0.84134527063549036</v>
      </c>
      <c r="AJ103" s="132">
        <f t="shared" si="6"/>
        <v>0.84777230715787488</v>
      </c>
      <c r="AK103" s="132">
        <f t="shared" si="6"/>
        <v>0.85424843981225385</v>
      </c>
      <c r="AL103" s="132">
        <f t="shared" si="6"/>
        <v>0.86077404364397958</v>
      </c>
      <c r="AM103" s="132">
        <f t="shared" si="6"/>
        <v>0.8673494965633759</v>
      </c>
      <c r="AN103" s="132">
        <f t="shared" si="6"/>
        <v>0.87397517936762348</v>
      </c>
      <c r="AO103" s="132">
        <f t="shared" si="6"/>
        <v>0.88065147576281266</v>
      </c>
      <c r="AP103" s="132">
        <f t="shared" si="6"/>
        <v>0.88737877238616469</v>
      </c>
      <c r="AQ103" s="132">
        <f t="shared" si="6"/>
        <v>0.89415745882842257</v>
      </c>
      <c r="AR103" s="133">
        <v>7.639E-3</v>
      </c>
    </row>
    <row r="104" spans="1:44" ht="15" customHeight="1">
      <c r="A104" s="4" t="s">
        <v>121</v>
      </c>
      <c r="B104" s="131" t="s">
        <v>102</v>
      </c>
      <c r="C104" s="132">
        <v>0.198212</v>
      </c>
      <c r="D104" s="132">
        <v>0.19713800000000001</v>
      </c>
      <c r="E104" s="132">
        <v>0.196626</v>
      </c>
      <c r="F104" s="132">
        <v>0.19251799999999999</v>
      </c>
      <c r="G104" s="132">
        <v>0.18853900000000001</v>
      </c>
      <c r="H104" s="132">
        <v>0.18390300000000001</v>
      </c>
      <c r="I104" s="132">
        <v>0.17897199999999999</v>
      </c>
      <c r="J104" s="132">
        <v>0.175177</v>
      </c>
      <c r="K104" s="132">
        <v>0.172821</v>
      </c>
      <c r="L104" s="132">
        <v>0.17086499999999999</v>
      </c>
      <c r="M104" s="132">
        <v>0.16989799999999999</v>
      </c>
      <c r="N104" s="132">
        <v>0.16869000000000001</v>
      </c>
      <c r="O104" s="132">
        <v>0.167319</v>
      </c>
      <c r="P104" s="132">
        <v>0.16628699999999999</v>
      </c>
      <c r="Q104" s="132">
        <v>0.165155</v>
      </c>
      <c r="R104" s="132">
        <v>0.164302</v>
      </c>
      <c r="S104" s="132">
        <v>0.16352800000000001</v>
      </c>
      <c r="T104" s="132">
        <v>0.162685</v>
      </c>
      <c r="U104" s="132">
        <v>0.161996</v>
      </c>
      <c r="V104" s="132">
        <v>0.161575</v>
      </c>
      <c r="W104" s="132">
        <v>0.16133900000000001</v>
      </c>
      <c r="X104" s="132">
        <v>0.16120799999999999</v>
      </c>
      <c r="Y104" s="132">
        <v>0.16117799999999999</v>
      </c>
      <c r="Z104" s="132">
        <v>0.161019</v>
      </c>
      <c r="AA104" s="132">
        <v>0.16061800000000001</v>
      </c>
      <c r="AB104" s="132">
        <v>0.16084000000000001</v>
      </c>
      <c r="AC104" s="132">
        <v>0.161218</v>
      </c>
      <c r="AD104" s="132">
        <v>0.161666</v>
      </c>
      <c r="AE104" s="132">
        <v>0.162018</v>
      </c>
      <c r="AF104" s="132">
        <v>0.162601</v>
      </c>
      <c r="AG104" s="132">
        <v>0.16316700000000001</v>
      </c>
      <c r="AH104" s="132">
        <f t="shared" si="6"/>
        <v>0.16211228851199999</v>
      </c>
      <c r="AI104" s="132">
        <f t="shared" si="6"/>
        <v>0.16106439467905842</v>
      </c>
      <c r="AJ104" s="132">
        <f t="shared" si="6"/>
        <v>0.16002327443185299</v>
      </c>
      <c r="AK104" s="132">
        <f t="shared" si="6"/>
        <v>0.15898888398592548</v>
      </c>
      <c r="AL104" s="132">
        <f t="shared" si="6"/>
        <v>0.15796117983984045</v>
      </c>
      <c r="AM104" s="132">
        <f t="shared" si="6"/>
        <v>0.15694011877335573</v>
      </c>
      <c r="AN104" s="132">
        <f t="shared" si="6"/>
        <v>0.15592565784560475</v>
      </c>
      <c r="AO104" s="132">
        <f t="shared" si="6"/>
        <v>0.15491775439329075</v>
      </c>
      <c r="AP104" s="132">
        <f t="shared" si="6"/>
        <v>0.15391636602889253</v>
      </c>
      <c r="AQ104" s="132">
        <f t="shared" si="6"/>
        <v>0.15292145063888177</v>
      </c>
      <c r="AR104" s="133">
        <v>-6.4640000000000001E-3</v>
      </c>
    </row>
    <row r="105" spans="1:44" ht="15" customHeight="1">
      <c r="A105" s="4" t="s">
        <v>122</v>
      </c>
      <c r="B105" s="131" t="s">
        <v>104</v>
      </c>
      <c r="C105" s="132">
        <v>0.60523800000000005</v>
      </c>
      <c r="D105" s="132">
        <v>0.58602500000000002</v>
      </c>
      <c r="E105" s="132">
        <v>0.57965299999999997</v>
      </c>
      <c r="F105" s="132">
        <v>0.56730999999999998</v>
      </c>
      <c r="G105" s="132">
        <v>0.55839300000000003</v>
      </c>
      <c r="H105" s="132">
        <v>0.54366899999999996</v>
      </c>
      <c r="I105" s="132">
        <v>0.52905100000000005</v>
      </c>
      <c r="J105" s="132">
        <v>0.51962600000000003</v>
      </c>
      <c r="K105" s="132">
        <v>0.51588699999999998</v>
      </c>
      <c r="L105" s="132">
        <v>0.51393200000000006</v>
      </c>
      <c r="M105" s="132">
        <v>0.50837200000000005</v>
      </c>
      <c r="N105" s="132">
        <v>0.50324599999999997</v>
      </c>
      <c r="O105" s="132">
        <v>0.49864900000000001</v>
      </c>
      <c r="P105" s="132">
        <v>0.49589699999999998</v>
      </c>
      <c r="Q105" s="132">
        <v>0.493726</v>
      </c>
      <c r="R105" s="132">
        <v>0.49303900000000001</v>
      </c>
      <c r="S105" s="132">
        <v>0.49262299999999998</v>
      </c>
      <c r="T105" s="132">
        <v>0.49186600000000003</v>
      </c>
      <c r="U105" s="132">
        <v>0.49132399999999998</v>
      </c>
      <c r="V105" s="132">
        <v>0.49140499999999998</v>
      </c>
      <c r="W105" s="132">
        <v>0.48360500000000001</v>
      </c>
      <c r="X105" s="132">
        <v>0.47734500000000002</v>
      </c>
      <c r="Y105" s="132">
        <v>0.472304</v>
      </c>
      <c r="Z105" s="132">
        <v>0.46772599999999998</v>
      </c>
      <c r="AA105" s="132">
        <v>0.46307599999999999</v>
      </c>
      <c r="AB105" s="132">
        <v>0.46041300000000002</v>
      </c>
      <c r="AC105" s="132">
        <v>0.45827099999999998</v>
      </c>
      <c r="AD105" s="132">
        <v>0.45626899999999998</v>
      </c>
      <c r="AE105" s="132">
        <v>0.45429700000000001</v>
      </c>
      <c r="AF105" s="132">
        <v>0.453345</v>
      </c>
      <c r="AG105" s="132">
        <v>0.45293800000000001</v>
      </c>
      <c r="AH105" s="132">
        <f t="shared" si="6"/>
        <v>0.44858254819200005</v>
      </c>
      <c r="AI105" s="132">
        <f t="shared" si="6"/>
        <v>0.44426897840858581</v>
      </c>
      <c r="AJ105" s="132">
        <f t="shared" si="6"/>
        <v>0.43999688791220887</v>
      </c>
      <c r="AK105" s="132">
        <f t="shared" si="6"/>
        <v>0.4357658778380451</v>
      </c>
      <c r="AL105" s="132">
        <f t="shared" si="6"/>
        <v>0.4315755531567545</v>
      </c>
      <c r="AM105" s="132">
        <f t="shared" si="6"/>
        <v>0.42742552263759914</v>
      </c>
      <c r="AN105" s="132">
        <f t="shared" si="6"/>
        <v>0.42331539881191599</v>
      </c>
      <c r="AO105" s="132">
        <f t="shared" si="6"/>
        <v>0.41924479793694064</v>
      </c>
      <c r="AP105" s="132">
        <f t="shared" si="6"/>
        <v>0.41521333995997906</v>
      </c>
      <c r="AQ105" s="132">
        <f t="shared" si="6"/>
        <v>0.41122064848292389</v>
      </c>
      <c r="AR105" s="133">
        <v>-9.6159999999999995E-3</v>
      </c>
    </row>
    <row r="106" spans="1:44" ht="15" customHeight="1">
      <c r="A106" s="4" t="s">
        <v>123</v>
      </c>
      <c r="B106" s="131" t="s">
        <v>356</v>
      </c>
      <c r="C106" s="132">
        <v>0.105377</v>
      </c>
      <c r="D106" s="132">
        <v>0.10602200000000001</v>
      </c>
      <c r="E106" s="132">
        <v>0.106973</v>
      </c>
      <c r="F106" s="132">
        <v>0.105974</v>
      </c>
      <c r="G106" s="132">
        <v>0.105045</v>
      </c>
      <c r="H106" s="132">
        <v>0.103745</v>
      </c>
      <c r="I106" s="132">
        <v>0.102253</v>
      </c>
      <c r="J106" s="132">
        <v>0.101371</v>
      </c>
      <c r="K106" s="132">
        <v>0.101248</v>
      </c>
      <c r="L106" s="132">
        <v>0.101302</v>
      </c>
      <c r="M106" s="132">
        <v>0.10192900000000001</v>
      </c>
      <c r="N106" s="132">
        <v>0.10236199999999999</v>
      </c>
      <c r="O106" s="132">
        <v>0.102648</v>
      </c>
      <c r="P106" s="132">
        <v>0.103085</v>
      </c>
      <c r="Q106" s="132">
        <v>0.10340000000000001</v>
      </c>
      <c r="R106" s="132">
        <v>0.103835</v>
      </c>
      <c r="S106" s="132">
        <v>0.104252</v>
      </c>
      <c r="T106" s="132">
        <v>0.104564</v>
      </c>
      <c r="U106" s="132">
        <v>0.104909</v>
      </c>
      <c r="V106" s="132">
        <v>0.105366</v>
      </c>
      <c r="W106" s="132">
        <v>0.105882</v>
      </c>
      <c r="X106" s="132">
        <v>0.106392</v>
      </c>
      <c r="Y106" s="132">
        <v>0.106901</v>
      </c>
      <c r="Z106" s="132">
        <v>0.107243</v>
      </c>
      <c r="AA106" s="132">
        <v>0.107334</v>
      </c>
      <c r="AB106" s="132">
        <v>0.107752</v>
      </c>
      <c r="AC106" s="132">
        <v>0.10818800000000001</v>
      </c>
      <c r="AD106" s="132">
        <v>0.108599</v>
      </c>
      <c r="AE106" s="132">
        <v>0.108947</v>
      </c>
      <c r="AF106" s="132">
        <v>0.10945199999999999</v>
      </c>
      <c r="AG106" s="132">
        <v>0.10994900000000001</v>
      </c>
      <c r="AH106" s="132">
        <f t="shared" si="6"/>
        <v>0.11010479773300001</v>
      </c>
      <c r="AI106" s="132">
        <f t="shared" si="6"/>
        <v>0.11026081623138767</v>
      </c>
      <c r="AJ106" s="132">
        <f t="shared" si="6"/>
        <v>0.11041705580798755</v>
      </c>
      <c r="AK106" s="132">
        <f t="shared" si="6"/>
        <v>0.11057351677606747</v>
      </c>
      <c r="AL106" s="132">
        <f t="shared" si="6"/>
        <v>0.11073019944933916</v>
      </c>
      <c r="AM106" s="132">
        <f t="shared" si="6"/>
        <v>0.11088710414195888</v>
      </c>
      <c r="AN106" s="132">
        <f t="shared" si="6"/>
        <v>0.11104423116852803</v>
      </c>
      <c r="AO106" s="132">
        <f t="shared" si="6"/>
        <v>0.11120158084409383</v>
      </c>
      <c r="AP106" s="132">
        <f t="shared" si="6"/>
        <v>0.11135915348414992</v>
      </c>
      <c r="AQ106" s="132">
        <f t="shared" si="6"/>
        <v>0.11151694940463695</v>
      </c>
      <c r="AR106" s="133">
        <v>1.4170000000000001E-3</v>
      </c>
    </row>
    <row r="107" spans="1:44" ht="15" customHeight="1">
      <c r="A107" s="4" t="s">
        <v>124</v>
      </c>
      <c r="B107" s="131" t="s">
        <v>357</v>
      </c>
      <c r="C107" s="132">
        <v>7.6258999999999993E-2</v>
      </c>
      <c r="D107" s="132">
        <v>7.7290999999999999E-2</v>
      </c>
      <c r="E107" s="132">
        <v>7.8511999999999998E-2</v>
      </c>
      <c r="F107" s="132">
        <v>7.8269000000000005E-2</v>
      </c>
      <c r="G107" s="132">
        <v>7.8028E-2</v>
      </c>
      <c r="H107" s="132">
        <v>7.7464000000000005E-2</v>
      </c>
      <c r="I107" s="132">
        <v>7.6702000000000006E-2</v>
      </c>
      <c r="J107" s="132">
        <v>7.6344999999999996E-2</v>
      </c>
      <c r="K107" s="132">
        <v>7.6644000000000004E-2</v>
      </c>
      <c r="L107" s="132">
        <v>7.7166999999999999E-2</v>
      </c>
      <c r="M107" s="132">
        <v>7.8184000000000003E-2</v>
      </c>
      <c r="N107" s="132">
        <v>7.9148999999999997E-2</v>
      </c>
      <c r="O107" s="132">
        <v>8.0100000000000005E-2</v>
      </c>
      <c r="P107" s="132">
        <v>8.1273999999999999E-2</v>
      </c>
      <c r="Q107" s="132">
        <v>8.2463999999999996E-2</v>
      </c>
      <c r="R107" s="132">
        <v>8.3738000000000007E-2</v>
      </c>
      <c r="S107" s="132">
        <v>8.4988999999999995E-2</v>
      </c>
      <c r="T107" s="132">
        <v>8.6143999999999998E-2</v>
      </c>
      <c r="U107" s="132">
        <v>8.7318000000000007E-2</v>
      </c>
      <c r="V107" s="132">
        <v>8.8578000000000004E-2</v>
      </c>
      <c r="W107" s="132">
        <v>8.9883000000000005E-2</v>
      </c>
      <c r="X107" s="132">
        <v>9.1176999999999994E-2</v>
      </c>
      <c r="Y107" s="132">
        <v>9.2465000000000006E-2</v>
      </c>
      <c r="Z107" s="132">
        <v>9.3603000000000006E-2</v>
      </c>
      <c r="AA107" s="132">
        <v>9.4513E-2</v>
      </c>
      <c r="AB107" s="132">
        <v>9.5702999999999996E-2</v>
      </c>
      <c r="AC107" s="132">
        <v>9.6902000000000002E-2</v>
      </c>
      <c r="AD107" s="132">
        <v>9.8073999999999995E-2</v>
      </c>
      <c r="AE107" s="132">
        <v>9.9182999999999993E-2</v>
      </c>
      <c r="AF107" s="132">
        <v>0.100428</v>
      </c>
      <c r="AG107" s="132">
        <v>0.101659</v>
      </c>
      <c r="AH107" s="132">
        <f t="shared" si="6"/>
        <v>0.10263787451100001</v>
      </c>
      <c r="AI107" s="132">
        <f t="shared" si="6"/>
        <v>0.10362617460466644</v>
      </c>
      <c r="AJ107" s="132">
        <f t="shared" si="6"/>
        <v>0.10462399103993479</v>
      </c>
      <c r="AK107" s="132">
        <f t="shared" si="6"/>
        <v>0.10563141544965833</v>
      </c>
      <c r="AL107" s="132">
        <f t="shared" si="6"/>
        <v>0.1066485403490231</v>
      </c>
      <c r="AM107" s="132">
        <f t="shared" si="6"/>
        <v>0.10767545914404386</v>
      </c>
      <c r="AN107" s="132">
        <f t="shared" si="6"/>
        <v>0.10871226614014187</v>
      </c>
      <c r="AO107" s="132">
        <f t="shared" si="6"/>
        <v>0.10975905655080531</v>
      </c>
      <c r="AP107" s="132">
        <f t="shared" si="6"/>
        <v>0.11081592650633303</v>
      </c>
      <c r="AQ107" s="132">
        <f t="shared" si="6"/>
        <v>0.11188297306266252</v>
      </c>
      <c r="AR107" s="133">
        <v>9.6290000000000004E-3</v>
      </c>
    </row>
    <row r="108" spans="1:44" ht="15" customHeight="1">
      <c r="A108" s="4" t="s">
        <v>125</v>
      </c>
      <c r="B108" s="131" t="s">
        <v>358</v>
      </c>
      <c r="C108" s="132">
        <v>0.59918000000000005</v>
      </c>
      <c r="D108" s="132">
        <v>0.58746799999999999</v>
      </c>
      <c r="E108" s="132">
        <v>0.58026999999999995</v>
      </c>
      <c r="F108" s="132">
        <v>0.56421399999999999</v>
      </c>
      <c r="G108" s="132">
        <v>0.55156700000000003</v>
      </c>
      <c r="H108" s="132">
        <v>0.53913800000000001</v>
      </c>
      <c r="I108" s="132">
        <v>0.52743499999999999</v>
      </c>
      <c r="J108" s="132">
        <v>0.520648</v>
      </c>
      <c r="K108" s="132">
        <v>0.51949999999999996</v>
      </c>
      <c r="L108" s="132">
        <v>0.521034</v>
      </c>
      <c r="M108" s="132">
        <v>0.52683999999999997</v>
      </c>
      <c r="N108" s="132">
        <v>0.53273899999999996</v>
      </c>
      <c r="O108" s="132">
        <v>0.53917599999999999</v>
      </c>
      <c r="P108" s="132">
        <v>0.54765799999999998</v>
      </c>
      <c r="Q108" s="132">
        <v>0.55654099999999995</v>
      </c>
      <c r="R108" s="132">
        <v>0.56699100000000002</v>
      </c>
      <c r="S108" s="132">
        <v>0.57785299999999995</v>
      </c>
      <c r="T108" s="132">
        <v>0.58818700000000002</v>
      </c>
      <c r="U108" s="132">
        <v>0.59843599999999997</v>
      </c>
      <c r="V108" s="132">
        <v>0.60877599999999998</v>
      </c>
      <c r="W108" s="132">
        <v>0.61862700000000004</v>
      </c>
      <c r="X108" s="132">
        <v>0.62712100000000004</v>
      </c>
      <c r="Y108" s="132">
        <v>0.63432599999999995</v>
      </c>
      <c r="Z108" s="132">
        <v>0.63983199999999996</v>
      </c>
      <c r="AA108" s="132">
        <v>0.64364600000000005</v>
      </c>
      <c r="AB108" s="132">
        <v>0.64912599999999998</v>
      </c>
      <c r="AC108" s="132">
        <v>0.65459599999999996</v>
      </c>
      <c r="AD108" s="132">
        <v>0.65982700000000005</v>
      </c>
      <c r="AE108" s="132">
        <v>0.66472799999999999</v>
      </c>
      <c r="AF108" s="132">
        <v>0.67066099999999995</v>
      </c>
      <c r="AG108" s="132">
        <v>0.67649000000000004</v>
      </c>
      <c r="AH108" s="132">
        <f t="shared" si="6"/>
        <v>0.6792318139700001</v>
      </c>
      <c r="AI108" s="132">
        <f t="shared" si="6"/>
        <v>0.68198474051202052</v>
      </c>
      <c r="AJ108" s="132">
        <f t="shared" ref="AI108:AQ111" si="7">AI108*(1+$AR108)</f>
        <v>0.68474882466531584</v>
      </c>
      <c r="AK108" s="132">
        <f t="shared" si="7"/>
        <v>0.68752411165168437</v>
      </c>
      <c r="AL108" s="132">
        <f t="shared" si="7"/>
        <v>0.69031064687620869</v>
      </c>
      <c r="AM108" s="132">
        <f t="shared" si="7"/>
        <v>0.69310847592799807</v>
      </c>
      <c r="AN108" s="132">
        <f t="shared" si="7"/>
        <v>0.6959176445809343</v>
      </c>
      <c r="AO108" s="132">
        <f t="shared" si="7"/>
        <v>0.69873819879442089</v>
      </c>
      <c r="AP108" s="132">
        <f t="shared" si="7"/>
        <v>0.70157018471413479</v>
      </c>
      <c r="AQ108" s="132">
        <f t="shared" si="7"/>
        <v>0.70441364867278122</v>
      </c>
      <c r="AR108" s="133">
        <v>4.0530000000000002E-3</v>
      </c>
    </row>
    <row r="109" spans="1:44" ht="15" customHeight="1">
      <c r="A109" s="4" t="s">
        <v>126</v>
      </c>
      <c r="B109" s="131" t="s">
        <v>359</v>
      </c>
      <c r="C109" s="132">
        <v>0.24829899999999999</v>
      </c>
      <c r="D109" s="132">
        <v>0.23999799999999999</v>
      </c>
      <c r="E109" s="132">
        <v>0.23347200000000001</v>
      </c>
      <c r="F109" s="132">
        <v>0.223297</v>
      </c>
      <c r="G109" s="132">
        <v>0.214388</v>
      </c>
      <c r="H109" s="132">
        <v>0.205396</v>
      </c>
      <c r="I109" s="132">
        <v>0.19658</v>
      </c>
      <c r="J109" s="132">
        <v>0.18945300000000001</v>
      </c>
      <c r="K109" s="132">
        <v>0.18418899999999999</v>
      </c>
      <c r="L109" s="132">
        <v>0.17962400000000001</v>
      </c>
      <c r="M109" s="132">
        <v>0.17621800000000001</v>
      </c>
      <c r="N109" s="132">
        <v>0.17250399999999999</v>
      </c>
      <c r="O109" s="132">
        <v>0.168653</v>
      </c>
      <c r="P109" s="132">
        <v>0.165104</v>
      </c>
      <c r="Q109" s="132">
        <v>0.16134599999999999</v>
      </c>
      <c r="R109" s="132">
        <v>0.157697</v>
      </c>
      <c r="S109" s="132">
        <v>0.15382100000000001</v>
      </c>
      <c r="T109" s="132">
        <v>0.14987300000000001</v>
      </c>
      <c r="U109" s="132">
        <v>0.146035</v>
      </c>
      <c r="V109" s="132">
        <v>0.142369</v>
      </c>
      <c r="W109" s="132">
        <v>0.13877800000000001</v>
      </c>
      <c r="X109" s="132">
        <v>0.135132</v>
      </c>
      <c r="Y109" s="132">
        <v>0.13143299999999999</v>
      </c>
      <c r="Z109" s="132">
        <v>0.12751199999999999</v>
      </c>
      <c r="AA109" s="132">
        <v>0.123253</v>
      </c>
      <c r="AB109" s="132">
        <v>0.119258</v>
      </c>
      <c r="AC109" s="132">
        <v>0.115164</v>
      </c>
      <c r="AD109" s="132">
        <v>0.110884</v>
      </c>
      <c r="AE109" s="132">
        <v>0.106407</v>
      </c>
      <c r="AF109" s="132">
        <v>0.10184600000000001</v>
      </c>
      <c r="AG109" s="132">
        <v>9.6998000000000001E-2</v>
      </c>
      <c r="AH109" s="132">
        <f t="shared" si="6"/>
        <v>9.4005999691999992E-2</v>
      </c>
      <c r="AI109" s="132">
        <f t="shared" si="7"/>
        <v>9.1106290625500561E-2</v>
      </c>
      <c r="AJ109" s="132">
        <f t="shared" si="7"/>
        <v>8.8296025984866369E-2</v>
      </c>
      <c r="AK109" s="132">
        <f t="shared" si="7"/>
        <v>8.5572446767337176E-2</v>
      </c>
      <c r="AL109" s="132">
        <f t="shared" si="7"/>
        <v>8.2932879074351887E-2</v>
      </c>
      <c r="AM109" s="132">
        <f t="shared" si="7"/>
        <v>8.0374731486424419E-2</v>
      </c>
      <c r="AN109" s="132">
        <f t="shared" si="7"/>
        <v>7.7895492518994164E-2</v>
      </c>
      <c r="AO109" s="132">
        <f t="shared" si="7"/>
        <v>7.5492728156753272E-2</v>
      </c>
      <c r="AP109" s="132">
        <f t="shared" si="7"/>
        <v>7.3164079464030057E-2</v>
      </c>
      <c r="AQ109" s="132">
        <f t="shared" si="7"/>
        <v>7.0907260268882583E-2</v>
      </c>
      <c r="AR109" s="133">
        <v>-3.0845999999999998E-2</v>
      </c>
    </row>
    <row r="110" spans="1:44" ht="15" customHeight="1">
      <c r="A110" s="4" t="s">
        <v>127</v>
      </c>
      <c r="B110" s="131" t="s">
        <v>110</v>
      </c>
      <c r="C110" s="132">
        <v>0.224019</v>
      </c>
      <c r="D110" s="132">
        <v>0.24105199999999999</v>
      </c>
      <c r="E110" s="132">
        <v>0.24329300000000001</v>
      </c>
      <c r="F110" s="132">
        <v>0.24054400000000001</v>
      </c>
      <c r="G110" s="132">
        <v>0.238342</v>
      </c>
      <c r="H110" s="132">
        <v>0.23480599999999999</v>
      </c>
      <c r="I110" s="132">
        <v>0.23038900000000001</v>
      </c>
      <c r="J110" s="132">
        <v>0.22733100000000001</v>
      </c>
      <c r="K110" s="132">
        <v>0.22595599999999999</v>
      </c>
      <c r="L110" s="132">
        <v>0.22476299999999999</v>
      </c>
      <c r="M110" s="132">
        <v>0.224268</v>
      </c>
      <c r="N110" s="132">
        <v>0.223133</v>
      </c>
      <c r="O110" s="132">
        <v>0.22134999999999999</v>
      </c>
      <c r="P110" s="132">
        <v>0.21944</v>
      </c>
      <c r="Q110" s="132">
        <v>0.216807</v>
      </c>
      <c r="R110" s="132">
        <v>0.21409600000000001</v>
      </c>
      <c r="S110" s="132">
        <v>0.21102699999999999</v>
      </c>
      <c r="T110" s="132">
        <v>0.207452</v>
      </c>
      <c r="U110" s="132">
        <v>0.203712</v>
      </c>
      <c r="V110" s="132">
        <v>0.20016700000000001</v>
      </c>
      <c r="W110" s="132">
        <v>0.19685</v>
      </c>
      <c r="X110" s="132">
        <v>0.19365199999999999</v>
      </c>
      <c r="Y110" s="132">
        <v>0.190557</v>
      </c>
      <c r="Z110" s="132">
        <v>0.187418</v>
      </c>
      <c r="AA110" s="132">
        <v>0.184145</v>
      </c>
      <c r="AB110" s="132">
        <v>0.18173800000000001</v>
      </c>
      <c r="AC110" s="132">
        <v>0.179699</v>
      </c>
      <c r="AD110" s="132">
        <v>0.1779</v>
      </c>
      <c r="AE110" s="132">
        <v>0.17632999999999999</v>
      </c>
      <c r="AF110" s="132">
        <v>0.17528299999999999</v>
      </c>
      <c r="AG110" s="132">
        <v>0.17450099999999999</v>
      </c>
      <c r="AH110" s="132">
        <f t="shared" si="6"/>
        <v>0.17305403770799999</v>
      </c>
      <c r="AI110" s="132">
        <f t="shared" si="7"/>
        <v>0.17161907362732526</v>
      </c>
      <c r="AJ110" s="132">
        <f t="shared" si="7"/>
        <v>0.17019600826880749</v>
      </c>
      <c r="AK110" s="132">
        <f t="shared" si="7"/>
        <v>0.16878474296824253</v>
      </c>
      <c r="AL110" s="132">
        <f t="shared" si="7"/>
        <v>0.16738517987954987</v>
      </c>
      <c r="AM110" s="132">
        <f t="shared" si="7"/>
        <v>0.16599722196798866</v>
      </c>
      <c r="AN110" s="132">
        <f t="shared" si="7"/>
        <v>0.16462077300343012</v>
      </c>
      <c r="AO110" s="132">
        <f t="shared" si="7"/>
        <v>0.16325573755368566</v>
      </c>
      <c r="AP110" s="132">
        <f t="shared" si="7"/>
        <v>0.1619020209778905</v>
      </c>
      <c r="AQ110" s="132">
        <f t="shared" si="7"/>
        <v>0.16055952941994184</v>
      </c>
      <c r="AR110" s="133">
        <v>-8.2920000000000008E-3</v>
      </c>
    </row>
    <row r="111" spans="1:44" ht="15" customHeight="1">
      <c r="A111" s="4" t="s">
        <v>128</v>
      </c>
      <c r="B111" s="131" t="s">
        <v>360</v>
      </c>
      <c r="C111" s="132">
        <v>5.4194519999999997</v>
      </c>
      <c r="D111" s="132">
        <v>5.5221099999999996</v>
      </c>
      <c r="E111" s="132">
        <v>5.2801099999999996</v>
      </c>
      <c r="F111" s="132">
        <v>5.2398920000000002</v>
      </c>
      <c r="G111" s="132">
        <v>5.1974989999999996</v>
      </c>
      <c r="H111" s="132">
        <v>5.1403470000000002</v>
      </c>
      <c r="I111" s="132">
        <v>5.0955919999999999</v>
      </c>
      <c r="J111" s="132">
        <v>5.0751189999999999</v>
      </c>
      <c r="K111" s="132">
        <v>5.0928529999999999</v>
      </c>
      <c r="L111" s="132">
        <v>5.1188950000000002</v>
      </c>
      <c r="M111" s="132">
        <v>5.1700379999999999</v>
      </c>
      <c r="N111" s="132">
        <v>5.2096590000000003</v>
      </c>
      <c r="O111" s="132">
        <v>5.2447330000000001</v>
      </c>
      <c r="P111" s="132">
        <v>5.2881150000000003</v>
      </c>
      <c r="Q111" s="132">
        <v>5.3377109999999997</v>
      </c>
      <c r="R111" s="132">
        <v>5.3934920000000002</v>
      </c>
      <c r="S111" s="132">
        <v>5.4492839999999996</v>
      </c>
      <c r="T111" s="132">
        <v>5.4991459999999996</v>
      </c>
      <c r="U111" s="132">
        <v>5.5499020000000003</v>
      </c>
      <c r="V111" s="132">
        <v>5.6084319999999996</v>
      </c>
      <c r="W111" s="132">
        <v>5.6710520000000004</v>
      </c>
      <c r="X111" s="132">
        <v>5.732939</v>
      </c>
      <c r="Y111" s="132">
        <v>5.7956940000000001</v>
      </c>
      <c r="Z111" s="132">
        <v>5.8509700000000002</v>
      </c>
      <c r="AA111" s="132">
        <v>5.8929010000000002</v>
      </c>
      <c r="AB111" s="132">
        <v>5.9534349999999998</v>
      </c>
      <c r="AC111" s="132">
        <v>6.014259</v>
      </c>
      <c r="AD111" s="132">
        <v>6.0736590000000001</v>
      </c>
      <c r="AE111" s="132">
        <v>6.1360029999999997</v>
      </c>
      <c r="AF111" s="132">
        <v>6.2079149999999998</v>
      </c>
      <c r="AG111" s="132">
        <v>6.2799440000000004</v>
      </c>
      <c r="AH111" s="132">
        <f t="shared" si="6"/>
        <v>6.3108664442559999</v>
      </c>
      <c r="AI111" s="132">
        <f t="shared" si="7"/>
        <v>6.3419411506275161</v>
      </c>
      <c r="AJ111" s="132">
        <f t="shared" si="7"/>
        <v>6.3731688688532051</v>
      </c>
      <c r="AK111" s="132">
        <f t="shared" si="7"/>
        <v>6.4045503523634375</v>
      </c>
      <c r="AL111" s="132">
        <f t="shared" si="7"/>
        <v>6.4360863582984749</v>
      </c>
      <c r="AM111" s="132">
        <f t="shared" si="7"/>
        <v>6.4677776475267361</v>
      </c>
      <c r="AN111" s="132">
        <f t="shared" si="7"/>
        <v>6.4996249846631571</v>
      </c>
      <c r="AO111" s="132">
        <f t="shared" si="7"/>
        <v>6.5316291380876379</v>
      </c>
      <c r="AP111" s="132">
        <f t="shared" si="7"/>
        <v>6.5637908799635811</v>
      </c>
      <c r="AQ111" s="132">
        <f t="shared" si="7"/>
        <v>6.5961109862565213</v>
      </c>
      <c r="AR111" s="133">
        <v>4.9240000000000004E-3</v>
      </c>
    </row>
    <row r="112" spans="1:44" ht="15" customHeight="1">
      <c r="A112" s="4" t="s">
        <v>129</v>
      </c>
      <c r="B112" s="206" t="s">
        <v>367</v>
      </c>
      <c r="C112" s="207">
        <v>21.012035000000001</v>
      </c>
      <c r="D112" s="207">
        <v>21.043247000000001</v>
      </c>
      <c r="E112" s="207">
        <v>21.216681999999999</v>
      </c>
      <c r="F112" s="207">
        <v>21.018280000000001</v>
      </c>
      <c r="G112" s="207">
        <v>20.85379</v>
      </c>
      <c r="H112" s="207">
        <v>20.627789</v>
      </c>
      <c r="I112" s="207">
        <v>20.385228999999999</v>
      </c>
      <c r="J112" s="207">
        <v>20.220219</v>
      </c>
      <c r="K112" s="207">
        <v>20.168883999999998</v>
      </c>
      <c r="L112" s="207">
        <v>20.144856999999998</v>
      </c>
      <c r="M112" s="207">
        <v>20.183903000000001</v>
      </c>
      <c r="N112" s="207">
        <v>20.200790000000001</v>
      </c>
      <c r="O112" s="207">
        <v>20.210455</v>
      </c>
      <c r="P112" s="207">
        <v>20.251712999999999</v>
      </c>
      <c r="Q112" s="207">
        <v>20.298100000000002</v>
      </c>
      <c r="R112" s="207">
        <v>20.374268000000001</v>
      </c>
      <c r="S112" s="207">
        <v>20.453151999999999</v>
      </c>
      <c r="T112" s="207">
        <v>20.522358000000001</v>
      </c>
      <c r="U112" s="207">
        <v>20.597715000000001</v>
      </c>
      <c r="V112" s="207">
        <v>20.691054999999999</v>
      </c>
      <c r="W112" s="207">
        <v>20.79027</v>
      </c>
      <c r="X112" s="207">
        <v>20.887352</v>
      </c>
      <c r="Y112" s="207">
        <v>20.988150000000001</v>
      </c>
      <c r="Z112" s="207">
        <v>21.068726000000002</v>
      </c>
      <c r="AA112" s="207">
        <v>21.118212</v>
      </c>
      <c r="AB112" s="207">
        <v>21.216028000000001</v>
      </c>
      <c r="AC112" s="207">
        <v>21.321000999999999</v>
      </c>
      <c r="AD112" s="207">
        <v>21.423819999999999</v>
      </c>
      <c r="AE112" s="207">
        <v>21.530754000000002</v>
      </c>
      <c r="AF112" s="207">
        <v>21.665205</v>
      </c>
      <c r="AG112" s="207">
        <v>21.802175999999999</v>
      </c>
      <c r="AH112" s="207"/>
      <c r="AI112" s="207"/>
      <c r="AJ112" s="207"/>
      <c r="AK112" s="207"/>
      <c r="AL112" s="207"/>
      <c r="AM112" s="207"/>
      <c r="AN112" s="207"/>
      <c r="AO112" s="207"/>
      <c r="AP112" s="207"/>
      <c r="AQ112" s="207"/>
      <c r="AR112" s="208">
        <v>1.2310000000000001E-3</v>
      </c>
    </row>
    <row r="113" spans="1:44" ht="15" customHeight="1">
      <c r="A113" s="4" t="s">
        <v>368</v>
      </c>
      <c r="B113" s="131" t="s">
        <v>369</v>
      </c>
      <c r="C113" s="132">
        <v>7.8133999999999995E-2</v>
      </c>
      <c r="D113" s="132">
        <v>8.9459999999999998E-2</v>
      </c>
      <c r="E113" s="132">
        <v>9.9012000000000003E-2</v>
      </c>
      <c r="F113" s="132">
        <v>0.108281</v>
      </c>
      <c r="G113" s="132">
        <v>0.11738</v>
      </c>
      <c r="H113" s="132">
        <v>0.126529</v>
      </c>
      <c r="I113" s="132">
        <v>0.13586699999999999</v>
      </c>
      <c r="J113" s="132">
        <v>0.145236</v>
      </c>
      <c r="K113" s="132">
        <v>0.154673</v>
      </c>
      <c r="L113" s="132">
        <v>0.16417200000000001</v>
      </c>
      <c r="M113" s="132">
        <v>0.17386699999999999</v>
      </c>
      <c r="N113" s="132">
        <v>0.18379300000000001</v>
      </c>
      <c r="O113" s="132">
        <v>0.19391700000000001</v>
      </c>
      <c r="P113" s="132">
        <v>0.20421900000000001</v>
      </c>
      <c r="Q113" s="132">
        <v>0.214726</v>
      </c>
      <c r="R113" s="132">
        <v>0.22539300000000001</v>
      </c>
      <c r="S113" s="132">
        <v>0.23625399999999999</v>
      </c>
      <c r="T113" s="132">
        <v>0.247311</v>
      </c>
      <c r="U113" s="132">
        <v>0.25860100000000003</v>
      </c>
      <c r="V113" s="132">
        <v>0.27011499999999999</v>
      </c>
      <c r="W113" s="132">
        <v>0.28189500000000001</v>
      </c>
      <c r="X113" s="132">
        <v>0.29394199999999998</v>
      </c>
      <c r="Y113" s="132">
        <v>0.30629499999999998</v>
      </c>
      <c r="Z113" s="132">
        <v>0.31898300000000002</v>
      </c>
      <c r="AA113" s="132">
        <v>0.33201700000000001</v>
      </c>
      <c r="AB113" s="132">
        <v>0.34545999999999999</v>
      </c>
      <c r="AC113" s="132">
        <v>0.35925099999999999</v>
      </c>
      <c r="AD113" s="132">
        <v>0.373388</v>
      </c>
      <c r="AE113" s="132">
        <v>0.38795400000000002</v>
      </c>
      <c r="AF113" s="132">
        <v>0.40290599999999999</v>
      </c>
      <c r="AG113" s="132">
        <v>0.41825600000000002</v>
      </c>
      <c r="AH113" s="132">
        <f>AG113*(1+$AR113)</f>
        <v>0.44231199384000003</v>
      </c>
      <c r="AI113" s="132">
        <f t="shared" ref="AI113:AQ113" si="8">AH113*(1+$AR113)</f>
        <v>0.46775156816570762</v>
      </c>
      <c r="AJ113" s="132">
        <f t="shared" si="8"/>
        <v>0.49465429960875829</v>
      </c>
      <c r="AK113" s="132">
        <f t="shared" si="8"/>
        <v>0.52310434165075603</v>
      </c>
      <c r="AL113" s="132">
        <f t="shared" si="8"/>
        <v>0.55319068786079928</v>
      </c>
      <c r="AM113" s="132">
        <f t="shared" si="8"/>
        <v>0.58500745027311318</v>
      </c>
      <c r="AN113" s="132">
        <f t="shared" si="8"/>
        <v>0.61865415377557131</v>
      </c>
      <c r="AO113" s="132">
        <f t="shared" si="8"/>
        <v>0.65423604742997332</v>
      </c>
      <c r="AP113" s="132">
        <f t="shared" si="8"/>
        <v>0.69186443369790818</v>
      </c>
      <c r="AQ113" s="132">
        <f t="shared" si="8"/>
        <v>0.73165701660204341</v>
      </c>
      <c r="AR113" s="133">
        <v>5.7514999999999997E-2</v>
      </c>
    </row>
    <row r="114" spans="1:44" ht="15" customHeight="1">
      <c r="A114" s="4" t="s">
        <v>370</v>
      </c>
      <c r="B114" s="130" t="s">
        <v>371</v>
      </c>
      <c r="C114" s="134">
        <v>20.933900999999999</v>
      </c>
      <c r="D114" s="134">
        <v>20.953786999999998</v>
      </c>
      <c r="E114" s="134">
        <v>21.11767</v>
      </c>
      <c r="F114" s="134">
        <v>20.91</v>
      </c>
      <c r="G114" s="134">
        <v>20.736409999999999</v>
      </c>
      <c r="H114" s="134">
        <v>20.501259000000001</v>
      </c>
      <c r="I114" s="134">
        <v>20.249361</v>
      </c>
      <c r="J114" s="134">
        <v>20.074984000000001</v>
      </c>
      <c r="K114" s="134">
        <v>20.014212000000001</v>
      </c>
      <c r="L114" s="134">
        <v>19.980685999999999</v>
      </c>
      <c r="M114" s="134">
        <v>20.010035999999999</v>
      </c>
      <c r="N114" s="134">
        <v>20.016998000000001</v>
      </c>
      <c r="O114" s="134">
        <v>20.016539000000002</v>
      </c>
      <c r="P114" s="134">
        <v>20.047495000000001</v>
      </c>
      <c r="Q114" s="134">
        <v>20.083373999999999</v>
      </c>
      <c r="R114" s="134">
        <v>20.148873999999999</v>
      </c>
      <c r="S114" s="134">
        <v>20.216898</v>
      </c>
      <c r="T114" s="134">
        <v>20.275047000000001</v>
      </c>
      <c r="U114" s="134">
        <v>20.339113000000001</v>
      </c>
      <c r="V114" s="134">
        <v>20.420940000000002</v>
      </c>
      <c r="W114" s="134">
        <v>20.508375000000001</v>
      </c>
      <c r="X114" s="134">
        <v>20.593409999999999</v>
      </c>
      <c r="Y114" s="134">
        <v>20.681854000000001</v>
      </c>
      <c r="Z114" s="134">
        <v>20.749742999999999</v>
      </c>
      <c r="AA114" s="134">
        <v>20.786196</v>
      </c>
      <c r="AB114" s="134">
        <v>20.870569</v>
      </c>
      <c r="AC114" s="134">
        <v>20.961749999999999</v>
      </c>
      <c r="AD114" s="134">
        <v>21.050432000000001</v>
      </c>
      <c r="AE114" s="134">
        <v>21.142799</v>
      </c>
      <c r="AF114" s="134">
        <v>21.262298999999999</v>
      </c>
      <c r="AG114" s="134">
        <v>21.383918999999999</v>
      </c>
      <c r="AH114" s="132">
        <f>AG114*(1+$AR114)</f>
        <v>21.399080198570999</v>
      </c>
      <c r="AI114" s="132">
        <f t="shared" ref="AI114:AQ114" si="9">AH114*(1+$AR114)</f>
        <v>21.414252146431789</v>
      </c>
      <c r="AJ114" s="132">
        <f t="shared" si="9"/>
        <v>21.429434851203609</v>
      </c>
      <c r="AK114" s="132">
        <f t="shared" si="9"/>
        <v>21.444628320513115</v>
      </c>
      <c r="AL114" s="132">
        <f t="shared" si="9"/>
        <v>21.459832561992361</v>
      </c>
      <c r="AM114" s="132">
        <f t="shared" si="9"/>
        <v>21.475047583278815</v>
      </c>
      <c r="AN114" s="132">
        <f t="shared" si="9"/>
        <v>21.490273392015361</v>
      </c>
      <c r="AO114" s="132">
        <f t="shared" si="9"/>
        <v>21.5055099958503</v>
      </c>
      <c r="AP114" s="132">
        <f t="shared" si="9"/>
        <v>21.520757402437358</v>
      </c>
      <c r="AQ114" s="132">
        <f t="shared" si="9"/>
        <v>21.536015619435688</v>
      </c>
      <c r="AR114" s="135">
        <v>7.0899999999999999E-4</v>
      </c>
    </row>
    <row r="115" spans="1:44" ht="15" customHeight="1"/>
    <row r="116" spans="1:44" ht="15" customHeight="1">
      <c r="B116" s="130" t="s">
        <v>372</v>
      </c>
    </row>
    <row r="117" spans="1:44" ht="15" customHeight="1">
      <c r="A117" s="4" t="s">
        <v>130</v>
      </c>
      <c r="B117" s="131" t="s">
        <v>131</v>
      </c>
      <c r="C117" s="132">
        <v>1.3036000000000001E-2</v>
      </c>
      <c r="D117" s="132">
        <v>1.5200999999999999E-2</v>
      </c>
      <c r="E117" s="132">
        <v>1.7725000000000001E-2</v>
      </c>
      <c r="F117" s="132">
        <v>1.8765E-2</v>
      </c>
      <c r="G117" s="132">
        <v>2.0128E-2</v>
      </c>
      <c r="H117" s="132">
        <v>2.0978E-2</v>
      </c>
      <c r="I117" s="132">
        <v>2.2218999999999999E-2</v>
      </c>
      <c r="J117" s="132">
        <v>2.3290000000000002E-2</v>
      </c>
      <c r="K117" s="132">
        <v>2.4472000000000001E-2</v>
      </c>
      <c r="L117" s="132">
        <v>2.5659000000000001E-2</v>
      </c>
      <c r="M117" s="132">
        <v>2.6859999999999998E-2</v>
      </c>
      <c r="N117" s="132">
        <v>2.7925999999999999E-2</v>
      </c>
      <c r="O117" s="132">
        <v>2.8993999999999999E-2</v>
      </c>
      <c r="P117" s="132">
        <v>3.0058999999999999E-2</v>
      </c>
      <c r="Q117" s="132">
        <v>3.1075999999999999E-2</v>
      </c>
      <c r="R117" s="132">
        <v>3.2084000000000001E-2</v>
      </c>
      <c r="S117" s="132">
        <v>3.3099999999999997E-2</v>
      </c>
      <c r="T117" s="132">
        <v>3.4097000000000002E-2</v>
      </c>
      <c r="U117" s="132">
        <v>3.5104000000000003E-2</v>
      </c>
      <c r="V117" s="132">
        <v>3.6150000000000002E-2</v>
      </c>
      <c r="W117" s="132">
        <v>3.7255000000000003E-2</v>
      </c>
      <c r="X117" s="132">
        <v>3.8367999999999999E-2</v>
      </c>
      <c r="Y117" s="132">
        <v>3.9507E-2</v>
      </c>
      <c r="Z117" s="132">
        <v>4.0661000000000003E-2</v>
      </c>
      <c r="AA117" s="132">
        <v>4.1815999999999999E-2</v>
      </c>
      <c r="AB117" s="132">
        <v>4.3008999999999999E-2</v>
      </c>
      <c r="AC117" s="132">
        <v>4.4201999999999998E-2</v>
      </c>
      <c r="AD117" s="132">
        <v>4.5450999999999998E-2</v>
      </c>
      <c r="AE117" s="132">
        <v>4.6683000000000002E-2</v>
      </c>
      <c r="AF117" s="132">
        <v>4.7979000000000001E-2</v>
      </c>
      <c r="AG117" s="132">
        <v>4.9258000000000003E-2</v>
      </c>
      <c r="AH117" s="132">
        <f>AG117*(1+$AR117)</f>
        <v>5.148987998E-2</v>
      </c>
      <c r="AI117" s="132">
        <f t="shared" ref="AI117:AQ117" si="10">AH117*(1+$AR117)</f>
        <v>5.38228864418938E-2</v>
      </c>
      <c r="AJ117" s="132">
        <f t="shared" si="10"/>
        <v>5.6261601426576005E-2</v>
      </c>
      <c r="AK117" s="132">
        <f t="shared" si="10"/>
        <v>5.8810814587214162E-2</v>
      </c>
      <c r="AL117" s="132">
        <f t="shared" si="10"/>
        <v>6.1475532596160835E-2</v>
      </c>
      <c r="AM117" s="132">
        <f t="shared" si="10"/>
        <v>6.4260988978092876E-2</v>
      </c>
      <c r="AN117" s="132">
        <f t="shared" si="10"/>
        <v>6.7172654388690259E-2</v>
      </c>
      <c r="AO117" s="132">
        <f t="shared" si="10"/>
        <v>7.0216247359041806E-2</v>
      </c>
      <c r="AP117" s="132">
        <f t="shared" si="10"/>
        <v>7.3397745526879984E-2</v>
      </c>
      <c r="AQ117" s="132">
        <f t="shared" si="10"/>
        <v>7.6723397376702918E-2</v>
      </c>
      <c r="AR117" s="133">
        <v>4.5310000000000003E-2</v>
      </c>
    </row>
    <row r="118" spans="1:44" ht="15" customHeight="1">
      <c r="A118" s="4" t="s">
        <v>132</v>
      </c>
      <c r="B118" s="131" t="s">
        <v>133</v>
      </c>
      <c r="C118" s="132">
        <v>4.1923000000000002E-2</v>
      </c>
      <c r="D118" s="132">
        <v>4.5900000000000003E-2</v>
      </c>
      <c r="E118" s="132">
        <v>4.5856000000000001E-2</v>
      </c>
      <c r="F118" s="132">
        <v>4.5131999999999999E-2</v>
      </c>
      <c r="G118" s="132">
        <v>4.4742999999999998E-2</v>
      </c>
      <c r="H118" s="132">
        <v>4.3871E-2</v>
      </c>
      <c r="I118" s="132">
        <v>4.3568999999999997E-2</v>
      </c>
      <c r="J118" s="132">
        <v>4.3343E-2</v>
      </c>
      <c r="K118" s="132">
        <v>4.3447E-2</v>
      </c>
      <c r="L118" s="132">
        <v>4.3559E-2</v>
      </c>
      <c r="M118" s="132">
        <v>4.4141E-2</v>
      </c>
      <c r="N118" s="132">
        <v>4.4365000000000002E-2</v>
      </c>
      <c r="O118" s="132">
        <v>4.4488E-2</v>
      </c>
      <c r="P118" s="132">
        <v>4.4635000000000001E-2</v>
      </c>
      <c r="Q118" s="132">
        <v>4.4823000000000002E-2</v>
      </c>
      <c r="R118" s="132">
        <v>4.4965999999999999E-2</v>
      </c>
      <c r="S118" s="132">
        <v>4.5067000000000003E-2</v>
      </c>
      <c r="T118" s="132">
        <v>4.5217E-2</v>
      </c>
      <c r="U118" s="132">
        <v>4.5376E-2</v>
      </c>
      <c r="V118" s="132">
        <v>4.5571E-2</v>
      </c>
      <c r="W118" s="132">
        <v>4.5716E-2</v>
      </c>
      <c r="X118" s="132">
        <v>4.5920000000000002E-2</v>
      </c>
      <c r="Y118" s="132">
        <v>4.6134000000000001E-2</v>
      </c>
      <c r="Z118" s="132">
        <v>4.6331999999999998E-2</v>
      </c>
      <c r="AA118" s="132">
        <v>4.6518999999999998E-2</v>
      </c>
      <c r="AB118" s="132">
        <v>4.6729E-2</v>
      </c>
      <c r="AC118" s="132">
        <v>4.6861E-2</v>
      </c>
      <c r="AD118" s="132">
        <v>4.6872999999999998E-2</v>
      </c>
      <c r="AE118" s="132">
        <v>4.6947000000000003E-2</v>
      </c>
      <c r="AF118" s="132">
        <v>4.7069E-2</v>
      </c>
      <c r="AG118" s="132">
        <v>4.6927000000000003E-2</v>
      </c>
      <c r="AH118" s="132">
        <f t="shared" ref="AH118:AH121" si="11">AG118*(1+$AR118)</f>
        <v>4.7103727082000002E-2</v>
      </c>
      <c r="AI118" s="132">
        <f t="shared" ref="AI118:AQ118" si="12">AH118*(1+$AR118)</f>
        <v>4.7281119718190809E-2</v>
      </c>
      <c r="AJ118" s="132">
        <f t="shared" si="12"/>
        <v>4.7459180415049512E-2</v>
      </c>
      <c r="AK118" s="132">
        <f t="shared" si="12"/>
        <v>4.7637911688492587E-2</v>
      </c>
      <c r="AL118" s="132">
        <f t="shared" si="12"/>
        <v>4.7817316063911444E-2</v>
      </c>
      <c r="AM118" s="132">
        <f t="shared" si="12"/>
        <v>4.7997396076208135E-2</v>
      </c>
      <c r="AN118" s="132">
        <f t="shared" si="12"/>
        <v>4.817815426983113E-2</v>
      </c>
      <c r="AO118" s="132">
        <f t="shared" si="12"/>
        <v>4.8359593198811314E-2</v>
      </c>
      <c r="AP118" s="132">
        <f t="shared" si="12"/>
        <v>4.8541715426798034E-2</v>
      </c>
      <c r="AQ118" s="132">
        <f t="shared" si="12"/>
        <v>4.8724523527095352E-2</v>
      </c>
      <c r="AR118" s="133">
        <v>3.7659999999999998E-3</v>
      </c>
    </row>
    <row r="119" spans="1:44" ht="15" customHeight="1">
      <c r="A119" s="4" t="s">
        <v>134</v>
      </c>
      <c r="B119" s="131" t="s">
        <v>135</v>
      </c>
      <c r="C119" s="132">
        <v>0.225073</v>
      </c>
      <c r="D119" s="132">
        <v>0.25967699999999999</v>
      </c>
      <c r="E119" s="132">
        <v>0.28864099999999998</v>
      </c>
      <c r="F119" s="132">
        <v>0.31246099999999999</v>
      </c>
      <c r="G119" s="132">
        <v>0.33701799999999998</v>
      </c>
      <c r="H119" s="132">
        <v>0.35923899999999998</v>
      </c>
      <c r="I119" s="132">
        <v>0.38372299999999998</v>
      </c>
      <c r="J119" s="132">
        <v>0.40968599999999999</v>
      </c>
      <c r="K119" s="132">
        <v>0.43677700000000003</v>
      </c>
      <c r="L119" s="132">
        <v>0.46326000000000001</v>
      </c>
      <c r="M119" s="132">
        <v>0.496</v>
      </c>
      <c r="N119" s="132">
        <v>0.52372200000000002</v>
      </c>
      <c r="O119" s="132">
        <v>0.55118999999999996</v>
      </c>
      <c r="P119" s="132">
        <v>0.57976499999999997</v>
      </c>
      <c r="Q119" s="132">
        <v>0.609985</v>
      </c>
      <c r="R119" s="132">
        <v>0.64000800000000002</v>
      </c>
      <c r="S119" s="132">
        <v>0.66985499999999998</v>
      </c>
      <c r="T119" s="132">
        <v>0.70087699999999997</v>
      </c>
      <c r="U119" s="132">
        <v>0.73164899999999999</v>
      </c>
      <c r="V119" s="132">
        <v>0.76455600000000001</v>
      </c>
      <c r="W119" s="132">
        <v>0.79729499999999998</v>
      </c>
      <c r="X119" s="132">
        <v>0.83185299999999995</v>
      </c>
      <c r="Y119" s="132">
        <v>0.867645</v>
      </c>
      <c r="Z119" s="132">
        <v>0.90349500000000005</v>
      </c>
      <c r="AA119" s="132">
        <v>0.94094699999999998</v>
      </c>
      <c r="AB119" s="132">
        <v>0.980271</v>
      </c>
      <c r="AC119" s="132">
        <v>1.0188729999999999</v>
      </c>
      <c r="AD119" s="132">
        <v>1.0550440000000001</v>
      </c>
      <c r="AE119" s="132">
        <v>1.093461</v>
      </c>
      <c r="AF119" s="132">
        <v>1.133643</v>
      </c>
      <c r="AG119" s="132">
        <v>1.1686080000000001</v>
      </c>
      <c r="AH119" s="132">
        <f t="shared" si="11"/>
        <v>1.2345642355200002</v>
      </c>
      <c r="AI119" s="132">
        <f t="shared" ref="AI119:AQ119" si="13">AH119*(1+$AR119)</f>
        <v>1.304243040972749</v>
      </c>
      <c r="AJ119" s="132">
        <f t="shared" si="13"/>
        <v>1.3778545182052511</v>
      </c>
      <c r="AK119" s="132">
        <f t="shared" si="13"/>
        <v>1.4556206272127554</v>
      </c>
      <c r="AL119" s="132">
        <f t="shared" si="13"/>
        <v>1.5377758554126435</v>
      </c>
      <c r="AM119" s="132">
        <f t="shared" si="13"/>
        <v>1.6245679246921332</v>
      </c>
      <c r="AN119" s="132">
        <f t="shared" si="13"/>
        <v>1.7162585383617572</v>
      </c>
      <c r="AO119" s="132">
        <f t="shared" si="13"/>
        <v>1.813124170266895</v>
      </c>
      <c r="AP119" s="132">
        <f t="shared" si="13"/>
        <v>1.9154568984367586</v>
      </c>
      <c r="AQ119" s="132">
        <f t="shared" si="13"/>
        <v>2.0235652857845294</v>
      </c>
      <c r="AR119" s="133">
        <v>5.6439999999999997E-2</v>
      </c>
    </row>
    <row r="120" spans="1:44" ht="15" customHeight="1">
      <c r="A120" s="4" t="s">
        <v>136</v>
      </c>
      <c r="B120" s="131" t="s">
        <v>137</v>
      </c>
      <c r="C120" s="132">
        <v>1.73E-4</v>
      </c>
      <c r="D120" s="132">
        <v>1.74E-4</v>
      </c>
      <c r="E120" s="132">
        <v>1.73E-4</v>
      </c>
      <c r="F120" s="132">
        <v>1.6899999999999999E-4</v>
      </c>
      <c r="G120" s="132">
        <v>1.6699999999999999E-4</v>
      </c>
      <c r="H120" s="132">
        <v>1.6200000000000001E-4</v>
      </c>
      <c r="I120" s="132">
        <v>1.6000000000000001E-4</v>
      </c>
      <c r="J120" s="132">
        <v>1.5899999999999999E-4</v>
      </c>
      <c r="K120" s="132">
        <v>1.5799999999999999E-4</v>
      </c>
      <c r="L120" s="132">
        <v>1.5799999999999999E-4</v>
      </c>
      <c r="M120" s="132">
        <v>1.5799999999999999E-4</v>
      </c>
      <c r="N120" s="132">
        <v>1.5799999999999999E-4</v>
      </c>
      <c r="O120" s="132">
        <v>1.5699999999999999E-4</v>
      </c>
      <c r="P120" s="132">
        <v>1.5699999999999999E-4</v>
      </c>
      <c r="Q120" s="132">
        <v>1.5699999999999999E-4</v>
      </c>
      <c r="R120" s="132">
        <v>1.56E-4</v>
      </c>
      <c r="S120" s="132">
        <v>1.56E-4</v>
      </c>
      <c r="T120" s="132">
        <v>1.56E-4</v>
      </c>
      <c r="U120" s="132">
        <v>1.55E-4</v>
      </c>
      <c r="V120" s="132">
        <v>1.55E-4</v>
      </c>
      <c r="W120" s="132">
        <v>1.56E-4</v>
      </c>
      <c r="X120" s="132">
        <v>1.5799999999999999E-4</v>
      </c>
      <c r="Y120" s="132">
        <v>1.6000000000000001E-4</v>
      </c>
      <c r="Z120" s="132">
        <v>1.6100000000000001E-4</v>
      </c>
      <c r="AA120" s="132">
        <v>1.63E-4</v>
      </c>
      <c r="AB120" s="132">
        <v>1.65E-4</v>
      </c>
      <c r="AC120" s="132">
        <v>1.66E-4</v>
      </c>
      <c r="AD120" s="132">
        <v>1.6799999999999999E-4</v>
      </c>
      <c r="AE120" s="132">
        <v>1.6899999999999999E-4</v>
      </c>
      <c r="AF120" s="132">
        <v>1.7100000000000001E-4</v>
      </c>
      <c r="AG120" s="132">
        <v>1.73E-4</v>
      </c>
      <c r="AH120" s="132">
        <f t="shared" si="11"/>
        <v>1.73002768E-4</v>
      </c>
      <c r="AI120" s="132">
        <f t="shared" ref="AI120:AQ120" si="14">AH120*(1+$AR120)</f>
        <v>1.7300553604428801E-4</v>
      </c>
      <c r="AJ120" s="132">
        <f t="shared" si="14"/>
        <v>1.7300830413286472E-4</v>
      </c>
      <c r="AK120" s="132">
        <f t="shared" si="14"/>
        <v>1.7301107226573085E-4</v>
      </c>
      <c r="AL120" s="132">
        <f t="shared" si="14"/>
        <v>1.730138404428871E-4</v>
      </c>
      <c r="AM120" s="132">
        <f t="shared" si="14"/>
        <v>1.730166086643342E-4</v>
      </c>
      <c r="AN120" s="132">
        <f t="shared" si="14"/>
        <v>1.7301937693007283E-4</v>
      </c>
      <c r="AO120" s="132">
        <f t="shared" si="14"/>
        <v>1.7302214524010371E-4</v>
      </c>
      <c r="AP120" s="132">
        <f t="shared" si="14"/>
        <v>1.7302491359442757E-4</v>
      </c>
      <c r="AQ120" s="132">
        <f t="shared" si="14"/>
        <v>1.7302768199304509E-4</v>
      </c>
      <c r="AR120" s="133">
        <v>1.5999999999999999E-5</v>
      </c>
    </row>
    <row r="121" spans="1:44" ht="15" customHeight="1">
      <c r="A121" s="4" t="s">
        <v>138</v>
      </c>
      <c r="B121" s="130" t="s">
        <v>139</v>
      </c>
      <c r="C121" s="134">
        <v>0.28020400000000001</v>
      </c>
      <c r="D121" s="134">
        <v>0.32095099999999999</v>
      </c>
      <c r="E121" s="134">
        <v>0.35239599999999999</v>
      </c>
      <c r="F121" s="134">
        <v>0.376527</v>
      </c>
      <c r="G121" s="134">
        <v>0.402057</v>
      </c>
      <c r="H121" s="134">
        <v>0.42425000000000002</v>
      </c>
      <c r="I121" s="134">
        <v>0.44967099999999999</v>
      </c>
      <c r="J121" s="134">
        <v>0.47647800000000001</v>
      </c>
      <c r="K121" s="134">
        <v>0.50485400000000002</v>
      </c>
      <c r="L121" s="134">
        <v>0.53263499999999997</v>
      </c>
      <c r="M121" s="134">
        <v>0.56716</v>
      </c>
      <c r="N121" s="134">
        <v>0.59616999999999998</v>
      </c>
      <c r="O121" s="134">
        <v>0.62483</v>
      </c>
      <c r="P121" s="134">
        <v>0.65461599999999998</v>
      </c>
      <c r="Q121" s="134">
        <v>0.68604100000000001</v>
      </c>
      <c r="R121" s="134">
        <v>0.71721400000000002</v>
      </c>
      <c r="S121" s="134">
        <v>0.74817800000000001</v>
      </c>
      <c r="T121" s="134">
        <v>0.78034599999999998</v>
      </c>
      <c r="U121" s="134">
        <v>0.81228299999999998</v>
      </c>
      <c r="V121" s="134">
        <v>0.84643199999999996</v>
      </c>
      <c r="W121" s="134">
        <v>0.88042200000000004</v>
      </c>
      <c r="X121" s="134">
        <v>0.91629899999999997</v>
      </c>
      <c r="Y121" s="134">
        <v>0.95344499999999999</v>
      </c>
      <c r="Z121" s="134">
        <v>0.990649</v>
      </c>
      <c r="AA121" s="134">
        <v>1.0294460000000001</v>
      </c>
      <c r="AB121" s="134">
        <v>1.070174</v>
      </c>
      <c r="AC121" s="134">
        <v>1.1101019999999999</v>
      </c>
      <c r="AD121" s="134">
        <v>1.147535</v>
      </c>
      <c r="AE121" s="134">
        <v>1.18726</v>
      </c>
      <c r="AF121" s="134">
        <v>1.2288619999999999</v>
      </c>
      <c r="AG121" s="134">
        <v>1.2649649999999999</v>
      </c>
      <c r="AH121" s="132">
        <f t="shared" si="11"/>
        <v>1.3301435865899998</v>
      </c>
      <c r="AI121" s="132">
        <f t="shared" ref="AI121:AQ121" si="15">AH121*(1+$AR121)</f>
        <v>1.3986805650326359</v>
      </c>
      <c r="AJ121" s="132">
        <f t="shared" si="15"/>
        <v>1.4707489798265074</v>
      </c>
      <c r="AK121" s="132">
        <f t="shared" si="15"/>
        <v>1.546530791761048</v>
      </c>
      <c r="AL121" s="132">
        <f t="shared" si="15"/>
        <v>1.6262173373373277</v>
      </c>
      <c r="AM121" s="132">
        <f t="shared" si="15"/>
        <v>1.7100098118609708</v>
      </c>
      <c r="AN121" s="132">
        <f t="shared" si="15"/>
        <v>1.7981197774269191</v>
      </c>
      <c r="AO121" s="132">
        <f t="shared" si="15"/>
        <v>1.8907696970786185</v>
      </c>
      <c r="AP121" s="132">
        <f t="shared" si="15"/>
        <v>1.9881934964902914</v>
      </c>
      <c r="AQ121" s="132">
        <f t="shared" si="15"/>
        <v>2.0906371545904503</v>
      </c>
      <c r="AR121" s="135">
        <v>5.1526000000000002E-2</v>
      </c>
    </row>
    <row r="122" spans="1:44" ht="15" customHeight="1"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</row>
    <row r="123" spans="1:44" ht="15" customHeight="1">
      <c r="B123" s="130" t="s">
        <v>140</v>
      </c>
      <c r="AH123" s="132"/>
      <c r="AI123" s="132"/>
      <c r="AJ123" s="132"/>
      <c r="AK123" s="132"/>
      <c r="AL123" s="132"/>
      <c r="AM123" s="132"/>
      <c r="AN123" s="132"/>
      <c r="AO123" s="132"/>
      <c r="AP123" s="132"/>
      <c r="AQ123" s="132"/>
    </row>
    <row r="124" spans="1:44" ht="15" customHeight="1">
      <c r="A124" s="4" t="s">
        <v>141</v>
      </c>
      <c r="B124" s="131" t="s">
        <v>142</v>
      </c>
      <c r="C124" s="138">
        <v>5958</v>
      </c>
      <c r="D124" s="138">
        <v>6244</v>
      </c>
      <c r="E124" s="138">
        <v>6198</v>
      </c>
      <c r="F124" s="138">
        <v>6187</v>
      </c>
      <c r="G124" s="138">
        <v>6176</v>
      </c>
      <c r="H124" s="138">
        <v>6165</v>
      </c>
      <c r="I124" s="138">
        <v>6153</v>
      </c>
      <c r="J124" s="138">
        <v>6142</v>
      </c>
      <c r="K124" s="138">
        <v>6130</v>
      </c>
      <c r="L124" s="138">
        <v>6118</v>
      </c>
      <c r="M124" s="138">
        <v>6107</v>
      </c>
      <c r="N124" s="138">
        <v>6095</v>
      </c>
      <c r="O124" s="138">
        <v>6083</v>
      </c>
      <c r="P124" s="138">
        <v>6071</v>
      </c>
      <c r="Q124" s="138">
        <v>6059</v>
      </c>
      <c r="R124" s="138">
        <v>6048</v>
      </c>
      <c r="S124" s="138">
        <v>6036</v>
      </c>
      <c r="T124" s="138">
        <v>6024</v>
      </c>
      <c r="U124" s="138">
        <v>6012</v>
      </c>
      <c r="V124" s="138">
        <v>6000</v>
      </c>
      <c r="W124" s="138">
        <v>5988</v>
      </c>
      <c r="X124" s="138">
        <v>5976</v>
      </c>
      <c r="Y124" s="138">
        <v>5964</v>
      </c>
      <c r="Z124" s="138">
        <v>5952</v>
      </c>
      <c r="AA124" s="138">
        <v>5940</v>
      </c>
      <c r="AB124" s="138">
        <v>5929</v>
      </c>
      <c r="AC124" s="138">
        <v>5917</v>
      </c>
      <c r="AD124" s="138">
        <v>5905</v>
      </c>
      <c r="AE124" s="138">
        <v>5893</v>
      </c>
      <c r="AF124" s="138">
        <v>5881</v>
      </c>
      <c r="AG124" s="138">
        <v>5869</v>
      </c>
      <c r="AH124" s="132">
        <f t="shared" ref="AH124:AQ124" si="16">AG124*(1+$AR124)</f>
        <v>5866.0537619999996</v>
      </c>
      <c r="AI124" s="132">
        <f t="shared" si="16"/>
        <v>5863.1090030114756</v>
      </c>
      <c r="AJ124" s="132">
        <f t="shared" si="16"/>
        <v>5860.1657222919639</v>
      </c>
      <c r="AK124" s="132">
        <f t="shared" si="16"/>
        <v>5857.2239190993732</v>
      </c>
      <c r="AL124" s="132">
        <f t="shared" si="16"/>
        <v>5854.2835926919852</v>
      </c>
      <c r="AM124" s="132">
        <f t="shared" si="16"/>
        <v>5851.3447423284542</v>
      </c>
      <c r="AN124" s="132">
        <f t="shared" si="16"/>
        <v>5848.4073672678051</v>
      </c>
      <c r="AO124" s="132">
        <f t="shared" si="16"/>
        <v>5845.471466769437</v>
      </c>
      <c r="AP124" s="132">
        <f t="shared" si="16"/>
        <v>5842.5370400931188</v>
      </c>
      <c r="AQ124" s="132">
        <f t="shared" si="16"/>
        <v>5839.6040864989918</v>
      </c>
      <c r="AR124" s="133">
        <v>-5.0199999999999995E-4</v>
      </c>
    </row>
    <row r="125" spans="1:44" ht="15" customHeight="1">
      <c r="A125" s="4" t="s">
        <v>143</v>
      </c>
      <c r="B125" s="131" t="s">
        <v>144</v>
      </c>
      <c r="C125" s="138">
        <v>5371</v>
      </c>
      <c r="D125" s="138">
        <v>5595</v>
      </c>
      <c r="E125" s="138">
        <v>5569</v>
      </c>
      <c r="F125" s="138">
        <v>5558</v>
      </c>
      <c r="G125" s="138">
        <v>5548</v>
      </c>
      <c r="H125" s="138">
        <v>5538</v>
      </c>
      <c r="I125" s="138">
        <v>5528</v>
      </c>
      <c r="J125" s="138">
        <v>5517</v>
      </c>
      <c r="K125" s="138">
        <v>5507</v>
      </c>
      <c r="L125" s="138">
        <v>5497</v>
      </c>
      <c r="M125" s="138">
        <v>5487</v>
      </c>
      <c r="N125" s="138">
        <v>5477</v>
      </c>
      <c r="O125" s="138">
        <v>5467</v>
      </c>
      <c r="P125" s="138">
        <v>5457</v>
      </c>
      <c r="Q125" s="138">
        <v>5446</v>
      </c>
      <c r="R125" s="138">
        <v>5436</v>
      </c>
      <c r="S125" s="138">
        <v>5426</v>
      </c>
      <c r="T125" s="138">
        <v>5416</v>
      </c>
      <c r="U125" s="138">
        <v>5406</v>
      </c>
      <c r="V125" s="138">
        <v>5396</v>
      </c>
      <c r="W125" s="138">
        <v>5386</v>
      </c>
      <c r="X125" s="138">
        <v>5376</v>
      </c>
      <c r="Y125" s="138">
        <v>5366</v>
      </c>
      <c r="Z125" s="138">
        <v>5355</v>
      </c>
      <c r="AA125" s="138">
        <v>5345</v>
      </c>
      <c r="AB125" s="138">
        <v>5335</v>
      </c>
      <c r="AC125" s="138">
        <v>5325</v>
      </c>
      <c r="AD125" s="138">
        <v>5315</v>
      </c>
      <c r="AE125" s="138">
        <v>5305</v>
      </c>
      <c r="AF125" s="138">
        <v>5295</v>
      </c>
      <c r="AG125" s="138">
        <v>5285</v>
      </c>
      <c r="AH125" s="132">
        <f t="shared" ref="AH125:AQ125" si="17">AG125*(1+$AR125)</f>
        <v>5282.1566699999994</v>
      </c>
      <c r="AI125" s="132">
        <f t="shared" si="17"/>
        <v>5279.3148697115394</v>
      </c>
      <c r="AJ125" s="132">
        <f t="shared" si="17"/>
        <v>5276.4745983116345</v>
      </c>
      <c r="AK125" s="132">
        <f t="shared" si="17"/>
        <v>5273.6358549777424</v>
      </c>
      <c r="AL125" s="132">
        <f t="shared" si="17"/>
        <v>5270.7986388877644</v>
      </c>
      <c r="AM125" s="132">
        <f t="shared" si="17"/>
        <v>5267.9629492200429</v>
      </c>
      <c r="AN125" s="132">
        <f t="shared" si="17"/>
        <v>5265.1287851533625</v>
      </c>
      <c r="AO125" s="132">
        <f t="shared" si="17"/>
        <v>5262.2961458669497</v>
      </c>
      <c r="AP125" s="132">
        <f t="shared" si="17"/>
        <v>5259.465030540473</v>
      </c>
      <c r="AQ125" s="132">
        <f t="shared" si="17"/>
        <v>5256.635438354042</v>
      </c>
      <c r="AR125" s="133">
        <v>-5.3799999999999996E-4</v>
      </c>
    </row>
    <row r="126" spans="1:44" ht="15" customHeight="1">
      <c r="A126" s="4" t="s">
        <v>145</v>
      </c>
      <c r="B126" s="131" t="s">
        <v>146</v>
      </c>
      <c r="C126" s="138">
        <v>6000</v>
      </c>
      <c r="D126" s="138">
        <v>6217</v>
      </c>
      <c r="E126" s="138">
        <v>6172</v>
      </c>
      <c r="F126" s="138">
        <v>6167</v>
      </c>
      <c r="G126" s="138">
        <v>6163</v>
      </c>
      <c r="H126" s="138">
        <v>6159</v>
      </c>
      <c r="I126" s="138">
        <v>6155</v>
      </c>
      <c r="J126" s="138">
        <v>6151</v>
      </c>
      <c r="K126" s="138">
        <v>6147</v>
      </c>
      <c r="L126" s="138">
        <v>6143</v>
      </c>
      <c r="M126" s="138">
        <v>6138</v>
      </c>
      <c r="N126" s="138">
        <v>6134</v>
      </c>
      <c r="O126" s="138">
        <v>6130</v>
      </c>
      <c r="P126" s="138">
        <v>6126</v>
      </c>
      <c r="Q126" s="138">
        <v>6122</v>
      </c>
      <c r="R126" s="138">
        <v>6118</v>
      </c>
      <c r="S126" s="138">
        <v>6114</v>
      </c>
      <c r="T126" s="138">
        <v>6109</v>
      </c>
      <c r="U126" s="138">
        <v>6105</v>
      </c>
      <c r="V126" s="138">
        <v>6101</v>
      </c>
      <c r="W126" s="138">
        <v>6097</v>
      </c>
      <c r="X126" s="138">
        <v>6093</v>
      </c>
      <c r="Y126" s="138">
        <v>6089</v>
      </c>
      <c r="Z126" s="138">
        <v>6084</v>
      </c>
      <c r="AA126" s="138">
        <v>6080</v>
      </c>
      <c r="AB126" s="138">
        <v>6076</v>
      </c>
      <c r="AC126" s="138">
        <v>6072</v>
      </c>
      <c r="AD126" s="138">
        <v>6068</v>
      </c>
      <c r="AE126" s="138">
        <v>6064</v>
      </c>
      <c r="AF126" s="138">
        <v>6059</v>
      </c>
      <c r="AG126" s="138">
        <v>6055</v>
      </c>
      <c r="AH126" s="132">
        <f t="shared" ref="AH126:AQ127" si="18">AG126*(1+$AR126)</f>
        <v>6056.8407200000001</v>
      </c>
      <c r="AI126" s="132">
        <f t="shared" si="18"/>
        <v>6058.681999578881</v>
      </c>
      <c r="AJ126" s="132">
        <f t="shared" si="18"/>
        <v>6060.5238389067536</v>
      </c>
      <c r="AK126" s="132">
        <f t="shared" si="18"/>
        <v>6062.3662381537815</v>
      </c>
      <c r="AL126" s="132">
        <f t="shared" si="18"/>
        <v>6064.2091974901805</v>
      </c>
      <c r="AM126" s="132">
        <f t="shared" si="18"/>
        <v>6066.0527170862179</v>
      </c>
      <c r="AN126" s="132">
        <f t="shared" si="18"/>
        <v>6067.8967971122129</v>
      </c>
      <c r="AO126" s="132">
        <f t="shared" si="18"/>
        <v>6069.7414377385358</v>
      </c>
      <c r="AP126" s="132">
        <f t="shared" si="18"/>
        <v>6071.5866391356085</v>
      </c>
      <c r="AQ126" s="132">
        <f t="shared" si="18"/>
        <v>6073.4324014739059</v>
      </c>
      <c r="AR126" s="133">
        <v>3.0400000000000002E-4</v>
      </c>
    </row>
    <row r="127" spans="1:44" ht="15" customHeight="1">
      <c r="A127" s="4" t="s">
        <v>147</v>
      </c>
      <c r="B127" s="131" t="s">
        <v>148</v>
      </c>
      <c r="C127" s="138">
        <v>6410</v>
      </c>
      <c r="D127" s="138">
        <v>6529</v>
      </c>
      <c r="E127" s="138">
        <v>6490</v>
      </c>
      <c r="F127" s="138">
        <v>6489</v>
      </c>
      <c r="G127" s="138">
        <v>6487</v>
      </c>
      <c r="H127" s="138">
        <v>6485</v>
      </c>
      <c r="I127" s="138">
        <v>6483</v>
      </c>
      <c r="J127" s="138">
        <v>6481</v>
      </c>
      <c r="K127" s="138">
        <v>6479</v>
      </c>
      <c r="L127" s="138">
        <v>6477</v>
      </c>
      <c r="M127" s="138">
        <v>6474</v>
      </c>
      <c r="N127" s="138">
        <v>6472</v>
      </c>
      <c r="O127" s="138">
        <v>6470</v>
      </c>
      <c r="P127" s="138">
        <v>6467</v>
      </c>
      <c r="Q127" s="138">
        <v>6465</v>
      </c>
      <c r="R127" s="138">
        <v>6462</v>
      </c>
      <c r="S127" s="138">
        <v>6459</v>
      </c>
      <c r="T127" s="138">
        <v>6457</v>
      </c>
      <c r="U127" s="138">
        <v>6454</v>
      </c>
      <c r="V127" s="138">
        <v>6451</v>
      </c>
      <c r="W127" s="138">
        <v>6449</v>
      </c>
      <c r="X127" s="138">
        <v>6446</v>
      </c>
      <c r="Y127" s="138">
        <v>6443</v>
      </c>
      <c r="Z127" s="138">
        <v>6440</v>
      </c>
      <c r="AA127" s="138">
        <v>6437</v>
      </c>
      <c r="AB127" s="138">
        <v>6434</v>
      </c>
      <c r="AC127" s="138">
        <v>6431</v>
      </c>
      <c r="AD127" s="138">
        <v>6428</v>
      </c>
      <c r="AE127" s="138">
        <v>6426</v>
      </c>
      <c r="AF127" s="138">
        <v>6423</v>
      </c>
      <c r="AG127" s="138">
        <v>6420</v>
      </c>
      <c r="AH127" s="132">
        <f t="shared" si="18"/>
        <v>6420.3338399999993</v>
      </c>
      <c r="AI127" s="132">
        <f t="shared" si="18"/>
        <v>6420.6676973596786</v>
      </c>
      <c r="AJ127" s="132">
        <f t="shared" si="18"/>
        <v>6421.0015720799411</v>
      </c>
      <c r="AK127" s="132">
        <f t="shared" si="18"/>
        <v>6421.3354641616888</v>
      </c>
      <c r="AL127" s="132">
        <f t="shared" si="18"/>
        <v>6421.6693736058251</v>
      </c>
      <c r="AM127" s="132">
        <f t="shared" si="18"/>
        <v>6422.003300413252</v>
      </c>
      <c r="AN127" s="132">
        <f t="shared" si="18"/>
        <v>6422.3372445848727</v>
      </c>
      <c r="AO127" s="132">
        <f t="shared" si="18"/>
        <v>6422.6712061215903</v>
      </c>
      <c r="AP127" s="132">
        <f t="shared" si="18"/>
        <v>6423.005185024308</v>
      </c>
      <c r="AQ127" s="132">
        <f t="shared" si="18"/>
        <v>6423.339181293929</v>
      </c>
      <c r="AR127" s="133">
        <v>5.1999999999999997E-5</v>
      </c>
    </row>
    <row r="128" spans="1:44" ht="15" customHeight="1">
      <c r="A128" s="4" t="s">
        <v>149</v>
      </c>
      <c r="B128" s="131" t="s">
        <v>150</v>
      </c>
      <c r="C128" s="138">
        <v>2335</v>
      </c>
      <c r="D128" s="138">
        <v>2486</v>
      </c>
      <c r="E128" s="138">
        <v>2520</v>
      </c>
      <c r="F128" s="138">
        <v>2511</v>
      </c>
      <c r="G128" s="138">
        <v>2503</v>
      </c>
      <c r="H128" s="138">
        <v>2495</v>
      </c>
      <c r="I128" s="138">
        <v>2487</v>
      </c>
      <c r="J128" s="138">
        <v>2479</v>
      </c>
      <c r="K128" s="138">
        <v>2471</v>
      </c>
      <c r="L128" s="138">
        <v>2463</v>
      </c>
      <c r="M128" s="138">
        <v>2455</v>
      </c>
      <c r="N128" s="138">
        <v>2448</v>
      </c>
      <c r="O128" s="138">
        <v>2440</v>
      </c>
      <c r="P128" s="138">
        <v>2432</v>
      </c>
      <c r="Q128" s="138">
        <v>2424</v>
      </c>
      <c r="R128" s="138">
        <v>2417</v>
      </c>
      <c r="S128" s="138">
        <v>2409</v>
      </c>
      <c r="T128" s="138">
        <v>2401</v>
      </c>
      <c r="U128" s="138">
        <v>2393</v>
      </c>
      <c r="V128" s="138">
        <v>2385</v>
      </c>
      <c r="W128" s="138">
        <v>2378</v>
      </c>
      <c r="X128" s="138">
        <v>2370</v>
      </c>
      <c r="Y128" s="138">
        <v>2362</v>
      </c>
      <c r="Z128" s="138">
        <v>2355</v>
      </c>
      <c r="AA128" s="138">
        <v>2347</v>
      </c>
      <c r="AB128" s="138">
        <v>2339</v>
      </c>
      <c r="AC128" s="138">
        <v>2332</v>
      </c>
      <c r="AD128" s="138">
        <v>2324</v>
      </c>
      <c r="AE128" s="138">
        <v>2316</v>
      </c>
      <c r="AF128" s="138">
        <v>2309</v>
      </c>
      <c r="AG128" s="138">
        <v>2301</v>
      </c>
      <c r="AH128" s="132">
        <f t="shared" ref="AH128:AQ128" si="19">AG128*(1+$AR128)</f>
        <v>2299.8748110000001</v>
      </c>
      <c r="AI128" s="132">
        <f t="shared" si="19"/>
        <v>2298.7501722174211</v>
      </c>
      <c r="AJ128" s="132">
        <f t="shared" si="19"/>
        <v>2297.6260833832071</v>
      </c>
      <c r="AK128" s="132">
        <f t="shared" si="19"/>
        <v>2296.5025442284327</v>
      </c>
      <c r="AL128" s="132">
        <f t="shared" si="19"/>
        <v>2295.3795544843051</v>
      </c>
      <c r="AM128" s="132">
        <f t="shared" si="19"/>
        <v>2294.2571138821622</v>
      </c>
      <c r="AN128" s="132">
        <f t="shared" si="19"/>
        <v>2293.1352221534739</v>
      </c>
      <c r="AO128" s="132">
        <f t="shared" si="19"/>
        <v>2292.0138790298411</v>
      </c>
      <c r="AP128" s="132">
        <f t="shared" si="19"/>
        <v>2290.8930842429954</v>
      </c>
      <c r="AQ128" s="132">
        <f t="shared" si="19"/>
        <v>2289.7728375248007</v>
      </c>
      <c r="AR128" s="133">
        <v>-4.8899999999999996E-4</v>
      </c>
    </row>
    <row r="129" spans="1:44" ht="15" customHeight="1">
      <c r="A129" s="4" t="s">
        <v>151</v>
      </c>
      <c r="B129" s="131" t="s">
        <v>152</v>
      </c>
      <c r="C129" s="138">
        <v>3119</v>
      </c>
      <c r="D129" s="138">
        <v>3304</v>
      </c>
      <c r="E129" s="138">
        <v>3319</v>
      </c>
      <c r="F129" s="138">
        <v>3314</v>
      </c>
      <c r="G129" s="138">
        <v>3310</v>
      </c>
      <c r="H129" s="138">
        <v>3306</v>
      </c>
      <c r="I129" s="138">
        <v>3302</v>
      </c>
      <c r="J129" s="138">
        <v>3297</v>
      </c>
      <c r="K129" s="138">
        <v>3293</v>
      </c>
      <c r="L129" s="138">
        <v>3288</v>
      </c>
      <c r="M129" s="138">
        <v>3284</v>
      </c>
      <c r="N129" s="138">
        <v>3280</v>
      </c>
      <c r="O129" s="138">
        <v>3275</v>
      </c>
      <c r="P129" s="138">
        <v>3271</v>
      </c>
      <c r="Q129" s="138">
        <v>3266</v>
      </c>
      <c r="R129" s="138">
        <v>3262</v>
      </c>
      <c r="S129" s="138">
        <v>3257</v>
      </c>
      <c r="T129" s="138">
        <v>3252</v>
      </c>
      <c r="U129" s="138">
        <v>3248</v>
      </c>
      <c r="V129" s="138">
        <v>3243</v>
      </c>
      <c r="W129" s="138">
        <v>3238</v>
      </c>
      <c r="X129" s="138">
        <v>3234</v>
      </c>
      <c r="Y129" s="138">
        <v>3229</v>
      </c>
      <c r="Z129" s="138">
        <v>3224</v>
      </c>
      <c r="AA129" s="138">
        <v>3220</v>
      </c>
      <c r="AB129" s="138">
        <v>3215</v>
      </c>
      <c r="AC129" s="138">
        <v>3210</v>
      </c>
      <c r="AD129" s="138">
        <v>3206</v>
      </c>
      <c r="AE129" s="138">
        <v>3201</v>
      </c>
      <c r="AF129" s="138">
        <v>3196</v>
      </c>
      <c r="AG129" s="138">
        <v>3191</v>
      </c>
      <c r="AH129" s="132">
        <f t="shared" ref="AH129:AQ129" si="20">AG129*(1+$AR129)</f>
        <v>3193.428351</v>
      </c>
      <c r="AI129" s="132">
        <f t="shared" si="20"/>
        <v>3195.8585499751111</v>
      </c>
      <c r="AJ129" s="132">
        <f t="shared" si="20"/>
        <v>3198.2905983316423</v>
      </c>
      <c r="AK129" s="132">
        <f t="shared" si="20"/>
        <v>3200.7244974769728</v>
      </c>
      <c r="AL129" s="132">
        <f t="shared" si="20"/>
        <v>3203.1602488195526</v>
      </c>
      <c r="AM129" s="132">
        <f t="shared" si="20"/>
        <v>3205.5978537689043</v>
      </c>
      <c r="AN129" s="132">
        <f t="shared" si="20"/>
        <v>3208.0373137356223</v>
      </c>
      <c r="AO129" s="132">
        <f t="shared" si="20"/>
        <v>3210.4786301313752</v>
      </c>
      <c r="AP129" s="132">
        <f t="shared" si="20"/>
        <v>3212.9218043689052</v>
      </c>
      <c r="AQ129" s="132">
        <f t="shared" si="20"/>
        <v>3215.36683786203</v>
      </c>
      <c r="AR129" s="133">
        <v>7.6099999999999996E-4</v>
      </c>
    </row>
    <row r="130" spans="1:44" ht="15" customHeight="1">
      <c r="A130" s="4" t="s">
        <v>153</v>
      </c>
      <c r="B130" s="131" t="s">
        <v>154</v>
      </c>
      <c r="C130" s="138">
        <v>1829</v>
      </c>
      <c r="D130" s="138">
        <v>1910</v>
      </c>
      <c r="E130" s="138">
        <v>2015</v>
      </c>
      <c r="F130" s="138">
        <v>2009</v>
      </c>
      <c r="G130" s="138">
        <v>2004</v>
      </c>
      <c r="H130" s="138">
        <v>1999</v>
      </c>
      <c r="I130" s="138">
        <v>1994</v>
      </c>
      <c r="J130" s="138">
        <v>1988</v>
      </c>
      <c r="K130" s="138">
        <v>1983</v>
      </c>
      <c r="L130" s="138">
        <v>1978</v>
      </c>
      <c r="M130" s="138">
        <v>1973</v>
      </c>
      <c r="N130" s="138">
        <v>1967</v>
      </c>
      <c r="O130" s="138">
        <v>1962</v>
      </c>
      <c r="P130" s="138">
        <v>1957</v>
      </c>
      <c r="Q130" s="138">
        <v>1952</v>
      </c>
      <c r="R130" s="138">
        <v>1947</v>
      </c>
      <c r="S130" s="138">
        <v>1942</v>
      </c>
      <c r="T130" s="138">
        <v>1937</v>
      </c>
      <c r="U130" s="138">
        <v>1932</v>
      </c>
      <c r="V130" s="138">
        <v>1927</v>
      </c>
      <c r="W130" s="138">
        <v>1922</v>
      </c>
      <c r="X130" s="138">
        <v>1917</v>
      </c>
      <c r="Y130" s="138">
        <v>1912</v>
      </c>
      <c r="Z130" s="138">
        <v>1907</v>
      </c>
      <c r="AA130" s="138">
        <v>1902</v>
      </c>
      <c r="AB130" s="138">
        <v>1897</v>
      </c>
      <c r="AC130" s="138">
        <v>1892</v>
      </c>
      <c r="AD130" s="138">
        <v>1887</v>
      </c>
      <c r="AE130" s="138">
        <v>1882</v>
      </c>
      <c r="AF130" s="138">
        <v>1877</v>
      </c>
      <c r="AG130" s="138">
        <v>1873</v>
      </c>
      <c r="AH130" s="132">
        <f t="shared" ref="AH130:AQ130" si="21">AG130*(1+$AR130)</f>
        <v>1874.4852890000002</v>
      </c>
      <c r="AI130" s="132">
        <f t="shared" si="21"/>
        <v>1875.9717558341772</v>
      </c>
      <c r="AJ130" s="132">
        <f t="shared" si="21"/>
        <v>1877.4594014365539</v>
      </c>
      <c r="AK130" s="132">
        <f t="shared" si="21"/>
        <v>1878.9482267418932</v>
      </c>
      <c r="AL130" s="132">
        <f t="shared" si="21"/>
        <v>1880.4382326856996</v>
      </c>
      <c r="AM130" s="132">
        <f t="shared" si="21"/>
        <v>1881.9294202042195</v>
      </c>
      <c r="AN130" s="132">
        <f t="shared" si="21"/>
        <v>1883.4217902344415</v>
      </c>
      <c r="AO130" s="132">
        <f t="shared" si="21"/>
        <v>1884.9153437140974</v>
      </c>
      <c r="AP130" s="132">
        <f t="shared" si="21"/>
        <v>1886.4100815816628</v>
      </c>
      <c r="AQ130" s="132">
        <f t="shared" si="21"/>
        <v>1887.9060047763571</v>
      </c>
      <c r="AR130" s="133">
        <v>7.9299999999999998E-4</v>
      </c>
    </row>
    <row r="131" spans="1:44" ht="15" customHeight="1">
      <c r="A131" s="4" t="s">
        <v>155</v>
      </c>
      <c r="B131" s="131" t="s">
        <v>156</v>
      </c>
      <c r="C131" s="138">
        <v>4810</v>
      </c>
      <c r="D131" s="138">
        <v>4802</v>
      </c>
      <c r="E131" s="138">
        <v>4793</v>
      </c>
      <c r="F131" s="138">
        <v>4780</v>
      </c>
      <c r="G131" s="138">
        <v>4768</v>
      </c>
      <c r="H131" s="138">
        <v>4755</v>
      </c>
      <c r="I131" s="138">
        <v>4742</v>
      </c>
      <c r="J131" s="138">
        <v>4730</v>
      </c>
      <c r="K131" s="138">
        <v>4717</v>
      </c>
      <c r="L131" s="138">
        <v>4704</v>
      </c>
      <c r="M131" s="138">
        <v>4691</v>
      </c>
      <c r="N131" s="138">
        <v>4678</v>
      </c>
      <c r="O131" s="138">
        <v>4664</v>
      </c>
      <c r="P131" s="138">
        <v>4651</v>
      </c>
      <c r="Q131" s="138">
        <v>4638</v>
      </c>
      <c r="R131" s="138">
        <v>4624</v>
      </c>
      <c r="S131" s="138">
        <v>4611</v>
      </c>
      <c r="T131" s="138">
        <v>4597</v>
      </c>
      <c r="U131" s="138">
        <v>4584</v>
      </c>
      <c r="V131" s="138">
        <v>4570</v>
      </c>
      <c r="W131" s="138">
        <v>4557</v>
      </c>
      <c r="X131" s="138">
        <v>4543</v>
      </c>
      <c r="Y131" s="138">
        <v>4530</v>
      </c>
      <c r="Z131" s="138">
        <v>4517</v>
      </c>
      <c r="AA131" s="138">
        <v>4503</v>
      </c>
      <c r="AB131" s="138">
        <v>4490</v>
      </c>
      <c r="AC131" s="138">
        <v>4476</v>
      </c>
      <c r="AD131" s="138">
        <v>4463</v>
      </c>
      <c r="AE131" s="138">
        <v>4450</v>
      </c>
      <c r="AF131" s="138">
        <v>4436</v>
      </c>
      <c r="AG131" s="138">
        <v>4423</v>
      </c>
      <c r="AH131" s="132">
        <f t="shared" ref="AH131:AQ132" si="22">AG131*(1+$AR131)</f>
        <v>4410.6509839999999</v>
      </c>
      <c r="AI131" s="132">
        <f t="shared" si="22"/>
        <v>4398.3364464526721</v>
      </c>
      <c r="AJ131" s="132">
        <f t="shared" si="22"/>
        <v>4386.0562910941762</v>
      </c>
      <c r="AK131" s="132">
        <f t="shared" si="22"/>
        <v>4373.810421929441</v>
      </c>
      <c r="AL131" s="132">
        <f t="shared" si="22"/>
        <v>4361.5987432314141</v>
      </c>
      <c r="AM131" s="132">
        <f t="shared" si="22"/>
        <v>4349.4211595403121</v>
      </c>
      <c r="AN131" s="132">
        <f t="shared" si="22"/>
        <v>4337.2775756628753</v>
      </c>
      <c r="AO131" s="132">
        <f t="shared" si="22"/>
        <v>4325.1678966716245</v>
      </c>
      <c r="AP131" s="132">
        <f t="shared" si="22"/>
        <v>4313.0920279041175</v>
      </c>
      <c r="AQ131" s="132">
        <f t="shared" si="22"/>
        <v>4301.0498749622093</v>
      </c>
      <c r="AR131" s="133">
        <v>-2.7920000000000002E-3</v>
      </c>
    </row>
    <row r="132" spans="1:44" ht="15" customHeight="1">
      <c r="A132" s="4" t="s">
        <v>157</v>
      </c>
      <c r="B132" s="131" t="s">
        <v>158</v>
      </c>
      <c r="C132" s="138">
        <v>3335</v>
      </c>
      <c r="D132" s="138">
        <v>3363</v>
      </c>
      <c r="E132" s="138">
        <v>3253</v>
      </c>
      <c r="F132" s="138">
        <v>3243</v>
      </c>
      <c r="G132" s="138">
        <v>3232</v>
      </c>
      <c r="H132" s="138">
        <v>3222</v>
      </c>
      <c r="I132" s="138">
        <v>3212</v>
      </c>
      <c r="J132" s="138">
        <v>3201</v>
      </c>
      <c r="K132" s="138">
        <v>3191</v>
      </c>
      <c r="L132" s="138">
        <v>3180</v>
      </c>
      <c r="M132" s="138">
        <v>3169</v>
      </c>
      <c r="N132" s="138">
        <v>3159</v>
      </c>
      <c r="O132" s="138">
        <v>3148</v>
      </c>
      <c r="P132" s="138">
        <v>3137</v>
      </c>
      <c r="Q132" s="138">
        <v>3126</v>
      </c>
      <c r="R132" s="138">
        <v>3116</v>
      </c>
      <c r="S132" s="138">
        <v>3105</v>
      </c>
      <c r="T132" s="138">
        <v>3094</v>
      </c>
      <c r="U132" s="138">
        <v>3083</v>
      </c>
      <c r="V132" s="138">
        <v>3072</v>
      </c>
      <c r="W132" s="138">
        <v>3061</v>
      </c>
      <c r="X132" s="138">
        <v>3050</v>
      </c>
      <c r="Y132" s="138">
        <v>3039</v>
      </c>
      <c r="Z132" s="138">
        <v>3028</v>
      </c>
      <c r="AA132" s="138">
        <v>3017</v>
      </c>
      <c r="AB132" s="138">
        <v>3005</v>
      </c>
      <c r="AC132" s="138">
        <v>2994</v>
      </c>
      <c r="AD132" s="138">
        <v>2983</v>
      </c>
      <c r="AE132" s="138">
        <v>2972</v>
      </c>
      <c r="AF132" s="138">
        <v>2961</v>
      </c>
      <c r="AG132" s="138">
        <v>2950</v>
      </c>
      <c r="AH132" s="132">
        <f t="shared" si="22"/>
        <v>2937.9610499999999</v>
      </c>
      <c r="AI132" s="132">
        <f t="shared" si="22"/>
        <v>2925.97123095495</v>
      </c>
      <c r="AJ132" s="132">
        <f t="shared" si="22"/>
        <v>2914.0303423614228</v>
      </c>
      <c r="AK132" s="132">
        <f t="shared" si="22"/>
        <v>2902.1381845342457</v>
      </c>
      <c r="AL132" s="132">
        <f t="shared" si="22"/>
        <v>2890.2945586031615</v>
      </c>
      <c r="AM132" s="132">
        <f t="shared" si="22"/>
        <v>2878.4992665095019</v>
      </c>
      <c r="AN132" s="132">
        <f t="shared" si="22"/>
        <v>2866.7521110028765</v>
      </c>
      <c r="AO132" s="132">
        <f t="shared" si="22"/>
        <v>2855.0528956378739</v>
      </c>
      <c r="AP132" s="132">
        <f t="shared" si="22"/>
        <v>2843.401424770776</v>
      </c>
      <c r="AQ132" s="132">
        <f t="shared" si="22"/>
        <v>2831.7975035562863</v>
      </c>
      <c r="AR132" s="133">
        <v>-4.0810000000000004E-3</v>
      </c>
    </row>
    <row r="133" spans="1:44" ht="15" customHeight="1">
      <c r="A133" s="4" t="s">
        <v>159</v>
      </c>
      <c r="B133" s="130" t="s">
        <v>160</v>
      </c>
      <c r="C133" s="136">
        <v>3994.5471189999998</v>
      </c>
      <c r="D133" s="136">
        <v>4123.486328</v>
      </c>
      <c r="E133" s="136">
        <v>4106.1538090000004</v>
      </c>
      <c r="F133" s="136">
        <v>4092.9008789999998</v>
      </c>
      <c r="G133" s="136">
        <v>4080.1918949999999</v>
      </c>
      <c r="H133" s="136">
        <v>4067.608154</v>
      </c>
      <c r="I133" s="136">
        <v>4055.0151369999999</v>
      </c>
      <c r="J133" s="136">
        <v>4042.108643</v>
      </c>
      <c r="K133" s="136">
        <v>4029.5825199999999</v>
      </c>
      <c r="L133" s="136">
        <v>4016.8515619999998</v>
      </c>
      <c r="M133" s="136">
        <v>4004.033203</v>
      </c>
      <c r="N133" s="136">
        <v>3991.616211</v>
      </c>
      <c r="O133" s="136">
        <v>3978.8229980000001</v>
      </c>
      <c r="P133" s="136">
        <v>3966.1135250000002</v>
      </c>
      <c r="Q133" s="136">
        <v>3953.3046880000002</v>
      </c>
      <c r="R133" s="136">
        <v>3940.9418949999999</v>
      </c>
      <c r="S133" s="136">
        <v>3928.1752929999998</v>
      </c>
      <c r="T133" s="136">
        <v>3915.2416990000002</v>
      </c>
      <c r="U133" s="136">
        <v>3902.5</v>
      </c>
      <c r="V133" s="136">
        <v>3889.59375</v>
      </c>
      <c r="W133" s="136">
        <v>3877.0180660000001</v>
      </c>
      <c r="X133" s="136">
        <v>3864.1130370000001</v>
      </c>
      <c r="Y133" s="136">
        <v>3851.210693</v>
      </c>
      <c r="Z133" s="136">
        <v>3838.2595209999999</v>
      </c>
      <c r="AA133" s="136">
        <v>3825.2751459999999</v>
      </c>
      <c r="AB133" s="136">
        <v>3812.1760250000002</v>
      </c>
      <c r="AC133" s="136">
        <v>3799.3579100000002</v>
      </c>
      <c r="AD133" s="136">
        <v>3786.5341800000001</v>
      </c>
      <c r="AE133" s="136">
        <v>3773.8266600000002</v>
      </c>
      <c r="AF133" s="136">
        <v>3761.2253420000002</v>
      </c>
      <c r="AG133" s="136">
        <v>3748.8479000000002</v>
      </c>
      <c r="AH133" s="132">
        <f t="shared" ref="AH133:AQ133" si="23">AG133*(1+$AR133)</f>
        <v>3740.9228355394002</v>
      </c>
      <c r="AI133" s="132">
        <f t="shared" si="23"/>
        <v>3733.01452466507</v>
      </c>
      <c r="AJ133" s="132">
        <f t="shared" si="23"/>
        <v>3725.1229319599283</v>
      </c>
      <c r="AK133" s="132">
        <f t="shared" si="23"/>
        <v>3717.2480220817652</v>
      </c>
      <c r="AL133" s="132">
        <f t="shared" si="23"/>
        <v>3709.3897597630844</v>
      </c>
      <c r="AM133" s="132">
        <f t="shared" si="23"/>
        <v>3701.5481098109453</v>
      </c>
      <c r="AN133" s="132">
        <f t="shared" si="23"/>
        <v>3693.7230371068054</v>
      </c>
      <c r="AO133" s="132">
        <f t="shared" si="23"/>
        <v>3685.9145066063616</v>
      </c>
      <c r="AP133" s="132">
        <f t="shared" si="23"/>
        <v>3678.1224833393958</v>
      </c>
      <c r="AQ133" s="132">
        <f t="shared" si="23"/>
        <v>3670.3469324096163</v>
      </c>
      <c r="AR133" s="135">
        <v>-2.114E-3</v>
      </c>
    </row>
    <row r="134" spans="1:44" ht="15" customHeight="1">
      <c r="AH134" s="132"/>
      <c r="AI134" s="132"/>
      <c r="AJ134" s="132"/>
      <c r="AK134" s="132"/>
      <c r="AL134" s="132"/>
      <c r="AM134" s="132"/>
      <c r="AN134" s="132"/>
      <c r="AO134" s="132"/>
      <c r="AP134" s="132"/>
      <c r="AQ134" s="132"/>
    </row>
    <row r="135" spans="1:44" ht="15" customHeight="1">
      <c r="B135" s="130" t="s">
        <v>161</v>
      </c>
      <c r="AH135" s="132"/>
      <c r="AI135" s="132"/>
      <c r="AJ135" s="132"/>
      <c r="AK135" s="132"/>
      <c r="AL135" s="132"/>
      <c r="AM135" s="132"/>
      <c r="AN135" s="132"/>
      <c r="AO135" s="132"/>
      <c r="AP135" s="132"/>
      <c r="AQ135" s="132"/>
    </row>
    <row r="136" spans="1:44" ht="15" customHeight="1">
      <c r="A136" s="4" t="s">
        <v>162</v>
      </c>
      <c r="B136" s="131" t="s">
        <v>142</v>
      </c>
      <c r="C136" s="138">
        <v>652</v>
      </c>
      <c r="D136" s="138">
        <v>505</v>
      </c>
      <c r="E136" s="138">
        <v>579</v>
      </c>
      <c r="F136" s="138">
        <v>584</v>
      </c>
      <c r="G136" s="138">
        <v>590</v>
      </c>
      <c r="H136" s="138">
        <v>596</v>
      </c>
      <c r="I136" s="138">
        <v>602</v>
      </c>
      <c r="J136" s="138">
        <v>608</v>
      </c>
      <c r="K136" s="138">
        <v>614</v>
      </c>
      <c r="L136" s="138">
        <v>620</v>
      </c>
      <c r="M136" s="138">
        <v>626</v>
      </c>
      <c r="N136" s="138">
        <v>632</v>
      </c>
      <c r="O136" s="138">
        <v>638</v>
      </c>
      <c r="P136" s="138">
        <v>644</v>
      </c>
      <c r="Q136" s="138">
        <v>650</v>
      </c>
      <c r="R136" s="138">
        <v>656</v>
      </c>
      <c r="S136" s="138">
        <v>662</v>
      </c>
      <c r="T136" s="138">
        <v>668</v>
      </c>
      <c r="U136" s="138">
        <v>674</v>
      </c>
      <c r="V136" s="138">
        <v>680</v>
      </c>
      <c r="W136" s="138">
        <v>686</v>
      </c>
      <c r="X136" s="138">
        <v>692</v>
      </c>
      <c r="Y136" s="138">
        <v>698</v>
      </c>
      <c r="Z136" s="138">
        <v>704</v>
      </c>
      <c r="AA136" s="138">
        <v>710</v>
      </c>
      <c r="AB136" s="138">
        <v>716</v>
      </c>
      <c r="AC136" s="138">
        <v>723</v>
      </c>
      <c r="AD136" s="138">
        <v>729</v>
      </c>
      <c r="AE136" s="138">
        <v>735</v>
      </c>
      <c r="AF136" s="138">
        <v>741</v>
      </c>
      <c r="AG136" s="138">
        <v>747</v>
      </c>
      <c r="AH136" s="132">
        <f t="shared" ref="AH136:AQ137" si="24">AG136*(1+$AR136)</f>
        <v>750.3943680000001</v>
      </c>
      <c r="AI136" s="132">
        <f t="shared" si="24"/>
        <v>753.80416000819218</v>
      </c>
      <c r="AJ136" s="132">
        <f t="shared" si="24"/>
        <v>757.22944611126945</v>
      </c>
      <c r="AK136" s="132">
        <f t="shared" si="24"/>
        <v>760.67029671439911</v>
      </c>
      <c r="AL136" s="132">
        <f t="shared" si="24"/>
        <v>764.12678254266939</v>
      </c>
      <c r="AM136" s="132">
        <f t="shared" si="24"/>
        <v>767.59897464254334</v>
      </c>
      <c r="AN136" s="132">
        <f t="shared" si="24"/>
        <v>771.08694438331918</v>
      </c>
      <c r="AO136" s="132">
        <f t="shared" si="24"/>
        <v>774.59076345859705</v>
      </c>
      <c r="AP136" s="132">
        <f t="shared" si="24"/>
        <v>778.110503887753</v>
      </c>
      <c r="AQ136" s="132">
        <f t="shared" si="24"/>
        <v>781.64623801741902</v>
      </c>
      <c r="AR136" s="133">
        <v>4.5440000000000003E-3</v>
      </c>
    </row>
    <row r="137" spans="1:44" ht="15" customHeight="1">
      <c r="A137" s="4" t="s">
        <v>163</v>
      </c>
      <c r="B137" s="131" t="s">
        <v>144</v>
      </c>
      <c r="C137" s="138">
        <v>840</v>
      </c>
      <c r="D137" s="138">
        <v>706</v>
      </c>
      <c r="E137" s="138">
        <v>826</v>
      </c>
      <c r="F137" s="138">
        <v>834</v>
      </c>
      <c r="G137" s="138">
        <v>842</v>
      </c>
      <c r="H137" s="138">
        <v>850</v>
      </c>
      <c r="I137" s="138">
        <v>858</v>
      </c>
      <c r="J137" s="138">
        <v>867</v>
      </c>
      <c r="K137" s="138">
        <v>875</v>
      </c>
      <c r="L137" s="138">
        <v>883</v>
      </c>
      <c r="M137" s="138">
        <v>891</v>
      </c>
      <c r="N137" s="138">
        <v>899</v>
      </c>
      <c r="O137" s="138">
        <v>907</v>
      </c>
      <c r="P137" s="138">
        <v>916</v>
      </c>
      <c r="Q137" s="138">
        <v>924</v>
      </c>
      <c r="R137" s="138">
        <v>932</v>
      </c>
      <c r="S137" s="138">
        <v>940</v>
      </c>
      <c r="T137" s="138">
        <v>948</v>
      </c>
      <c r="U137" s="138">
        <v>956</v>
      </c>
      <c r="V137" s="138">
        <v>965</v>
      </c>
      <c r="W137" s="138">
        <v>973</v>
      </c>
      <c r="X137" s="138">
        <v>981</v>
      </c>
      <c r="Y137" s="138">
        <v>989</v>
      </c>
      <c r="Z137" s="138">
        <v>997</v>
      </c>
      <c r="AA137" s="138">
        <v>1005</v>
      </c>
      <c r="AB137" s="138">
        <v>1014</v>
      </c>
      <c r="AC137" s="138">
        <v>1022</v>
      </c>
      <c r="AD137" s="138">
        <v>1030</v>
      </c>
      <c r="AE137" s="138">
        <v>1038</v>
      </c>
      <c r="AF137" s="138">
        <v>1046</v>
      </c>
      <c r="AG137" s="138">
        <v>1054</v>
      </c>
      <c r="AH137" s="132">
        <f t="shared" si="24"/>
        <v>1062.0040760000002</v>
      </c>
      <c r="AI137" s="132">
        <f t="shared" si="24"/>
        <v>1070.0689349531442</v>
      </c>
      <c r="AJ137" s="132">
        <f t="shared" si="24"/>
        <v>1078.1950384451784</v>
      </c>
      <c r="AK137" s="132">
        <f t="shared" si="24"/>
        <v>1086.3828515671312</v>
      </c>
      <c r="AL137" s="132">
        <f t="shared" si="24"/>
        <v>1094.632842941932</v>
      </c>
      <c r="AM137" s="132">
        <f t="shared" si="24"/>
        <v>1102.9454847512332</v>
      </c>
      <c r="AN137" s="132">
        <f t="shared" si="24"/>
        <v>1111.3212527624341</v>
      </c>
      <c r="AO137" s="132">
        <f t="shared" si="24"/>
        <v>1119.7606263559121</v>
      </c>
      <c r="AP137" s="132">
        <f t="shared" si="24"/>
        <v>1128.264088552459</v>
      </c>
      <c r="AQ137" s="132">
        <f t="shared" si="24"/>
        <v>1136.8321260409266</v>
      </c>
      <c r="AR137" s="133">
        <v>7.5940000000000001E-3</v>
      </c>
    </row>
    <row r="138" spans="1:44" ht="15" customHeight="1">
      <c r="A138" s="4" t="s">
        <v>164</v>
      </c>
      <c r="B138" s="131" t="s">
        <v>146</v>
      </c>
      <c r="C138" s="138">
        <v>831</v>
      </c>
      <c r="D138" s="138">
        <v>767</v>
      </c>
      <c r="E138" s="138">
        <v>857</v>
      </c>
      <c r="F138" s="138">
        <v>864</v>
      </c>
      <c r="G138" s="138">
        <v>870</v>
      </c>
      <c r="H138" s="138">
        <v>876</v>
      </c>
      <c r="I138" s="138">
        <v>882</v>
      </c>
      <c r="J138" s="138">
        <v>889</v>
      </c>
      <c r="K138" s="138">
        <v>895</v>
      </c>
      <c r="L138" s="138">
        <v>901</v>
      </c>
      <c r="M138" s="138">
        <v>907</v>
      </c>
      <c r="N138" s="138">
        <v>914</v>
      </c>
      <c r="O138" s="138">
        <v>920</v>
      </c>
      <c r="P138" s="138">
        <v>926</v>
      </c>
      <c r="Q138" s="138">
        <v>932</v>
      </c>
      <c r="R138" s="138">
        <v>939</v>
      </c>
      <c r="S138" s="138">
        <v>945</v>
      </c>
      <c r="T138" s="138">
        <v>951</v>
      </c>
      <c r="U138" s="138">
        <v>958</v>
      </c>
      <c r="V138" s="138">
        <v>964</v>
      </c>
      <c r="W138" s="138">
        <v>970</v>
      </c>
      <c r="X138" s="138">
        <v>976</v>
      </c>
      <c r="Y138" s="138">
        <v>983</v>
      </c>
      <c r="Z138" s="138">
        <v>989</v>
      </c>
      <c r="AA138" s="138">
        <v>995</v>
      </c>
      <c r="AB138" s="138">
        <v>1002</v>
      </c>
      <c r="AC138" s="138">
        <v>1008</v>
      </c>
      <c r="AD138" s="138">
        <v>1014</v>
      </c>
      <c r="AE138" s="138">
        <v>1021</v>
      </c>
      <c r="AF138" s="138">
        <v>1027</v>
      </c>
      <c r="AG138" s="138">
        <v>1033</v>
      </c>
      <c r="AH138" s="132">
        <f t="shared" ref="AH138:AQ138" si="25">AG138*(1+$AR138)</f>
        <v>1040.5202400000001</v>
      </c>
      <c r="AI138" s="132">
        <f t="shared" si="25"/>
        <v>1048.0952273472001</v>
      </c>
      <c r="AJ138" s="132">
        <f t="shared" si="25"/>
        <v>1055.7253606022875</v>
      </c>
      <c r="AK138" s="132">
        <f t="shared" si="25"/>
        <v>1063.4110412274722</v>
      </c>
      <c r="AL138" s="132">
        <f t="shared" si="25"/>
        <v>1071.1526736076082</v>
      </c>
      <c r="AM138" s="132">
        <f t="shared" si="25"/>
        <v>1078.9506650714716</v>
      </c>
      <c r="AN138" s="132">
        <f t="shared" si="25"/>
        <v>1086.8054259131918</v>
      </c>
      <c r="AO138" s="132">
        <f t="shared" si="25"/>
        <v>1094.7173694138398</v>
      </c>
      <c r="AP138" s="132">
        <f t="shared" si="25"/>
        <v>1102.6869118631726</v>
      </c>
      <c r="AQ138" s="132">
        <f t="shared" si="25"/>
        <v>1110.7144725815365</v>
      </c>
      <c r="AR138" s="133">
        <v>7.28E-3</v>
      </c>
    </row>
    <row r="139" spans="1:44" ht="15" customHeight="1">
      <c r="A139" s="4" t="s">
        <v>165</v>
      </c>
      <c r="B139" s="131" t="s">
        <v>148</v>
      </c>
      <c r="C139" s="138">
        <v>975</v>
      </c>
      <c r="D139" s="138">
        <v>956</v>
      </c>
      <c r="E139" s="138">
        <v>1035</v>
      </c>
      <c r="F139" s="138">
        <v>1040</v>
      </c>
      <c r="G139" s="138">
        <v>1046</v>
      </c>
      <c r="H139" s="138">
        <v>1051</v>
      </c>
      <c r="I139" s="138">
        <v>1057</v>
      </c>
      <c r="J139" s="138">
        <v>1062</v>
      </c>
      <c r="K139" s="138">
        <v>1068</v>
      </c>
      <c r="L139" s="138">
        <v>1074</v>
      </c>
      <c r="M139" s="138">
        <v>1079</v>
      </c>
      <c r="N139" s="138">
        <v>1085</v>
      </c>
      <c r="O139" s="138">
        <v>1091</v>
      </c>
      <c r="P139" s="138">
        <v>1096</v>
      </c>
      <c r="Q139" s="138">
        <v>1102</v>
      </c>
      <c r="R139" s="138">
        <v>1108</v>
      </c>
      <c r="S139" s="138">
        <v>1114</v>
      </c>
      <c r="T139" s="138">
        <v>1119</v>
      </c>
      <c r="U139" s="138">
        <v>1125</v>
      </c>
      <c r="V139" s="138">
        <v>1131</v>
      </c>
      <c r="W139" s="138">
        <v>1137</v>
      </c>
      <c r="X139" s="138">
        <v>1142</v>
      </c>
      <c r="Y139" s="138">
        <v>1148</v>
      </c>
      <c r="Z139" s="138">
        <v>1154</v>
      </c>
      <c r="AA139" s="138">
        <v>1160</v>
      </c>
      <c r="AB139" s="138">
        <v>1166</v>
      </c>
      <c r="AC139" s="138">
        <v>1171</v>
      </c>
      <c r="AD139" s="138">
        <v>1177</v>
      </c>
      <c r="AE139" s="138">
        <v>1183</v>
      </c>
      <c r="AF139" s="138">
        <v>1189</v>
      </c>
      <c r="AG139" s="138">
        <v>1195</v>
      </c>
      <c r="AH139" s="132">
        <f t="shared" ref="AH139:AQ139" si="26">AG139*(1+$AR139)</f>
        <v>1203.131975</v>
      </c>
      <c r="AI139" s="132">
        <f t="shared" si="26"/>
        <v>1211.319288089875</v>
      </c>
      <c r="AJ139" s="132">
        <f t="shared" si="26"/>
        <v>1219.5623158453266</v>
      </c>
      <c r="AK139" s="132">
        <f t="shared" si="26"/>
        <v>1227.861437404654</v>
      </c>
      <c r="AL139" s="132">
        <f t="shared" si="26"/>
        <v>1236.2170344861927</v>
      </c>
      <c r="AM139" s="132">
        <f t="shared" si="26"/>
        <v>1244.6294914058712</v>
      </c>
      <c r="AN139" s="132">
        <f t="shared" si="26"/>
        <v>1253.099195094888</v>
      </c>
      <c r="AO139" s="132">
        <f t="shared" si="26"/>
        <v>1261.6265351175086</v>
      </c>
      <c r="AP139" s="132">
        <f t="shared" si="26"/>
        <v>1270.2119036889833</v>
      </c>
      <c r="AQ139" s="132">
        <f t="shared" si="26"/>
        <v>1278.8556956935868</v>
      </c>
      <c r="AR139" s="133">
        <v>6.8050000000000003E-3</v>
      </c>
    </row>
    <row r="140" spans="1:44" ht="15" customHeight="1">
      <c r="A140" s="4" t="s">
        <v>166</v>
      </c>
      <c r="B140" s="131" t="s">
        <v>150</v>
      </c>
      <c r="C140" s="138">
        <v>2274</v>
      </c>
      <c r="D140" s="138">
        <v>2219</v>
      </c>
      <c r="E140" s="138">
        <v>2359</v>
      </c>
      <c r="F140" s="138">
        <v>2373</v>
      </c>
      <c r="G140" s="138">
        <v>2388</v>
      </c>
      <c r="H140" s="138">
        <v>2402</v>
      </c>
      <c r="I140" s="138">
        <v>2417</v>
      </c>
      <c r="J140" s="138">
        <v>2431</v>
      </c>
      <c r="K140" s="138">
        <v>2445</v>
      </c>
      <c r="L140" s="138">
        <v>2460</v>
      </c>
      <c r="M140" s="138">
        <v>2474</v>
      </c>
      <c r="N140" s="138">
        <v>2488</v>
      </c>
      <c r="O140" s="138">
        <v>2503</v>
      </c>
      <c r="P140" s="138">
        <v>2517</v>
      </c>
      <c r="Q140" s="138">
        <v>2531</v>
      </c>
      <c r="R140" s="138">
        <v>2546</v>
      </c>
      <c r="S140" s="138">
        <v>2560</v>
      </c>
      <c r="T140" s="138">
        <v>2575</v>
      </c>
      <c r="U140" s="138">
        <v>2589</v>
      </c>
      <c r="V140" s="138">
        <v>2603</v>
      </c>
      <c r="W140" s="138">
        <v>2618</v>
      </c>
      <c r="X140" s="138">
        <v>2632</v>
      </c>
      <c r="Y140" s="138">
        <v>2647</v>
      </c>
      <c r="Z140" s="138">
        <v>2661</v>
      </c>
      <c r="AA140" s="138">
        <v>2676</v>
      </c>
      <c r="AB140" s="138">
        <v>2690</v>
      </c>
      <c r="AC140" s="138">
        <v>2705</v>
      </c>
      <c r="AD140" s="138">
        <v>2719</v>
      </c>
      <c r="AE140" s="138">
        <v>2734</v>
      </c>
      <c r="AF140" s="138">
        <v>2748</v>
      </c>
      <c r="AG140" s="138">
        <v>2763</v>
      </c>
      <c r="AH140" s="132">
        <f t="shared" ref="AH140:AQ140" si="27">AG140*(1+$AR140)</f>
        <v>2780.9981819999998</v>
      </c>
      <c r="AI140" s="132">
        <f t="shared" si="27"/>
        <v>2799.1136041575473</v>
      </c>
      <c r="AJ140" s="132">
        <f t="shared" si="27"/>
        <v>2817.3470301750294</v>
      </c>
      <c r="AK140" s="132">
        <f t="shared" si="27"/>
        <v>2835.6992287295893</v>
      </c>
      <c r="AL140" s="132">
        <f t="shared" si="27"/>
        <v>2854.1709735055338</v>
      </c>
      <c r="AM140" s="132">
        <f t="shared" si="27"/>
        <v>2872.7630432269484</v>
      </c>
      <c r="AN140" s="132">
        <f t="shared" si="27"/>
        <v>2891.4762216905283</v>
      </c>
      <c r="AO140" s="132">
        <f t="shared" si="27"/>
        <v>2910.3112977986202</v>
      </c>
      <c r="AP140" s="132">
        <f t="shared" si="27"/>
        <v>2929.2690655924803</v>
      </c>
      <c r="AQ140" s="132">
        <f t="shared" si="27"/>
        <v>2948.3503242857496</v>
      </c>
      <c r="AR140" s="133">
        <v>6.5139999999999998E-3</v>
      </c>
    </row>
    <row r="141" spans="1:44">
      <c r="A141" s="4" t="s">
        <v>167</v>
      </c>
      <c r="B141" s="131" t="s">
        <v>152</v>
      </c>
      <c r="C141" s="138">
        <v>1623</v>
      </c>
      <c r="D141" s="138">
        <v>1710</v>
      </c>
      <c r="E141" s="138">
        <v>1808</v>
      </c>
      <c r="F141" s="138">
        <v>1818</v>
      </c>
      <c r="G141" s="138">
        <v>1828</v>
      </c>
      <c r="H141" s="138">
        <v>1838</v>
      </c>
      <c r="I141" s="138">
        <v>1848</v>
      </c>
      <c r="J141" s="138">
        <v>1858</v>
      </c>
      <c r="K141" s="138">
        <v>1868</v>
      </c>
      <c r="L141" s="138">
        <v>1878</v>
      </c>
      <c r="M141" s="138">
        <v>1888</v>
      </c>
      <c r="N141" s="138">
        <v>1898</v>
      </c>
      <c r="O141" s="138">
        <v>1909</v>
      </c>
      <c r="P141" s="138">
        <v>1919</v>
      </c>
      <c r="Q141" s="138">
        <v>1929</v>
      </c>
      <c r="R141" s="138">
        <v>1939</v>
      </c>
      <c r="S141" s="138">
        <v>1949</v>
      </c>
      <c r="T141" s="138">
        <v>1959</v>
      </c>
      <c r="U141" s="138">
        <v>1969</v>
      </c>
      <c r="V141" s="138">
        <v>1980</v>
      </c>
      <c r="W141" s="138">
        <v>1990</v>
      </c>
      <c r="X141" s="138">
        <v>2000</v>
      </c>
      <c r="Y141" s="138">
        <v>2010</v>
      </c>
      <c r="Z141" s="138">
        <v>2020</v>
      </c>
      <c r="AA141" s="138">
        <v>2031</v>
      </c>
      <c r="AB141" s="138">
        <v>2041</v>
      </c>
      <c r="AC141" s="138">
        <v>2051</v>
      </c>
      <c r="AD141" s="138">
        <v>2061</v>
      </c>
      <c r="AE141" s="138">
        <v>2071</v>
      </c>
      <c r="AF141" s="138">
        <v>2082</v>
      </c>
      <c r="AG141" s="138">
        <v>2092</v>
      </c>
      <c r="AH141" s="132">
        <f t="shared" ref="AH141:AQ142" si="28">AG141*(1+$AR141)</f>
        <v>2109.7757240000001</v>
      </c>
      <c r="AI141" s="132">
        <f t="shared" si="28"/>
        <v>2127.7024883268282</v>
      </c>
      <c r="AJ141" s="132">
        <f t="shared" si="28"/>
        <v>2145.781576370141</v>
      </c>
      <c r="AK141" s="132">
        <f t="shared" si="28"/>
        <v>2164.0142824245581</v>
      </c>
      <c r="AL141" s="132">
        <f t="shared" si="28"/>
        <v>2182.4019117823195</v>
      </c>
      <c r="AM141" s="132">
        <f t="shared" si="28"/>
        <v>2200.9457808267339</v>
      </c>
      <c r="AN141" s="132">
        <f t="shared" si="28"/>
        <v>2219.6472171264186</v>
      </c>
      <c r="AO141" s="132">
        <f t="shared" si="28"/>
        <v>2238.5075595303415</v>
      </c>
      <c r="AP141" s="132">
        <f t="shared" si="28"/>
        <v>2257.5281582636708</v>
      </c>
      <c r="AQ141" s="132">
        <f t="shared" si="28"/>
        <v>2276.7103750244373</v>
      </c>
      <c r="AR141" s="133">
        <v>8.4969999999999993E-3</v>
      </c>
    </row>
    <row r="142" spans="1:44">
      <c r="A142" s="4" t="s">
        <v>168</v>
      </c>
      <c r="B142" s="131" t="s">
        <v>154</v>
      </c>
      <c r="C142" s="138">
        <v>2730</v>
      </c>
      <c r="D142" s="138">
        <v>2770</v>
      </c>
      <c r="E142" s="138">
        <v>2861</v>
      </c>
      <c r="F142" s="138">
        <v>2875</v>
      </c>
      <c r="G142" s="138">
        <v>2889</v>
      </c>
      <c r="H142" s="138">
        <v>2904</v>
      </c>
      <c r="I142" s="138">
        <v>2918</v>
      </c>
      <c r="J142" s="138">
        <v>2932</v>
      </c>
      <c r="K142" s="138">
        <v>2947</v>
      </c>
      <c r="L142" s="138">
        <v>2961</v>
      </c>
      <c r="M142" s="138">
        <v>2976</v>
      </c>
      <c r="N142" s="138">
        <v>2990</v>
      </c>
      <c r="O142" s="138">
        <v>3004</v>
      </c>
      <c r="P142" s="138">
        <v>3018</v>
      </c>
      <c r="Q142" s="138">
        <v>3033</v>
      </c>
      <c r="R142" s="138">
        <v>3047</v>
      </c>
      <c r="S142" s="138">
        <v>3061</v>
      </c>
      <c r="T142" s="138">
        <v>3076</v>
      </c>
      <c r="U142" s="138">
        <v>3090</v>
      </c>
      <c r="V142" s="138">
        <v>3104</v>
      </c>
      <c r="W142" s="138">
        <v>3119</v>
      </c>
      <c r="X142" s="138">
        <v>3133</v>
      </c>
      <c r="Y142" s="138">
        <v>3147</v>
      </c>
      <c r="Z142" s="138">
        <v>3161</v>
      </c>
      <c r="AA142" s="138">
        <v>3176</v>
      </c>
      <c r="AB142" s="138">
        <v>3190</v>
      </c>
      <c r="AC142" s="138">
        <v>3204</v>
      </c>
      <c r="AD142" s="138">
        <v>3218</v>
      </c>
      <c r="AE142" s="138">
        <v>3233</v>
      </c>
      <c r="AF142" s="138">
        <v>3247</v>
      </c>
      <c r="AG142" s="138">
        <v>3261</v>
      </c>
      <c r="AH142" s="132">
        <f t="shared" si="28"/>
        <v>3280.3768619999996</v>
      </c>
      <c r="AI142" s="132">
        <f t="shared" si="28"/>
        <v>3299.8688613140034</v>
      </c>
      <c r="AJ142" s="132">
        <f t="shared" si="28"/>
        <v>3319.4766820879308</v>
      </c>
      <c r="AK142" s="132">
        <f t="shared" si="28"/>
        <v>3339.201012532897</v>
      </c>
      <c r="AL142" s="132">
        <f t="shared" si="28"/>
        <v>3359.0425449493673</v>
      </c>
      <c r="AM142" s="132">
        <f t="shared" si="28"/>
        <v>3379.001975751456</v>
      </c>
      <c r="AN142" s="132">
        <f t="shared" si="28"/>
        <v>3399.0800054913707</v>
      </c>
      <c r="AO142" s="132">
        <f t="shared" si="28"/>
        <v>3419.2773388840001</v>
      </c>
      <c r="AP142" s="132">
        <f t="shared" si="28"/>
        <v>3439.5946848316485</v>
      </c>
      <c r="AQ142" s="132">
        <f t="shared" si="28"/>
        <v>3460.0327564489176</v>
      </c>
      <c r="AR142" s="133">
        <v>5.9420000000000002E-3</v>
      </c>
    </row>
    <row r="143" spans="1:44">
      <c r="A143" s="4" t="s">
        <v>169</v>
      </c>
      <c r="B143" s="131" t="s">
        <v>156</v>
      </c>
      <c r="C143" s="138">
        <v>1639</v>
      </c>
      <c r="D143" s="138">
        <v>1471</v>
      </c>
      <c r="E143" s="138">
        <v>1560</v>
      </c>
      <c r="F143" s="138">
        <v>1568</v>
      </c>
      <c r="G143" s="138">
        <v>1577</v>
      </c>
      <c r="H143" s="138">
        <v>1586</v>
      </c>
      <c r="I143" s="138">
        <v>1595</v>
      </c>
      <c r="J143" s="138">
        <v>1604</v>
      </c>
      <c r="K143" s="138">
        <v>1613</v>
      </c>
      <c r="L143" s="138">
        <v>1622</v>
      </c>
      <c r="M143" s="138">
        <v>1631</v>
      </c>
      <c r="N143" s="138">
        <v>1641</v>
      </c>
      <c r="O143" s="138">
        <v>1650</v>
      </c>
      <c r="P143" s="138">
        <v>1659</v>
      </c>
      <c r="Q143" s="138">
        <v>1668</v>
      </c>
      <c r="R143" s="138">
        <v>1678</v>
      </c>
      <c r="S143" s="138">
        <v>1687</v>
      </c>
      <c r="T143" s="138">
        <v>1697</v>
      </c>
      <c r="U143" s="138">
        <v>1706</v>
      </c>
      <c r="V143" s="138">
        <v>1715</v>
      </c>
      <c r="W143" s="138">
        <v>1725</v>
      </c>
      <c r="X143" s="138">
        <v>1734</v>
      </c>
      <c r="Y143" s="138">
        <v>1744</v>
      </c>
      <c r="Z143" s="138">
        <v>1753</v>
      </c>
      <c r="AA143" s="138">
        <v>1763</v>
      </c>
      <c r="AB143" s="138">
        <v>1772</v>
      </c>
      <c r="AC143" s="138">
        <v>1782</v>
      </c>
      <c r="AD143" s="138">
        <v>1791</v>
      </c>
      <c r="AE143" s="138">
        <v>1801</v>
      </c>
      <c r="AF143" s="138">
        <v>1810</v>
      </c>
      <c r="AG143" s="138">
        <v>1820</v>
      </c>
      <c r="AH143" s="132">
        <f t="shared" ref="AH143:AQ143" si="29">AG143*(1+$AR143)</f>
        <v>1826.36636</v>
      </c>
      <c r="AI143" s="132">
        <f t="shared" si="29"/>
        <v>1832.75498952728</v>
      </c>
      <c r="AJ143" s="132">
        <f t="shared" si="29"/>
        <v>1839.1659664806464</v>
      </c>
      <c r="AK143" s="132">
        <f t="shared" si="29"/>
        <v>1845.5993690313958</v>
      </c>
      <c r="AL143" s="132">
        <f t="shared" si="29"/>
        <v>1852.0552756242676</v>
      </c>
      <c r="AM143" s="132">
        <f t="shared" si="29"/>
        <v>1858.5337649784012</v>
      </c>
      <c r="AN143" s="132">
        <f t="shared" si="29"/>
        <v>1865.0349160882956</v>
      </c>
      <c r="AO143" s="132">
        <f t="shared" si="29"/>
        <v>1871.5588082247725</v>
      </c>
      <c r="AP143" s="132">
        <f t="shared" si="29"/>
        <v>1878.1055209359429</v>
      </c>
      <c r="AQ143" s="132">
        <f t="shared" si="29"/>
        <v>1884.6751340481769</v>
      </c>
      <c r="AR143" s="133">
        <v>3.4979999999999998E-3</v>
      </c>
    </row>
    <row r="144" spans="1:44">
      <c r="A144" s="4" t="s">
        <v>170</v>
      </c>
      <c r="B144" s="131" t="s">
        <v>158</v>
      </c>
      <c r="C144" s="138">
        <v>1012</v>
      </c>
      <c r="D144" s="138">
        <v>840</v>
      </c>
      <c r="E144" s="138">
        <v>963</v>
      </c>
      <c r="F144" s="138">
        <v>969</v>
      </c>
      <c r="G144" s="138">
        <v>975</v>
      </c>
      <c r="H144" s="138">
        <v>982</v>
      </c>
      <c r="I144" s="138">
        <v>988</v>
      </c>
      <c r="J144" s="138">
        <v>994</v>
      </c>
      <c r="K144" s="138">
        <v>1001</v>
      </c>
      <c r="L144" s="138">
        <v>1007</v>
      </c>
      <c r="M144" s="138">
        <v>1013</v>
      </c>
      <c r="N144" s="138">
        <v>1020</v>
      </c>
      <c r="O144" s="138">
        <v>1026</v>
      </c>
      <c r="P144" s="138">
        <v>1032</v>
      </c>
      <c r="Q144" s="138">
        <v>1039</v>
      </c>
      <c r="R144" s="138">
        <v>1045</v>
      </c>
      <c r="S144" s="138">
        <v>1052</v>
      </c>
      <c r="T144" s="138">
        <v>1058</v>
      </c>
      <c r="U144" s="138">
        <v>1065</v>
      </c>
      <c r="V144" s="138">
        <v>1071</v>
      </c>
      <c r="W144" s="138">
        <v>1078</v>
      </c>
      <c r="X144" s="138">
        <v>1084</v>
      </c>
      <c r="Y144" s="138">
        <v>1091</v>
      </c>
      <c r="Z144" s="138">
        <v>1097</v>
      </c>
      <c r="AA144" s="138">
        <v>1104</v>
      </c>
      <c r="AB144" s="138">
        <v>1110</v>
      </c>
      <c r="AC144" s="138">
        <v>1117</v>
      </c>
      <c r="AD144" s="138">
        <v>1123</v>
      </c>
      <c r="AE144" s="138">
        <v>1130</v>
      </c>
      <c r="AF144" s="138">
        <v>1136</v>
      </c>
      <c r="AG144" s="138">
        <v>1143</v>
      </c>
      <c r="AH144" s="132">
        <f t="shared" ref="AH144:AQ144" si="30">AG144*(1+$AR144)</f>
        <v>1147.647438</v>
      </c>
      <c r="AI144" s="132">
        <f t="shared" si="30"/>
        <v>1152.3137724829078</v>
      </c>
      <c r="AJ144" s="132">
        <f t="shared" si="30"/>
        <v>1156.9990802818231</v>
      </c>
      <c r="AK144" s="132">
        <f t="shared" si="30"/>
        <v>1161.7034385422489</v>
      </c>
      <c r="AL144" s="132">
        <f t="shared" si="30"/>
        <v>1166.4269247233617</v>
      </c>
      <c r="AM144" s="132">
        <f t="shared" si="30"/>
        <v>1171.1696165992869</v>
      </c>
      <c r="AN144" s="132">
        <f t="shared" si="30"/>
        <v>1175.9315922603794</v>
      </c>
      <c r="AO144" s="132">
        <f t="shared" si="30"/>
        <v>1180.7129301145101</v>
      </c>
      <c r="AP144" s="132">
        <f t="shared" si="30"/>
        <v>1185.5137088883555</v>
      </c>
      <c r="AQ144" s="132">
        <f t="shared" si="30"/>
        <v>1190.3340076286954</v>
      </c>
      <c r="AR144" s="133">
        <v>4.0660000000000002E-3</v>
      </c>
    </row>
    <row r="145" spans="1:44">
      <c r="A145" s="4" t="s">
        <v>171</v>
      </c>
      <c r="B145" s="130" t="s">
        <v>160</v>
      </c>
      <c r="C145" s="136">
        <v>1496.4417719999999</v>
      </c>
      <c r="D145" s="136">
        <v>1423.084351</v>
      </c>
      <c r="E145" s="136">
        <v>1533.780518</v>
      </c>
      <c r="F145" s="136">
        <v>1545.432861</v>
      </c>
      <c r="G145" s="136">
        <v>1557.3450929999999</v>
      </c>
      <c r="H145" s="136">
        <v>1569.296509</v>
      </c>
      <c r="I145" s="136">
        <v>1581.2326660000001</v>
      </c>
      <c r="J145" s="136">
        <v>1593.1649170000001</v>
      </c>
      <c r="K145" s="136">
        <v>1605.2078859999999</v>
      </c>
      <c r="L145" s="136">
        <v>1617.1710210000001</v>
      </c>
      <c r="M145" s="136">
        <v>1629.009888</v>
      </c>
      <c r="N145" s="136">
        <v>1641.1838379999999</v>
      </c>
      <c r="O145" s="136">
        <v>1653.26001</v>
      </c>
      <c r="P145" s="136">
        <v>1665.1435550000001</v>
      </c>
      <c r="Q145" s="136">
        <v>1677.2926030000001</v>
      </c>
      <c r="R145" s="136">
        <v>1689.587524</v>
      </c>
      <c r="S145" s="136">
        <v>1701.6491699999999</v>
      </c>
      <c r="T145" s="136">
        <v>1713.928101</v>
      </c>
      <c r="U145" s="136">
        <v>1726.156616</v>
      </c>
      <c r="V145" s="136">
        <v>1738.2735600000001</v>
      </c>
      <c r="W145" s="136">
        <v>1750.842529</v>
      </c>
      <c r="X145" s="136">
        <v>1762.7661129999999</v>
      </c>
      <c r="Y145" s="136">
        <v>1775.36499</v>
      </c>
      <c r="Z145" s="136">
        <v>1787.387939</v>
      </c>
      <c r="AA145" s="136">
        <v>1800.091797</v>
      </c>
      <c r="AB145" s="136">
        <v>1812.380737</v>
      </c>
      <c r="AC145" s="136">
        <v>1824.8900149999999</v>
      </c>
      <c r="AD145" s="136">
        <v>1836.9436040000001</v>
      </c>
      <c r="AE145" s="136">
        <v>1849.7070309999999</v>
      </c>
      <c r="AF145" s="136">
        <v>1861.689087</v>
      </c>
      <c r="AG145" s="136">
        <v>1874.0201420000001</v>
      </c>
      <c r="AH145" s="132">
        <f t="shared" ref="AH145:AQ145" si="31">AG145*(1+$AR145)</f>
        <v>1888.127765628976</v>
      </c>
      <c r="AI145" s="132">
        <f t="shared" si="31"/>
        <v>1902.3415914486309</v>
      </c>
      <c r="AJ145" s="132">
        <f t="shared" si="31"/>
        <v>1916.6624189490562</v>
      </c>
      <c r="AK145" s="132">
        <f t="shared" si="31"/>
        <v>1931.0910536389047</v>
      </c>
      <c r="AL145" s="132">
        <f t="shared" si="31"/>
        <v>1945.6283070906984</v>
      </c>
      <c r="AM145" s="132">
        <f t="shared" si="31"/>
        <v>1960.2749969864772</v>
      </c>
      <c r="AN145" s="132">
        <f t="shared" si="31"/>
        <v>1975.0319471637913</v>
      </c>
      <c r="AO145" s="132">
        <f t="shared" si="31"/>
        <v>1989.8999876620403</v>
      </c>
      <c r="AP145" s="132">
        <f t="shared" si="31"/>
        <v>2004.8799547691601</v>
      </c>
      <c r="AQ145" s="132">
        <f t="shared" si="31"/>
        <v>2019.9726910686622</v>
      </c>
      <c r="AR145" s="135">
        <v>7.528E-3</v>
      </c>
    </row>
    <row r="146" spans="1:44" ht="15" customHeight="1" thickBot="1"/>
    <row r="147" spans="1:44">
      <c r="B147" s="209" t="s">
        <v>373</v>
      </c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</row>
    <row r="148" spans="1:44">
      <c r="B148" s="5" t="s">
        <v>374</v>
      </c>
    </row>
    <row r="149" spans="1:44">
      <c r="B149" s="5" t="s">
        <v>375</v>
      </c>
    </row>
    <row r="150" spans="1:44" ht="15" customHeight="1">
      <c r="B150" s="5" t="s">
        <v>376</v>
      </c>
    </row>
    <row r="151" spans="1:44" ht="15" customHeight="1">
      <c r="B151" s="5" t="s">
        <v>377</v>
      </c>
    </row>
    <row r="152" spans="1:44" ht="15" customHeight="1">
      <c r="B152" s="5" t="s">
        <v>378</v>
      </c>
    </row>
    <row r="153" spans="1:44" ht="15" customHeight="1">
      <c r="B153" s="5" t="s">
        <v>172</v>
      </c>
    </row>
    <row r="154" spans="1:44" ht="15" customHeight="1">
      <c r="B154" s="5" t="s">
        <v>379</v>
      </c>
    </row>
    <row r="155" spans="1:44" ht="15" customHeight="1">
      <c r="B155" s="5" t="s">
        <v>380</v>
      </c>
    </row>
    <row r="156" spans="1:44" ht="15" customHeight="1">
      <c r="B156" s="5" t="s">
        <v>381</v>
      </c>
    </row>
    <row r="157" spans="1:44" ht="15" customHeight="1">
      <c r="B157" s="5" t="s">
        <v>382</v>
      </c>
    </row>
    <row r="158" spans="1:44" ht="15" customHeight="1">
      <c r="B158" s="5" t="s">
        <v>383</v>
      </c>
    </row>
    <row r="159" spans="1:44" ht="15" customHeight="1">
      <c r="B159" s="5" t="s">
        <v>173</v>
      </c>
    </row>
    <row r="160" spans="1:44" ht="15" customHeight="1">
      <c r="B160" s="5" t="s">
        <v>384</v>
      </c>
    </row>
    <row r="161" spans="2:2" ht="15" customHeight="1">
      <c r="B161" s="5" t="s">
        <v>174</v>
      </c>
    </row>
    <row r="162" spans="2:2" ht="15" customHeight="1">
      <c r="B162" s="5" t="s">
        <v>385</v>
      </c>
    </row>
    <row r="163" spans="2:2" ht="15" customHeight="1">
      <c r="B163" s="5" t="s">
        <v>386</v>
      </c>
    </row>
    <row r="164" spans="2:2" ht="15" customHeight="1">
      <c r="B164" s="5" t="s">
        <v>387</v>
      </c>
    </row>
    <row r="165" spans="2:2">
      <c r="B165" s="5" t="s">
        <v>388</v>
      </c>
    </row>
    <row r="166" spans="2:2" ht="15" customHeight="1">
      <c r="B166" s="5" t="s">
        <v>389</v>
      </c>
    </row>
    <row r="167" spans="2:2" ht="15" customHeight="1">
      <c r="B167" s="5" t="s">
        <v>390</v>
      </c>
    </row>
    <row r="307" spans="2:44" ht="15" customHeight="1"/>
    <row r="308" spans="2:44" ht="15" customHeight="1"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  <c r="AB308" s="211"/>
      <c r="AC308" s="211"/>
      <c r="AD308" s="211"/>
      <c r="AE308" s="211"/>
      <c r="AF308" s="211"/>
      <c r="AG308" s="211"/>
      <c r="AH308" s="211"/>
      <c r="AI308" s="211"/>
      <c r="AJ308" s="211"/>
      <c r="AK308" s="211"/>
      <c r="AL308" s="211"/>
      <c r="AM308" s="211"/>
      <c r="AN308" s="211"/>
      <c r="AO308" s="211"/>
      <c r="AP308" s="211"/>
      <c r="AQ308" s="211"/>
      <c r="AR308" s="211"/>
    </row>
    <row r="378" ht="15" customHeight="1"/>
    <row r="379" ht="15" customHeight="1"/>
    <row r="510" spans="2:44" ht="15" customHeight="1"/>
    <row r="511" spans="2:44" ht="15" customHeight="1"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A511" s="211"/>
      <c r="AB511" s="211"/>
      <c r="AC511" s="211"/>
      <c r="AD511" s="211"/>
      <c r="AE511" s="211"/>
      <c r="AF511" s="211"/>
      <c r="AG511" s="211"/>
      <c r="AH511" s="211"/>
      <c r="AI511" s="211"/>
      <c r="AJ511" s="211"/>
      <c r="AK511" s="211"/>
      <c r="AL511" s="211"/>
      <c r="AM511" s="211"/>
      <c r="AN511" s="211"/>
      <c r="AO511" s="211"/>
      <c r="AP511" s="211"/>
      <c r="AQ511" s="211"/>
      <c r="AR511" s="211"/>
    </row>
    <row r="578" ht="15" customHeight="1"/>
    <row r="579" ht="15" customHeight="1"/>
    <row r="711" spans="2:44" ht="15" customHeight="1"/>
    <row r="712" spans="2:44" ht="15" customHeight="1"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  <c r="AD712" s="211"/>
      <c r="AE712" s="211"/>
      <c r="AF712" s="211"/>
      <c r="AG712" s="211"/>
      <c r="AH712" s="211"/>
      <c r="AI712" s="211"/>
      <c r="AJ712" s="211"/>
      <c r="AK712" s="211"/>
      <c r="AL712" s="211"/>
      <c r="AM712" s="211"/>
      <c r="AN712" s="211"/>
      <c r="AO712" s="211"/>
      <c r="AP712" s="211"/>
      <c r="AQ712" s="211"/>
      <c r="AR712" s="211"/>
    </row>
    <row r="778" ht="15" customHeight="1"/>
    <row r="779" ht="15" customHeight="1"/>
    <row r="886" spans="2:44" ht="15" customHeight="1"/>
    <row r="887" spans="2:44" ht="15" customHeight="1"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  <c r="AD887" s="211"/>
      <c r="AE887" s="211"/>
      <c r="AF887" s="211"/>
      <c r="AG887" s="211"/>
      <c r="AH887" s="211"/>
      <c r="AI887" s="211"/>
      <c r="AJ887" s="211"/>
      <c r="AK887" s="211"/>
      <c r="AL887" s="211"/>
      <c r="AM887" s="211"/>
      <c r="AN887" s="211"/>
      <c r="AO887" s="211"/>
      <c r="AP887" s="211"/>
      <c r="AQ887" s="211"/>
      <c r="AR887" s="211"/>
    </row>
    <row r="953" ht="15" customHeight="1"/>
    <row r="954" ht="15" customHeight="1"/>
    <row r="1099" spans="2:44" ht="15" customHeight="1"/>
    <row r="1100" spans="2:44" ht="15" customHeight="1">
      <c r="B1100" s="211"/>
      <c r="C1100" s="211"/>
      <c r="D1100" s="211"/>
      <c r="E1100" s="211"/>
      <c r="F1100" s="211"/>
      <c r="G1100" s="211"/>
      <c r="H1100" s="211"/>
      <c r="I1100" s="211"/>
      <c r="J1100" s="211"/>
      <c r="K1100" s="211"/>
      <c r="L1100" s="211"/>
      <c r="M1100" s="211"/>
      <c r="N1100" s="211"/>
      <c r="O1100" s="211"/>
      <c r="P1100" s="211"/>
      <c r="Q1100" s="211"/>
      <c r="R1100" s="211"/>
      <c r="S1100" s="211"/>
      <c r="T1100" s="211"/>
      <c r="U1100" s="211"/>
      <c r="V1100" s="211"/>
      <c r="W1100" s="211"/>
      <c r="X1100" s="211"/>
      <c r="Y1100" s="211"/>
      <c r="Z1100" s="211"/>
      <c r="AA1100" s="211"/>
      <c r="AB1100" s="211"/>
      <c r="AC1100" s="211"/>
      <c r="AD1100" s="211"/>
      <c r="AE1100" s="211"/>
      <c r="AF1100" s="211"/>
      <c r="AG1100" s="211"/>
      <c r="AH1100" s="211"/>
      <c r="AI1100" s="211"/>
      <c r="AJ1100" s="211"/>
      <c r="AK1100" s="211"/>
      <c r="AL1100" s="211"/>
      <c r="AM1100" s="211"/>
      <c r="AN1100" s="211"/>
      <c r="AO1100" s="211"/>
      <c r="AP1100" s="211"/>
      <c r="AQ1100" s="211"/>
      <c r="AR1100" s="211"/>
    </row>
    <row r="1153" ht="15" customHeight="1"/>
    <row r="1154" ht="15" customHeight="1"/>
    <row r="1226" spans="2:44" ht="15" customHeight="1"/>
    <row r="1227" spans="2:44" ht="15" customHeight="1">
      <c r="B1227" s="211"/>
      <c r="C1227" s="211"/>
      <c r="D1227" s="211"/>
      <c r="E1227" s="211"/>
      <c r="F1227" s="211"/>
      <c r="G1227" s="211"/>
      <c r="H1227" s="211"/>
      <c r="I1227" s="211"/>
      <c r="J1227" s="211"/>
      <c r="K1227" s="211"/>
      <c r="L1227" s="211"/>
      <c r="M1227" s="211"/>
      <c r="N1227" s="211"/>
      <c r="O1227" s="211"/>
      <c r="P1227" s="211"/>
      <c r="Q1227" s="211"/>
      <c r="R1227" s="211"/>
      <c r="S1227" s="211"/>
      <c r="T1227" s="211"/>
      <c r="U1227" s="211"/>
      <c r="V1227" s="211"/>
      <c r="W1227" s="211"/>
      <c r="X1227" s="211"/>
      <c r="Y1227" s="211"/>
      <c r="Z1227" s="211"/>
      <c r="AA1227" s="211"/>
      <c r="AB1227" s="211"/>
      <c r="AC1227" s="211"/>
      <c r="AD1227" s="211"/>
      <c r="AE1227" s="211"/>
      <c r="AF1227" s="211"/>
      <c r="AG1227" s="211"/>
      <c r="AH1227" s="211"/>
      <c r="AI1227" s="211"/>
      <c r="AJ1227" s="211"/>
      <c r="AK1227" s="211"/>
      <c r="AL1227" s="211"/>
      <c r="AM1227" s="211"/>
      <c r="AN1227" s="211"/>
      <c r="AO1227" s="211"/>
      <c r="AP1227" s="211"/>
      <c r="AQ1227" s="211"/>
      <c r="AR1227" s="211"/>
    </row>
    <row r="1303" ht="15" customHeight="1"/>
    <row r="1304" ht="15" customHeight="1"/>
    <row r="1389" spans="2:44" ht="15" customHeight="1"/>
    <row r="1390" spans="2:44" ht="15" customHeight="1">
      <c r="B1390" s="211"/>
      <c r="C1390" s="211"/>
      <c r="D1390" s="211"/>
      <c r="E1390" s="211"/>
      <c r="F1390" s="211"/>
      <c r="G1390" s="211"/>
      <c r="H1390" s="211"/>
      <c r="I1390" s="211"/>
      <c r="J1390" s="211"/>
      <c r="K1390" s="211"/>
      <c r="L1390" s="211"/>
      <c r="M1390" s="211"/>
      <c r="N1390" s="211"/>
      <c r="O1390" s="211"/>
      <c r="P1390" s="211"/>
      <c r="Q1390" s="211"/>
      <c r="R1390" s="211"/>
      <c r="S1390" s="211"/>
      <c r="T1390" s="211"/>
      <c r="U1390" s="211"/>
      <c r="V1390" s="211"/>
      <c r="W1390" s="211"/>
      <c r="X1390" s="211"/>
      <c r="Y1390" s="211"/>
      <c r="Z1390" s="211"/>
      <c r="AA1390" s="211"/>
      <c r="AB1390" s="211"/>
      <c r="AC1390" s="211"/>
      <c r="AD1390" s="211"/>
      <c r="AE1390" s="211"/>
      <c r="AF1390" s="211"/>
      <c r="AG1390" s="211"/>
      <c r="AH1390" s="211"/>
      <c r="AI1390" s="211"/>
      <c r="AJ1390" s="211"/>
      <c r="AK1390" s="211"/>
      <c r="AL1390" s="211"/>
      <c r="AM1390" s="211"/>
      <c r="AN1390" s="211"/>
      <c r="AO1390" s="211"/>
      <c r="AP1390" s="211"/>
      <c r="AQ1390" s="211"/>
      <c r="AR1390" s="211"/>
    </row>
    <row r="1428" ht="15" customHeight="1"/>
    <row r="1429" ht="15" customHeight="1"/>
    <row r="1501" spans="2:44" ht="15" customHeight="1"/>
    <row r="1502" spans="2:44" ht="15" customHeight="1">
      <c r="B1502" s="211"/>
      <c r="C1502" s="211"/>
      <c r="D1502" s="211"/>
      <c r="E1502" s="211"/>
      <c r="F1502" s="211"/>
      <c r="G1502" s="211"/>
      <c r="H1502" s="211"/>
      <c r="I1502" s="211"/>
      <c r="J1502" s="211"/>
      <c r="K1502" s="211"/>
      <c r="L1502" s="211"/>
      <c r="M1502" s="211"/>
      <c r="N1502" s="211"/>
      <c r="O1502" s="211"/>
      <c r="P1502" s="211"/>
      <c r="Q1502" s="211"/>
      <c r="R1502" s="211"/>
      <c r="S1502" s="211"/>
      <c r="T1502" s="211"/>
      <c r="U1502" s="211"/>
      <c r="V1502" s="211"/>
      <c r="W1502" s="211"/>
      <c r="X1502" s="211"/>
      <c r="Y1502" s="211"/>
      <c r="Z1502" s="211"/>
      <c r="AA1502" s="211"/>
      <c r="AB1502" s="211"/>
      <c r="AC1502" s="211"/>
      <c r="AD1502" s="211"/>
      <c r="AE1502" s="211"/>
      <c r="AF1502" s="211"/>
      <c r="AG1502" s="211"/>
      <c r="AH1502" s="211"/>
      <c r="AI1502" s="211"/>
      <c r="AJ1502" s="211"/>
      <c r="AK1502" s="211"/>
      <c r="AL1502" s="211"/>
      <c r="AM1502" s="211"/>
      <c r="AN1502" s="211"/>
      <c r="AO1502" s="211"/>
      <c r="AP1502" s="211"/>
      <c r="AQ1502" s="211"/>
      <c r="AR1502" s="211"/>
    </row>
    <row r="1578" ht="15" customHeight="1"/>
    <row r="1579" ht="15" customHeight="1"/>
    <row r="1603" spans="2:44" ht="15" customHeight="1"/>
    <row r="1604" spans="2:44" ht="15" customHeight="1">
      <c r="B1604" s="211"/>
      <c r="C1604" s="211"/>
      <c r="D1604" s="211"/>
      <c r="E1604" s="211"/>
      <c r="F1604" s="211"/>
      <c r="G1604" s="211"/>
      <c r="H1604" s="211"/>
      <c r="I1604" s="211"/>
      <c r="J1604" s="211"/>
      <c r="K1604" s="211"/>
      <c r="L1604" s="211"/>
      <c r="M1604" s="211"/>
      <c r="N1604" s="211"/>
      <c r="O1604" s="211"/>
      <c r="P1604" s="211"/>
      <c r="Q1604" s="211"/>
      <c r="R1604" s="211"/>
      <c r="S1604" s="211"/>
      <c r="T1604" s="211"/>
      <c r="U1604" s="211"/>
      <c r="V1604" s="211"/>
      <c r="W1604" s="211"/>
      <c r="X1604" s="211"/>
      <c r="Y1604" s="211"/>
      <c r="Z1604" s="211"/>
      <c r="AA1604" s="211"/>
      <c r="AB1604" s="211"/>
      <c r="AC1604" s="211"/>
      <c r="AD1604" s="211"/>
      <c r="AE1604" s="211"/>
      <c r="AF1604" s="211"/>
      <c r="AG1604" s="211"/>
      <c r="AH1604" s="211"/>
      <c r="AI1604" s="211"/>
      <c r="AJ1604" s="211"/>
      <c r="AK1604" s="211"/>
      <c r="AL1604" s="211"/>
      <c r="AM1604" s="211"/>
      <c r="AN1604" s="211"/>
      <c r="AO1604" s="211"/>
      <c r="AP1604" s="211"/>
      <c r="AQ1604" s="211"/>
      <c r="AR1604" s="211"/>
    </row>
    <row r="1628" ht="15" customHeight="1"/>
    <row r="1629" ht="15" customHeight="1"/>
    <row r="1697" spans="2:44" ht="15" customHeight="1"/>
    <row r="1698" spans="2:44" ht="15" customHeight="1">
      <c r="B1698" s="211"/>
      <c r="C1698" s="211"/>
      <c r="D1698" s="211"/>
      <c r="E1698" s="211"/>
      <c r="F1698" s="211"/>
      <c r="G1698" s="211"/>
      <c r="H1698" s="211"/>
      <c r="I1698" s="211"/>
      <c r="J1698" s="211"/>
      <c r="K1698" s="211"/>
      <c r="L1698" s="211"/>
      <c r="M1698" s="211"/>
      <c r="N1698" s="211"/>
      <c r="O1698" s="211"/>
      <c r="P1698" s="211"/>
      <c r="Q1698" s="211"/>
      <c r="R1698" s="211"/>
      <c r="S1698" s="211"/>
      <c r="T1698" s="211"/>
      <c r="U1698" s="211"/>
      <c r="V1698" s="211"/>
      <c r="W1698" s="211"/>
      <c r="X1698" s="211"/>
      <c r="Y1698" s="211"/>
      <c r="Z1698" s="211"/>
      <c r="AA1698" s="211"/>
      <c r="AB1698" s="211"/>
      <c r="AC1698" s="211"/>
      <c r="AD1698" s="211"/>
      <c r="AE1698" s="211"/>
      <c r="AF1698" s="211"/>
      <c r="AG1698" s="211"/>
      <c r="AH1698" s="211"/>
      <c r="AI1698" s="211"/>
      <c r="AJ1698" s="211"/>
      <c r="AK1698" s="211"/>
      <c r="AL1698" s="211"/>
      <c r="AM1698" s="211"/>
      <c r="AN1698" s="211"/>
      <c r="AO1698" s="211"/>
      <c r="AP1698" s="211"/>
      <c r="AQ1698" s="211"/>
      <c r="AR1698" s="211"/>
    </row>
    <row r="1853" ht="15" customHeight="1"/>
    <row r="1854" ht="15" customHeight="1"/>
    <row r="1944" spans="2:44" ht="15" customHeight="1"/>
    <row r="1945" spans="2:44" ht="15" customHeight="1">
      <c r="B1945" s="211"/>
      <c r="C1945" s="211"/>
      <c r="D1945" s="211"/>
      <c r="E1945" s="211"/>
      <c r="F1945" s="211"/>
      <c r="G1945" s="211"/>
      <c r="H1945" s="211"/>
      <c r="I1945" s="211"/>
      <c r="J1945" s="211"/>
      <c r="K1945" s="211"/>
      <c r="L1945" s="211"/>
      <c r="M1945" s="211"/>
      <c r="N1945" s="211"/>
      <c r="O1945" s="211"/>
      <c r="P1945" s="211"/>
      <c r="Q1945" s="211"/>
      <c r="R1945" s="211"/>
      <c r="S1945" s="211"/>
      <c r="T1945" s="211"/>
      <c r="U1945" s="211"/>
      <c r="V1945" s="211"/>
      <c r="W1945" s="211"/>
      <c r="X1945" s="211"/>
      <c r="Y1945" s="211"/>
      <c r="Z1945" s="211"/>
      <c r="AA1945" s="211"/>
      <c r="AB1945" s="211"/>
      <c r="AC1945" s="211"/>
      <c r="AD1945" s="211"/>
      <c r="AE1945" s="211"/>
      <c r="AF1945" s="211"/>
      <c r="AG1945" s="211"/>
      <c r="AH1945" s="211"/>
      <c r="AI1945" s="211"/>
      <c r="AJ1945" s="211"/>
      <c r="AK1945" s="211"/>
      <c r="AL1945" s="211"/>
      <c r="AM1945" s="211"/>
      <c r="AN1945" s="211"/>
      <c r="AO1945" s="211"/>
      <c r="AP1945" s="211"/>
      <c r="AQ1945" s="211"/>
      <c r="AR1945" s="211"/>
    </row>
    <row r="1978" ht="15" customHeight="1"/>
    <row r="1979" ht="15" customHeight="1"/>
    <row r="2030" spans="2:44" ht="15" customHeight="1"/>
    <row r="2031" spans="2:44" ht="15" customHeight="1">
      <c r="B2031" s="211"/>
      <c r="C2031" s="211"/>
      <c r="D2031" s="211"/>
      <c r="E2031" s="211"/>
      <c r="F2031" s="211"/>
      <c r="G2031" s="211"/>
      <c r="H2031" s="211"/>
      <c r="I2031" s="211"/>
      <c r="J2031" s="211"/>
      <c r="K2031" s="211"/>
      <c r="L2031" s="211"/>
      <c r="M2031" s="211"/>
      <c r="N2031" s="211"/>
      <c r="O2031" s="211"/>
      <c r="P2031" s="211"/>
      <c r="Q2031" s="211"/>
      <c r="R2031" s="211"/>
      <c r="S2031" s="211"/>
      <c r="T2031" s="211"/>
      <c r="U2031" s="211"/>
      <c r="V2031" s="211"/>
      <c r="W2031" s="211"/>
      <c r="X2031" s="211"/>
      <c r="Y2031" s="211"/>
      <c r="Z2031" s="211"/>
      <c r="AA2031" s="211"/>
      <c r="AB2031" s="211"/>
      <c r="AC2031" s="211"/>
      <c r="AD2031" s="211"/>
      <c r="AE2031" s="211"/>
      <c r="AF2031" s="211"/>
      <c r="AG2031" s="211"/>
      <c r="AH2031" s="211"/>
      <c r="AI2031" s="211"/>
      <c r="AJ2031" s="211"/>
      <c r="AK2031" s="211"/>
      <c r="AL2031" s="211"/>
      <c r="AM2031" s="211"/>
      <c r="AN2031" s="211"/>
      <c r="AO2031" s="211"/>
      <c r="AP2031" s="211"/>
      <c r="AQ2031" s="211"/>
      <c r="AR2031" s="211"/>
    </row>
    <row r="2103" ht="15" customHeight="1"/>
    <row r="2104" ht="15" customHeight="1"/>
    <row r="2152" spans="2:44" ht="15" customHeight="1"/>
    <row r="2153" spans="2:44" ht="15" customHeight="1">
      <c r="B2153" s="211"/>
      <c r="C2153" s="211"/>
      <c r="D2153" s="211"/>
      <c r="E2153" s="211"/>
      <c r="F2153" s="211"/>
      <c r="G2153" s="211"/>
      <c r="H2153" s="211"/>
      <c r="I2153" s="211"/>
      <c r="J2153" s="211"/>
      <c r="K2153" s="211"/>
      <c r="L2153" s="211"/>
      <c r="M2153" s="211"/>
      <c r="N2153" s="211"/>
      <c r="O2153" s="211"/>
      <c r="P2153" s="211"/>
      <c r="Q2153" s="211"/>
      <c r="R2153" s="211"/>
      <c r="S2153" s="211"/>
      <c r="T2153" s="211"/>
      <c r="U2153" s="211"/>
      <c r="V2153" s="211"/>
      <c r="W2153" s="211"/>
      <c r="X2153" s="211"/>
      <c r="Y2153" s="211"/>
      <c r="Z2153" s="211"/>
      <c r="AA2153" s="211"/>
      <c r="AB2153" s="211"/>
      <c r="AC2153" s="211"/>
      <c r="AD2153" s="211"/>
      <c r="AE2153" s="211"/>
      <c r="AF2153" s="211"/>
      <c r="AG2153" s="211"/>
      <c r="AH2153" s="211"/>
      <c r="AI2153" s="211"/>
      <c r="AJ2153" s="211"/>
      <c r="AK2153" s="211"/>
      <c r="AL2153" s="211"/>
      <c r="AM2153" s="211"/>
      <c r="AN2153" s="211"/>
      <c r="AO2153" s="211"/>
      <c r="AP2153" s="211"/>
      <c r="AQ2153" s="211"/>
      <c r="AR2153" s="211"/>
    </row>
    <row r="2253" ht="15" customHeight="1"/>
    <row r="2254" ht="15" customHeight="1"/>
    <row r="2316" spans="2:44" ht="15" customHeight="1"/>
    <row r="2317" spans="2:44" ht="15" customHeight="1">
      <c r="B2317" s="211"/>
      <c r="C2317" s="211"/>
      <c r="D2317" s="211"/>
      <c r="E2317" s="211"/>
      <c r="F2317" s="211"/>
      <c r="G2317" s="211"/>
      <c r="H2317" s="211"/>
      <c r="I2317" s="211"/>
      <c r="J2317" s="211"/>
      <c r="K2317" s="211"/>
      <c r="L2317" s="211"/>
      <c r="M2317" s="211"/>
      <c r="N2317" s="211"/>
      <c r="O2317" s="211"/>
      <c r="P2317" s="211"/>
      <c r="Q2317" s="211"/>
      <c r="R2317" s="211"/>
      <c r="S2317" s="211"/>
      <c r="T2317" s="211"/>
      <c r="U2317" s="211"/>
      <c r="V2317" s="211"/>
      <c r="W2317" s="211"/>
      <c r="X2317" s="211"/>
      <c r="Y2317" s="211"/>
      <c r="Z2317" s="211"/>
      <c r="AA2317" s="211"/>
      <c r="AB2317" s="211"/>
      <c r="AC2317" s="211"/>
      <c r="AD2317" s="211"/>
      <c r="AE2317" s="211"/>
      <c r="AF2317" s="211"/>
      <c r="AG2317" s="211"/>
      <c r="AH2317" s="211"/>
      <c r="AI2317" s="211"/>
      <c r="AJ2317" s="211"/>
      <c r="AK2317" s="211"/>
      <c r="AL2317" s="211"/>
      <c r="AM2317" s="211"/>
      <c r="AN2317" s="211"/>
      <c r="AO2317" s="211"/>
      <c r="AP2317" s="211"/>
      <c r="AQ2317" s="211"/>
      <c r="AR2317" s="211"/>
    </row>
    <row r="2353" ht="15" customHeight="1"/>
    <row r="2354" ht="15" customHeight="1"/>
    <row r="2418" spans="2:44" ht="15" customHeight="1"/>
    <row r="2419" spans="2:44" ht="15" customHeight="1">
      <c r="B2419" s="211"/>
      <c r="C2419" s="211"/>
      <c r="D2419" s="211"/>
      <c r="E2419" s="211"/>
      <c r="F2419" s="211"/>
      <c r="G2419" s="211"/>
      <c r="H2419" s="211"/>
      <c r="I2419" s="211"/>
      <c r="J2419" s="211"/>
      <c r="K2419" s="211"/>
      <c r="L2419" s="211"/>
      <c r="M2419" s="211"/>
      <c r="N2419" s="211"/>
      <c r="O2419" s="211"/>
      <c r="P2419" s="211"/>
      <c r="Q2419" s="211"/>
      <c r="R2419" s="211"/>
      <c r="S2419" s="211"/>
      <c r="T2419" s="211"/>
      <c r="U2419" s="211"/>
      <c r="V2419" s="211"/>
      <c r="W2419" s="211"/>
      <c r="X2419" s="211"/>
      <c r="Y2419" s="211"/>
      <c r="Z2419" s="211"/>
      <c r="AA2419" s="211"/>
      <c r="AB2419" s="211"/>
      <c r="AC2419" s="211"/>
      <c r="AD2419" s="211"/>
      <c r="AE2419" s="211"/>
      <c r="AF2419" s="211"/>
      <c r="AG2419" s="211"/>
      <c r="AH2419" s="211"/>
      <c r="AI2419" s="211"/>
      <c r="AJ2419" s="211"/>
      <c r="AK2419" s="211"/>
      <c r="AL2419" s="211"/>
      <c r="AM2419" s="211"/>
      <c r="AN2419" s="211"/>
      <c r="AO2419" s="211"/>
      <c r="AP2419" s="211"/>
      <c r="AQ2419" s="211"/>
      <c r="AR2419" s="211"/>
    </row>
    <row r="2453" ht="15" customHeight="1"/>
    <row r="2454" ht="15" customHeight="1"/>
    <row r="2508" spans="2:44" ht="15" customHeight="1"/>
    <row r="2509" spans="2:44" ht="15" customHeight="1">
      <c r="B2509" s="211"/>
      <c r="C2509" s="211"/>
      <c r="D2509" s="211"/>
      <c r="E2509" s="211"/>
      <c r="F2509" s="211"/>
      <c r="G2509" s="211"/>
      <c r="H2509" s="211"/>
      <c r="I2509" s="211"/>
      <c r="J2509" s="211"/>
      <c r="K2509" s="211"/>
      <c r="L2509" s="211"/>
      <c r="M2509" s="211"/>
      <c r="N2509" s="211"/>
      <c r="O2509" s="211"/>
      <c r="P2509" s="211"/>
      <c r="Q2509" s="211"/>
      <c r="R2509" s="211"/>
      <c r="S2509" s="211"/>
      <c r="T2509" s="211"/>
      <c r="U2509" s="211"/>
      <c r="V2509" s="211"/>
      <c r="W2509" s="211"/>
      <c r="X2509" s="211"/>
      <c r="Y2509" s="211"/>
      <c r="Z2509" s="211"/>
      <c r="AA2509" s="211"/>
      <c r="AB2509" s="211"/>
      <c r="AC2509" s="211"/>
      <c r="AD2509" s="211"/>
      <c r="AE2509" s="211"/>
      <c r="AF2509" s="211"/>
      <c r="AG2509" s="211"/>
      <c r="AH2509" s="211"/>
      <c r="AI2509" s="211"/>
      <c r="AJ2509" s="211"/>
      <c r="AK2509" s="211"/>
      <c r="AL2509" s="211"/>
      <c r="AM2509" s="211"/>
      <c r="AN2509" s="211"/>
      <c r="AO2509" s="211"/>
      <c r="AP2509" s="211"/>
      <c r="AQ2509" s="211"/>
      <c r="AR2509" s="211"/>
    </row>
    <row r="2553" ht="15" customHeight="1"/>
    <row r="2554" ht="15" customHeight="1"/>
    <row r="2597" spans="2:44" ht="15" customHeight="1"/>
    <row r="2598" spans="2:44" ht="15" customHeight="1">
      <c r="B2598" s="211"/>
      <c r="C2598" s="211"/>
      <c r="D2598" s="211"/>
      <c r="E2598" s="211"/>
      <c r="F2598" s="211"/>
      <c r="G2598" s="211"/>
      <c r="H2598" s="211"/>
      <c r="I2598" s="211"/>
      <c r="J2598" s="211"/>
      <c r="K2598" s="211"/>
      <c r="L2598" s="211"/>
      <c r="M2598" s="211"/>
      <c r="N2598" s="211"/>
      <c r="O2598" s="211"/>
      <c r="P2598" s="211"/>
      <c r="Q2598" s="211"/>
      <c r="R2598" s="211"/>
      <c r="S2598" s="211"/>
      <c r="T2598" s="211"/>
      <c r="U2598" s="211"/>
      <c r="V2598" s="211"/>
      <c r="W2598" s="211"/>
      <c r="X2598" s="211"/>
      <c r="Y2598" s="211"/>
      <c r="Z2598" s="211"/>
      <c r="AA2598" s="211"/>
      <c r="AB2598" s="211"/>
      <c r="AC2598" s="211"/>
      <c r="AD2598" s="211"/>
      <c r="AE2598" s="211"/>
      <c r="AF2598" s="211"/>
      <c r="AG2598" s="211"/>
      <c r="AH2598" s="211"/>
      <c r="AI2598" s="211"/>
      <c r="AJ2598" s="211"/>
      <c r="AK2598" s="211"/>
      <c r="AL2598" s="211"/>
      <c r="AM2598" s="211"/>
      <c r="AN2598" s="211"/>
      <c r="AO2598" s="211"/>
      <c r="AP2598" s="211"/>
      <c r="AQ2598" s="211"/>
      <c r="AR2598" s="211"/>
    </row>
    <row r="2628" ht="15" customHeight="1"/>
    <row r="2629" ht="15" customHeight="1"/>
    <row r="2718" spans="2:44" ht="15" customHeight="1"/>
    <row r="2719" spans="2:44" ht="15" customHeight="1">
      <c r="B2719" s="211"/>
      <c r="C2719" s="211"/>
      <c r="D2719" s="211"/>
      <c r="E2719" s="211"/>
      <c r="F2719" s="211"/>
      <c r="G2719" s="211"/>
      <c r="H2719" s="211"/>
      <c r="I2719" s="211"/>
      <c r="J2719" s="211"/>
      <c r="K2719" s="211"/>
      <c r="L2719" s="211"/>
      <c r="M2719" s="211"/>
      <c r="N2719" s="211"/>
      <c r="O2719" s="211"/>
      <c r="P2719" s="211"/>
      <c r="Q2719" s="211"/>
      <c r="R2719" s="211"/>
      <c r="S2719" s="211"/>
      <c r="T2719" s="211"/>
      <c r="U2719" s="211"/>
      <c r="V2719" s="211"/>
      <c r="W2719" s="211"/>
      <c r="X2719" s="211"/>
      <c r="Y2719" s="211"/>
      <c r="Z2719" s="211"/>
      <c r="AA2719" s="211"/>
      <c r="AB2719" s="211"/>
      <c r="AC2719" s="211"/>
      <c r="AD2719" s="211"/>
      <c r="AE2719" s="211"/>
      <c r="AF2719" s="211"/>
      <c r="AG2719" s="211"/>
      <c r="AH2719" s="211"/>
      <c r="AI2719" s="211"/>
      <c r="AJ2719" s="211"/>
      <c r="AK2719" s="211"/>
      <c r="AL2719" s="211"/>
      <c r="AM2719" s="211"/>
      <c r="AN2719" s="211"/>
      <c r="AO2719" s="211"/>
      <c r="AP2719" s="211"/>
      <c r="AQ2719" s="211"/>
      <c r="AR2719" s="211"/>
    </row>
    <row r="2778" ht="15" customHeight="1"/>
    <row r="2779" ht="15" customHeight="1"/>
    <row r="2836" spans="2:44" ht="15" customHeight="1"/>
    <row r="2837" spans="2:44" ht="15" customHeight="1">
      <c r="B2837" s="211"/>
      <c r="C2837" s="211"/>
      <c r="D2837" s="211"/>
      <c r="E2837" s="211"/>
      <c r="F2837" s="211"/>
      <c r="G2837" s="211"/>
      <c r="H2837" s="211"/>
      <c r="I2837" s="211"/>
      <c r="J2837" s="211"/>
      <c r="K2837" s="211"/>
      <c r="L2837" s="211"/>
      <c r="M2837" s="211"/>
      <c r="N2837" s="211"/>
      <c r="O2837" s="211"/>
      <c r="P2837" s="211"/>
      <c r="Q2837" s="211"/>
      <c r="R2837" s="211"/>
      <c r="S2837" s="211"/>
      <c r="T2837" s="211"/>
      <c r="U2837" s="211"/>
      <c r="V2837" s="211"/>
      <c r="W2837" s="211"/>
      <c r="X2837" s="211"/>
      <c r="Y2837" s="211"/>
      <c r="Z2837" s="211"/>
      <c r="AA2837" s="211"/>
      <c r="AB2837" s="211"/>
      <c r="AC2837" s="211"/>
      <c r="AD2837" s="211"/>
      <c r="AE2837" s="211"/>
      <c r="AF2837" s="211"/>
      <c r="AG2837" s="211"/>
      <c r="AH2837" s="211"/>
      <c r="AI2837" s="211"/>
      <c r="AJ2837" s="211"/>
      <c r="AK2837" s="211"/>
      <c r="AL2837" s="211"/>
      <c r="AM2837" s="211"/>
      <c r="AN2837" s="211"/>
      <c r="AO2837" s="211"/>
      <c r="AP2837" s="211"/>
      <c r="AQ2837" s="211"/>
      <c r="AR2837" s="211"/>
    </row>
  </sheetData>
  <mergeCells count="21">
    <mergeCell ref="B2837:AR2837"/>
    <mergeCell ref="B2153:AR2153"/>
    <mergeCell ref="B2317:AR2317"/>
    <mergeCell ref="B2419:AR2419"/>
    <mergeCell ref="B2509:AR2509"/>
    <mergeCell ref="B2598:AR2598"/>
    <mergeCell ref="B1604:AR1604"/>
    <mergeCell ref="B1698:AR1698"/>
    <mergeCell ref="B1945:AR1945"/>
    <mergeCell ref="B2031:AR2031"/>
    <mergeCell ref="B2719:AR2719"/>
    <mergeCell ref="B887:AR887"/>
    <mergeCell ref="B1100:AR1100"/>
    <mergeCell ref="B1227:AR1227"/>
    <mergeCell ref="B1390:AR1390"/>
    <mergeCell ref="B1502:AR1502"/>
    <mergeCell ref="B112:AR112"/>
    <mergeCell ref="B147:AG147"/>
    <mergeCell ref="B308:AR308"/>
    <mergeCell ref="B511:AR511"/>
    <mergeCell ref="B712:AR712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3"/>
  <sheetViews>
    <sheetView topLeftCell="A76" zoomScale="70" zoomScaleNormal="70" workbookViewId="0">
      <selection activeCell="AC38" sqref="AC38"/>
    </sheetView>
  </sheetViews>
  <sheetFormatPr defaultRowHeight="14.5"/>
  <cols>
    <col min="1" max="1" width="32.54296875" customWidth="1"/>
    <col min="2" max="2" width="75.7265625" customWidth="1"/>
    <col min="3" max="3" width="22.1796875" customWidth="1"/>
  </cols>
  <sheetData>
    <row r="1" spans="1:48">
      <c r="A1" t="s">
        <v>391</v>
      </c>
    </row>
    <row r="2" spans="1:48">
      <c r="A2" t="s">
        <v>392</v>
      </c>
    </row>
    <row r="3" spans="1:48">
      <c r="A3" t="s">
        <v>393</v>
      </c>
    </row>
    <row r="4" spans="1:48">
      <c r="A4" t="s">
        <v>394</v>
      </c>
      <c r="AK4" t="s">
        <v>627</v>
      </c>
    </row>
    <row r="5" spans="1:48">
      <c r="B5" t="s">
        <v>395</v>
      </c>
      <c r="C5" t="s">
        <v>396</v>
      </c>
      <c r="D5" t="s">
        <v>397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s="57">
        <v>2051</v>
      </c>
      <c r="AL5" s="57">
        <v>2052</v>
      </c>
      <c r="AM5" s="57">
        <v>2053</v>
      </c>
      <c r="AN5" s="57">
        <v>2054</v>
      </c>
      <c r="AO5" s="57">
        <v>2055</v>
      </c>
      <c r="AP5" s="57">
        <v>2056</v>
      </c>
      <c r="AQ5" s="57">
        <v>2057</v>
      </c>
      <c r="AR5" s="57">
        <v>2058</v>
      </c>
      <c r="AS5" s="57">
        <v>2059</v>
      </c>
      <c r="AT5" s="57">
        <v>2060</v>
      </c>
      <c r="AU5" s="175" t="s">
        <v>624</v>
      </c>
      <c r="AV5" t="s">
        <v>398</v>
      </c>
    </row>
    <row r="6" spans="1:48">
      <c r="A6" t="s">
        <v>175</v>
      </c>
      <c r="C6" t="s">
        <v>399</v>
      </c>
    </row>
    <row r="7" spans="1:48">
      <c r="A7" t="s">
        <v>400</v>
      </c>
      <c r="C7" t="s">
        <v>401</v>
      </c>
      <c r="AF7" s="168"/>
      <c r="AG7" s="168"/>
      <c r="AH7" s="167"/>
      <c r="AI7" s="167"/>
      <c r="AJ7" s="167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</row>
    <row r="8" spans="1:48">
      <c r="A8" t="s">
        <v>402</v>
      </c>
      <c r="B8" t="s">
        <v>403</v>
      </c>
      <c r="C8" t="s">
        <v>404</v>
      </c>
      <c r="D8" t="s">
        <v>405</v>
      </c>
      <c r="F8">
        <v>12.588214000000001</v>
      </c>
      <c r="G8">
        <v>12.817233</v>
      </c>
      <c r="H8">
        <v>13.044523999999999</v>
      </c>
      <c r="I8">
        <v>13.267048000000001</v>
      </c>
      <c r="J8">
        <v>13.49545</v>
      </c>
      <c r="K8">
        <v>13.736791999999999</v>
      </c>
      <c r="L8">
        <v>13.979751</v>
      </c>
      <c r="M8">
        <v>14.211931999999999</v>
      </c>
      <c r="N8">
        <v>14.434669</v>
      </c>
      <c r="O8">
        <v>14.650879</v>
      </c>
      <c r="P8">
        <v>14.860855000000001</v>
      </c>
      <c r="Q8">
        <v>15.063205999999999</v>
      </c>
      <c r="R8">
        <v>15.261858999999999</v>
      </c>
      <c r="S8">
        <v>15.455095</v>
      </c>
      <c r="T8">
        <v>15.642369</v>
      </c>
      <c r="U8">
        <v>15.830920000000001</v>
      </c>
      <c r="V8">
        <v>16.018834999999999</v>
      </c>
      <c r="W8">
        <v>16.206322</v>
      </c>
      <c r="X8">
        <v>16.391667999999999</v>
      </c>
      <c r="Y8">
        <v>16.575872</v>
      </c>
      <c r="Z8">
        <v>16.761606</v>
      </c>
      <c r="AA8">
        <v>16.947831999999998</v>
      </c>
      <c r="AB8">
        <v>17.134937000000001</v>
      </c>
      <c r="AC8">
        <v>17.323729</v>
      </c>
      <c r="AD8">
        <v>17.513715999999999</v>
      </c>
      <c r="AE8">
        <v>17.705347</v>
      </c>
      <c r="AF8">
        <v>17.898474</v>
      </c>
      <c r="AG8">
        <v>18.091597</v>
      </c>
      <c r="AH8">
        <v>18.28528</v>
      </c>
      <c r="AI8">
        <v>18.480937999999998</v>
      </c>
      <c r="AJ8">
        <v>18.678591000000001</v>
      </c>
      <c r="AK8">
        <f t="shared" ref="AK8:AT8" si="0">AJ8*(1+$AU8)</f>
        <v>18.878357892076746</v>
      </c>
      <c r="AL8">
        <f t="shared" si="0"/>
        <v>19.080261284233718</v>
      </c>
      <c r="AM8">
        <f t="shared" si="0"/>
        <v>19.284324026266219</v>
      </c>
      <c r="AN8">
        <f t="shared" si="0"/>
        <v>19.490569212347339</v>
      </c>
      <c r="AO8">
        <f t="shared" si="0"/>
        <v>19.699020183641551</v>
      </c>
      <c r="AP8">
        <f t="shared" si="0"/>
        <v>19.909700530946289</v>
      </c>
      <c r="AQ8">
        <f t="shared" si="0"/>
        <v>20.122634097361757</v>
      </c>
      <c r="AR8">
        <f t="shared" si="0"/>
        <v>20.337844980989303</v>
      </c>
      <c r="AS8">
        <f t="shared" si="0"/>
        <v>20.55535753765864</v>
      </c>
      <c r="AT8">
        <f t="shared" si="0"/>
        <v>20.77519638368425</v>
      </c>
      <c r="AU8" s="167">
        <f>AJ8/AI8-1</f>
        <v>1.0694965807471535E-2</v>
      </c>
      <c r="AV8" s="140">
        <v>1.2999999999999999E-2</v>
      </c>
    </row>
    <row r="9" spans="1:48">
      <c r="A9" t="s">
        <v>406</v>
      </c>
      <c r="B9" t="s">
        <v>407</v>
      </c>
      <c r="C9" t="s">
        <v>408</v>
      </c>
      <c r="D9" t="s">
        <v>405</v>
      </c>
      <c r="F9">
        <v>30.217645999999998</v>
      </c>
      <c r="G9">
        <v>30.352442</v>
      </c>
      <c r="H9">
        <v>30.489107000000001</v>
      </c>
      <c r="I9">
        <v>30.626911</v>
      </c>
      <c r="J9">
        <v>30.775251000000001</v>
      </c>
      <c r="K9">
        <v>30.937819999999999</v>
      </c>
      <c r="L9">
        <v>31.102098000000002</v>
      </c>
      <c r="M9">
        <v>31.252998000000002</v>
      </c>
      <c r="N9">
        <v>31.392506000000001</v>
      </c>
      <c r="O9">
        <v>31.523710000000001</v>
      </c>
      <c r="P9">
        <v>31.647842000000001</v>
      </c>
      <c r="Q9">
        <v>31.763769</v>
      </c>
      <c r="R9">
        <v>31.876601999999998</v>
      </c>
      <c r="S9">
        <v>31.984750999999999</v>
      </c>
      <c r="T9">
        <v>32.088397999999998</v>
      </c>
      <c r="U9">
        <v>32.195225000000001</v>
      </c>
      <c r="V9">
        <v>32.302486000000002</v>
      </c>
      <c r="W9">
        <v>32.409526999999997</v>
      </c>
      <c r="X9">
        <v>32.517001999999998</v>
      </c>
      <c r="Y9">
        <v>32.626742999999998</v>
      </c>
      <c r="Z9">
        <v>32.740696</v>
      </c>
      <c r="AA9">
        <v>32.856910999999997</v>
      </c>
      <c r="AB9">
        <v>32.974445000000003</v>
      </c>
      <c r="AC9">
        <v>33.093201000000001</v>
      </c>
      <c r="AD9">
        <v>33.21143</v>
      </c>
      <c r="AE9">
        <v>33.330669</v>
      </c>
      <c r="AF9">
        <v>33.450096000000002</v>
      </c>
      <c r="AG9">
        <v>33.567920999999998</v>
      </c>
      <c r="AH9">
        <v>33.685921</v>
      </c>
      <c r="AI9">
        <v>33.805984000000002</v>
      </c>
      <c r="AJ9">
        <v>33.927920999999998</v>
      </c>
      <c r="AK9">
        <f t="shared" ref="AK9:AT9" si="1">AJ9*(1+$AU9)</f>
        <v>34.050297822487309</v>
      </c>
      <c r="AL9">
        <f t="shared" si="1"/>
        <v>34.17311605388624</v>
      </c>
      <c r="AM9">
        <f t="shared" si="1"/>
        <v>34.296377286343265</v>
      </c>
      <c r="AN9">
        <f t="shared" si="1"/>
        <v>34.420083117747687</v>
      </c>
      <c r="AO9">
        <f t="shared" si="1"/>
        <v>34.544235151752339</v>
      </c>
      <c r="AP9">
        <f t="shared" si="1"/>
        <v>34.668834997794363</v>
      </c>
      <c r="AQ9">
        <f t="shared" si="1"/>
        <v>34.793884271116085</v>
      </c>
      <c r="AR9">
        <f t="shared" si="1"/>
        <v>34.919384592785967</v>
      </c>
      <c r="AS9">
        <f t="shared" si="1"/>
        <v>35.045337589719594</v>
      </c>
      <c r="AT9">
        <f t="shared" si="1"/>
        <v>35.171744894700794</v>
      </c>
      <c r="AU9" s="167">
        <f>AJ9/AI9-1</f>
        <v>3.6069649680954274E-3</v>
      </c>
      <c r="AV9" s="140">
        <v>4.0000000000000001E-3</v>
      </c>
    </row>
    <row r="10" spans="1:48" s="145" customFormat="1">
      <c r="A10" s="145" t="s">
        <v>409</v>
      </c>
      <c r="B10" s="145" t="s">
        <v>410</v>
      </c>
      <c r="C10" s="145" t="s">
        <v>411</v>
      </c>
      <c r="D10" s="145" t="s">
        <v>405</v>
      </c>
      <c r="F10" s="145">
        <v>1.3117239999999999</v>
      </c>
      <c r="G10" s="145">
        <v>1.3096140000000001</v>
      </c>
      <c r="H10" s="145">
        <v>1.307512</v>
      </c>
      <c r="I10" s="145">
        <v>1.305418</v>
      </c>
      <c r="J10" s="145">
        <v>1.3033330000000001</v>
      </c>
      <c r="K10" s="145">
        <v>1.301256</v>
      </c>
      <c r="L10" s="145">
        <v>1.2991870000000001</v>
      </c>
      <c r="M10" s="145">
        <v>1.297126</v>
      </c>
      <c r="N10" s="145">
        <v>1.2950729999999999</v>
      </c>
      <c r="O10" s="145">
        <v>1.2930280000000001</v>
      </c>
      <c r="P10" s="145">
        <v>1.2909900000000001</v>
      </c>
      <c r="Q10" s="145">
        <v>1.288961</v>
      </c>
      <c r="R10" s="145">
        <v>1.2869390000000001</v>
      </c>
      <c r="S10" s="145">
        <v>1.284924</v>
      </c>
      <c r="T10" s="145">
        <v>1.2829170000000001</v>
      </c>
      <c r="U10" s="145">
        <v>1.2809170000000001</v>
      </c>
      <c r="V10" s="145">
        <v>1.2789250000000001</v>
      </c>
      <c r="W10" s="145">
        <v>1.27694</v>
      </c>
      <c r="X10" s="145">
        <v>1.2749619999999999</v>
      </c>
      <c r="Y10" s="145">
        <v>1.272991</v>
      </c>
      <c r="Z10" s="145">
        <v>1.2710269999999999</v>
      </c>
      <c r="AA10" s="145">
        <v>1.2690699999999999</v>
      </c>
      <c r="AB10" s="145">
        <v>1.26712</v>
      </c>
      <c r="AC10" s="145">
        <v>1.2651760000000001</v>
      </c>
      <c r="AD10" s="145">
        <v>1.263239</v>
      </c>
      <c r="AE10" s="145">
        <v>1.261309</v>
      </c>
      <c r="AF10" s="145">
        <v>1.2593859999999999</v>
      </c>
      <c r="AG10" s="145">
        <v>1.2574689999999999</v>
      </c>
      <c r="AH10" s="145">
        <v>1.255558</v>
      </c>
      <c r="AI10" s="145">
        <v>1.253654</v>
      </c>
      <c r="AJ10" s="145">
        <v>1.2517560000000001</v>
      </c>
      <c r="AK10" s="145">
        <f t="shared" ref="AK10:AT10" si="2">AJ10*(1+$AU10)</f>
        <v>1.2498608735233168</v>
      </c>
      <c r="AL10" s="145">
        <f t="shared" si="2"/>
        <v>1.2479686162195094</v>
      </c>
      <c r="AM10" s="145">
        <f t="shared" si="2"/>
        <v>1.246079223744724</v>
      </c>
      <c r="AN10" s="145">
        <f t="shared" si="2"/>
        <v>1.2441926917616828</v>
      </c>
      <c r="AO10" s="145">
        <f t="shared" si="2"/>
        <v>1.2423090159396748</v>
      </c>
      <c r="AP10" s="145">
        <f t="shared" si="2"/>
        <v>1.2404281919545455</v>
      </c>
      <c r="AQ10" s="145">
        <f t="shared" si="2"/>
        <v>1.2385502154886867</v>
      </c>
      <c r="AR10" s="145">
        <f t="shared" si="2"/>
        <v>1.2366750822310275</v>
      </c>
      <c r="AS10" s="145">
        <f t="shared" si="2"/>
        <v>1.2348027878770236</v>
      </c>
      <c r="AT10" s="145">
        <f t="shared" si="2"/>
        <v>1.2329333281286476</v>
      </c>
      <c r="AU10" s="170">
        <f t="shared" ref="AU10:AU73" si="3">AJ10/AI10-1</f>
        <v>-1.5139743501795255E-3</v>
      </c>
      <c r="AV10" s="146">
        <v>-2E-3</v>
      </c>
    </row>
    <row r="11" spans="1:48" s="145" customFormat="1">
      <c r="A11" s="145" t="s">
        <v>412</v>
      </c>
      <c r="B11" s="145" t="s">
        <v>413</v>
      </c>
      <c r="C11" s="145" t="s">
        <v>414</v>
      </c>
      <c r="D11" s="145" t="s">
        <v>405</v>
      </c>
      <c r="F11" s="145">
        <v>60.555110999999997</v>
      </c>
      <c r="G11" s="145">
        <v>61.300755000000002</v>
      </c>
      <c r="H11" s="145">
        <v>62.047542999999997</v>
      </c>
      <c r="I11" s="145">
        <v>62.788345</v>
      </c>
      <c r="J11" s="145">
        <v>63.539451999999997</v>
      </c>
      <c r="K11" s="145">
        <v>64.319839000000002</v>
      </c>
      <c r="L11" s="145">
        <v>65.096298000000004</v>
      </c>
      <c r="M11" s="145">
        <v>65.837990000000005</v>
      </c>
      <c r="N11" s="145">
        <v>66.549057000000005</v>
      </c>
      <c r="O11" s="145">
        <v>67.237876999999997</v>
      </c>
      <c r="P11" s="145">
        <v>67.903762999999998</v>
      </c>
      <c r="Q11" s="145">
        <v>68.544914000000006</v>
      </c>
      <c r="R11" s="145">
        <v>69.171463000000003</v>
      </c>
      <c r="S11" s="145">
        <v>69.777694999999994</v>
      </c>
      <c r="T11" s="145">
        <v>70.360138000000006</v>
      </c>
      <c r="U11" s="145">
        <v>70.938537999999994</v>
      </c>
      <c r="V11" s="145">
        <v>71.505889999999994</v>
      </c>
      <c r="W11" s="145">
        <v>72.063132999999993</v>
      </c>
      <c r="X11" s="145">
        <v>72.615172999999999</v>
      </c>
      <c r="Y11" s="145">
        <v>73.162818999999999</v>
      </c>
      <c r="Z11" s="145">
        <v>73.714095999999998</v>
      </c>
      <c r="AA11" s="145">
        <v>74.264647999999994</v>
      </c>
      <c r="AB11" s="145">
        <v>74.813857999999996</v>
      </c>
      <c r="AC11" s="145">
        <v>75.364722999999998</v>
      </c>
      <c r="AD11" s="145">
        <v>75.916847000000004</v>
      </c>
      <c r="AE11" s="145">
        <v>76.470596</v>
      </c>
      <c r="AF11" s="145">
        <v>77.026077000000001</v>
      </c>
      <c r="AG11" s="145">
        <v>77.577575999999993</v>
      </c>
      <c r="AH11" s="145">
        <v>78.126052999999999</v>
      </c>
      <c r="AI11" s="145">
        <v>78.675049000000001</v>
      </c>
      <c r="AJ11" s="145">
        <v>79.225029000000006</v>
      </c>
      <c r="AK11" s="145">
        <f t="shared" ref="AK11:AT11" si="4">AJ11*(1+$AU11)</f>
        <v>79.778853649660164</v>
      </c>
      <c r="AL11" s="145">
        <f t="shared" si="4"/>
        <v>80.336549825105067</v>
      </c>
      <c r="AM11" s="145">
        <f t="shared" si="4"/>
        <v>80.89814459033758</v>
      </c>
      <c r="AN11" s="145">
        <f t="shared" si="4"/>
        <v>81.463665198552192</v>
      </c>
      <c r="AO11" s="145">
        <f t="shared" si="4"/>
        <v>82.033139093457564</v>
      </c>
      <c r="AP11" s="145">
        <f t="shared" si="4"/>
        <v>82.606593910608311</v>
      </c>
      <c r="AQ11" s="145">
        <f t="shared" si="4"/>
        <v>83.184057478746126</v>
      </c>
      <c r="AR11" s="145">
        <f t="shared" si="4"/>
        <v>83.765557821150253</v>
      </c>
      <c r="AS11" s="145">
        <f t="shared" si="4"/>
        <v>84.351123156997417</v>
      </c>
      <c r="AT11" s="145">
        <f t="shared" si="4"/>
        <v>84.940781902731231</v>
      </c>
      <c r="AU11" s="170">
        <f t="shared" si="3"/>
        <v>6.9905263103173798E-3</v>
      </c>
      <c r="AV11" s="146">
        <v>8.9999999999999993E-3</v>
      </c>
    </row>
    <row r="12" spans="1:48" s="147" customFormat="1">
      <c r="A12" s="147" t="s">
        <v>415</v>
      </c>
      <c r="B12" s="147" t="s">
        <v>416</v>
      </c>
      <c r="C12" s="147" t="s">
        <v>417</v>
      </c>
      <c r="D12" s="147" t="s">
        <v>405</v>
      </c>
      <c r="F12" s="147">
        <v>5.548133</v>
      </c>
      <c r="G12" s="147">
        <v>5.4961510000000002</v>
      </c>
      <c r="H12" s="147">
        <v>5.4453250000000004</v>
      </c>
      <c r="I12" s="147">
        <v>5.3955599999999997</v>
      </c>
      <c r="J12" s="147">
        <v>5.3467390000000004</v>
      </c>
      <c r="K12" s="147">
        <v>5.298432</v>
      </c>
      <c r="L12" s="147">
        <v>5.2504749999999998</v>
      </c>
      <c r="M12" s="147">
        <v>5.2040509999999998</v>
      </c>
      <c r="N12" s="147">
        <v>5.1594329999999999</v>
      </c>
      <c r="O12" s="147">
        <v>5.116981</v>
      </c>
      <c r="P12" s="147">
        <v>5.0767889999999998</v>
      </c>
      <c r="Q12" s="147">
        <v>5.0381330000000002</v>
      </c>
      <c r="R12" s="147">
        <v>5.0011169999999998</v>
      </c>
      <c r="S12" s="147">
        <v>4.9654299999999996</v>
      </c>
      <c r="T12" s="147">
        <v>4.9307699999999999</v>
      </c>
      <c r="U12" s="147">
        <v>4.8970960000000003</v>
      </c>
      <c r="V12" s="147">
        <v>4.864147</v>
      </c>
      <c r="W12" s="147">
        <v>4.8325639999999996</v>
      </c>
      <c r="X12" s="147">
        <v>4.8020889999999996</v>
      </c>
      <c r="Y12" s="147">
        <v>4.7724260000000003</v>
      </c>
      <c r="Z12" s="147">
        <v>4.7435609999999997</v>
      </c>
      <c r="AA12" s="147">
        <v>4.714861</v>
      </c>
      <c r="AB12" s="147">
        <v>4.6846649999999999</v>
      </c>
      <c r="AC12" s="147">
        <v>4.6530279999999999</v>
      </c>
      <c r="AD12" s="147">
        <v>4.6201639999999999</v>
      </c>
      <c r="AE12" s="147">
        <v>4.5863250000000004</v>
      </c>
      <c r="AF12" s="147">
        <v>4.5516810000000003</v>
      </c>
      <c r="AG12" s="147">
        <v>4.5156049999999999</v>
      </c>
      <c r="AH12" s="147">
        <v>4.4785089999999999</v>
      </c>
      <c r="AI12" s="147">
        <v>4.4408219999999998</v>
      </c>
      <c r="AJ12" s="147">
        <v>4.4029340000000001</v>
      </c>
      <c r="AK12" s="147">
        <f t="shared" ref="AK12:AT12" si="5">AJ12*(1+$AU12)</f>
        <v>4.3653692510881994</v>
      </c>
      <c r="AL12" s="147">
        <f t="shared" si="5"/>
        <v>4.3281249953658962</v>
      </c>
      <c r="AM12" s="147">
        <f t="shared" si="5"/>
        <v>4.2911984984641016</v>
      </c>
      <c r="AN12" s="147">
        <f t="shared" si="5"/>
        <v>4.2545870493427884</v>
      </c>
      <c r="AO12" s="147">
        <f t="shared" si="5"/>
        <v>4.2182879600918568</v>
      </c>
      <c r="AP12" s="147">
        <f t="shared" si="5"/>
        <v>4.1822985657337943</v>
      </c>
      <c r="AQ12" s="147">
        <f t="shared" si="5"/>
        <v>4.14661622402802</v>
      </c>
      <c r="AR12" s="147">
        <f t="shared" si="5"/>
        <v>4.1112383152768981</v>
      </c>
      <c r="AS12" s="147">
        <f t="shared" si="5"/>
        <v>4.0761622421334103</v>
      </c>
      <c r="AT12" s="147">
        <f t="shared" si="5"/>
        <v>4.0413854294104619</v>
      </c>
      <c r="AU12" s="171">
        <f t="shared" si="3"/>
        <v>-8.5317538059395126E-3</v>
      </c>
      <c r="AV12" s="148">
        <v>-8.0000000000000002E-3</v>
      </c>
    </row>
    <row r="13" spans="1:48">
      <c r="A13" t="s">
        <v>418</v>
      </c>
      <c r="B13" t="s">
        <v>419</v>
      </c>
      <c r="C13" t="s">
        <v>420</v>
      </c>
      <c r="D13" t="s">
        <v>405</v>
      </c>
      <c r="F13">
        <v>5.1948600000000003</v>
      </c>
      <c r="G13">
        <v>5.207179</v>
      </c>
      <c r="H13">
        <v>5.2186779999999997</v>
      </c>
      <c r="I13">
        <v>5.23048</v>
      </c>
      <c r="J13">
        <v>5.2437370000000003</v>
      </c>
      <c r="K13">
        <v>5.2593870000000003</v>
      </c>
      <c r="L13">
        <v>5.2765380000000004</v>
      </c>
      <c r="M13">
        <v>5.2920489999999996</v>
      </c>
      <c r="N13">
        <v>5.3052409999999997</v>
      </c>
      <c r="O13">
        <v>5.3164920000000002</v>
      </c>
      <c r="P13">
        <v>5.3251629999999999</v>
      </c>
      <c r="Q13">
        <v>5.3321079999999998</v>
      </c>
      <c r="R13">
        <v>5.3384960000000001</v>
      </c>
      <c r="S13">
        <v>5.3444430000000001</v>
      </c>
      <c r="T13">
        <v>5.3499020000000002</v>
      </c>
      <c r="U13">
        <v>5.3561810000000003</v>
      </c>
      <c r="V13">
        <v>5.3626930000000002</v>
      </c>
      <c r="W13">
        <v>5.3685289999999997</v>
      </c>
      <c r="X13">
        <v>5.3736670000000002</v>
      </c>
      <c r="Y13">
        <v>5.3785280000000002</v>
      </c>
      <c r="Z13">
        <v>5.3839610000000002</v>
      </c>
      <c r="AA13">
        <v>5.3897069999999996</v>
      </c>
      <c r="AB13">
        <v>5.394711</v>
      </c>
      <c r="AC13">
        <v>5.3992339999999999</v>
      </c>
      <c r="AD13">
        <v>5.4032</v>
      </c>
      <c r="AE13">
        <v>5.406765</v>
      </c>
      <c r="AF13">
        <v>5.4098810000000004</v>
      </c>
      <c r="AG13">
        <v>5.4120309999999998</v>
      </c>
      <c r="AH13">
        <v>5.4134250000000002</v>
      </c>
      <c r="AI13">
        <v>5.4145669999999999</v>
      </c>
      <c r="AJ13">
        <v>5.4153219999999997</v>
      </c>
      <c r="AK13">
        <f t="shared" ref="AK13:AT13" si="6">AJ13*(1+$AU13)</f>
        <v>5.4160771052761927</v>
      </c>
      <c r="AL13">
        <f t="shared" si="6"/>
        <v>5.4168323158432576</v>
      </c>
      <c r="AM13">
        <f t="shared" si="6"/>
        <v>5.4175876317158771</v>
      </c>
      <c r="AN13">
        <f t="shared" si="6"/>
        <v>5.4183430529087344</v>
      </c>
      <c r="AO13">
        <f t="shared" si="6"/>
        <v>5.4190985794365147</v>
      </c>
      <c r="AP13">
        <f t="shared" si="6"/>
        <v>5.4198542113139068</v>
      </c>
      <c r="AQ13">
        <f t="shared" si="6"/>
        <v>5.4206099485556001</v>
      </c>
      <c r="AR13">
        <f t="shared" si="6"/>
        <v>5.421365791176286</v>
      </c>
      <c r="AS13">
        <f t="shared" si="6"/>
        <v>5.4221217391906587</v>
      </c>
      <c r="AT13">
        <f t="shared" si="6"/>
        <v>5.4228777926134137</v>
      </c>
      <c r="AU13" s="167">
        <f t="shared" si="3"/>
        <v>1.3943866610199862E-4</v>
      </c>
      <c r="AV13" s="140">
        <v>1E-3</v>
      </c>
    </row>
    <row r="14" spans="1:48">
      <c r="A14" t="s">
        <v>421</v>
      </c>
      <c r="B14" t="s">
        <v>422</v>
      </c>
      <c r="C14" t="s">
        <v>423</v>
      </c>
      <c r="D14" t="s">
        <v>405</v>
      </c>
      <c r="F14">
        <v>2.8969999999999998E-3</v>
      </c>
      <c r="G14">
        <v>5.4749999999999998E-3</v>
      </c>
      <c r="H14">
        <v>8.0029999999999997E-3</v>
      </c>
      <c r="I14">
        <v>1.057E-2</v>
      </c>
      <c r="J14">
        <v>1.3306E-2</v>
      </c>
      <c r="K14">
        <v>1.6211E-2</v>
      </c>
      <c r="L14">
        <v>1.9193999999999999E-2</v>
      </c>
      <c r="M14">
        <v>2.1853000000000001E-2</v>
      </c>
      <c r="N14">
        <v>2.4174999999999999E-2</v>
      </c>
      <c r="O14">
        <v>2.6186999999999998E-2</v>
      </c>
      <c r="P14">
        <v>2.7911999999999999E-2</v>
      </c>
      <c r="Q14">
        <v>2.9430999999999999E-2</v>
      </c>
      <c r="R14">
        <v>3.0853999999999999E-2</v>
      </c>
      <c r="S14">
        <v>3.2223000000000002E-2</v>
      </c>
      <c r="T14">
        <v>3.3555000000000001E-2</v>
      </c>
      <c r="U14">
        <v>3.4948E-2</v>
      </c>
      <c r="V14">
        <v>3.6373000000000003E-2</v>
      </c>
      <c r="W14">
        <v>3.7761999999999997E-2</v>
      </c>
      <c r="X14">
        <v>3.9100000000000003E-2</v>
      </c>
      <c r="Y14">
        <v>4.0437000000000001E-2</v>
      </c>
      <c r="Z14">
        <v>4.1834999999999997E-2</v>
      </c>
      <c r="AA14">
        <v>4.3241000000000002E-2</v>
      </c>
      <c r="AB14">
        <v>4.4628000000000001E-2</v>
      </c>
      <c r="AC14">
        <v>4.5982000000000002E-2</v>
      </c>
      <c r="AD14">
        <v>4.7285000000000001E-2</v>
      </c>
      <c r="AE14">
        <v>4.854E-2</v>
      </c>
      <c r="AF14">
        <v>4.9737999999999997E-2</v>
      </c>
      <c r="AG14">
        <v>5.0831000000000001E-2</v>
      </c>
      <c r="AH14">
        <v>5.1844000000000001E-2</v>
      </c>
      <c r="AI14">
        <v>5.2812999999999999E-2</v>
      </c>
      <c r="AJ14">
        <v>5.3713999999999998E-2</v>
      </c>
      <c r="AK14">
        <f t="shared" ref="AK14:AT14" si="7">AJ14*(1+$AU14)</f>
        <v>5.4630371234355178E-2</v>
      </c>
      <c r="AL14">
        <f t="shared" si="7"/>
        <v>5.5562375939298164E-2</v>
      </c>
      <c r="AM14">
        <f t="shared" si="7"/>
        <v>5.6510280824862473E-2</v>
      </c>
      <c r="AN14">
        <f t="shared" si="7"/>
        <v>5.7474357151206384E-2</v>
      </c>
      <c r="AO14">
        <f t="shared" si="7"/>
        <v>5.8454880806238993E-2</v>
      </c>
      <c r="AP14">
        <f t="shared" si="7"/>
        <v>5.9452132384570491E-2</v>
      </c>
      <c r="AQ14">
        <f t="shared" si="7"/>
        <v>6.0466397267809432E-2</v>
      </c>
      <c r="AR14">
        <f t="shared" si="7"/>
        <v>6.1497965706229826E-2</v>
      </c>
      <c r="AS14">
        <f t="shared" si="7"/>
        <v>6.2547132901831531E-2</v>
      </c>
      <c r="AT14">
        <f t="shared" si="7"/>
        <v>6.3614199092817653E-2</v>
      </c>
      <c r="AU14" s="167">
        <f t="shared" si="3"/>
        <v>1.7060193512960842E-2</v>
      </c>
      <c r="AV14" s="140">
        <v>0.10199999999999999</v>
      </c>
    </row>
    <row r="15" spans="1:48" s="157" customFormat="1">
      <c r="A15" s="157" t="s">
        <v>424</v>
      </c>
      <c r="B15" s="157" t="s">
        <v>425</v>
      </c>
      <c r="C15" s="157" t="s">
        <v>426</v>
      </c>
      <c r="D15" s="157" t="s">
        <v>405</v>
      </c>
      <c r="F15" s="157">
        <v>3.344913</v>
      </c>
      <c r="G15" s="157">
        <v>3.3193619999999999</v>
      </c>
      <c r="H15" s="157">
        <v>3.2944239999999998</v>
      </c>
      <c r="I15" s="157">
        <v>3.270416</v>
      </c>
      <c r="J15" s="157">
        <v>3.2472259999999999</v>
      </c>
      <c r="K15" s="157">
        <v>3.2239040000000001</v>
      </c>
      <c r="L15" s="157">
        <v>3.2004679999999999</v>
      </c>
      <c r="M15" s="157">
        <v>3.1768860000000001</v>
      </c>
      <c r="N15" s="157">
        <v>3.1530610000000001</v>
      </c>
      <c r="O15" s="157">
        <v>3.128717</v>
      </c>
      <c r="P15" s="157">
        <v>3.1036579999999998</v>
      </c>
      <c r="Q15" s="157">
        <v>3.0779779999999999</v>
      </c>
      <c r="R15" s="157">
        <v>3.051444</v>
      </c>
      <c r="S15" s="157">
        <v>3.0240140000000002</v>
      </c>
      <c r="T15" s="157">
        <v>2.9957150000000001</v>
      </c>
      <c r="U15" s="157">
        <v>2.9667840000000001</v>
      </c>
      <c r="V15" s="157">
        <v>2.937014</v>
      </c>
      <c r="W15" s="157">
        <v>2.9081060000000001</v>
      </c>
      <c r="X15" s="157">
        <v>2.8802460000000001</v>
      </c>
      <c r="Y15" s="157">
        <v>2.8533179999999998</v>
      </c>
      <c r="Z15" s="157">
        <v>2.8265850000000001</v>
      </c>
      <c r="AA15" s="157">
        <v>2.8010600000000001</v>
      </c>
      <c r="AB15" s="157">
        <v>2.7767550000000001</v>
      </c>
      <c r="AC15" s="157">
        <v>2.7537029999999998</v>
      </c>
      <c r="AD15" s="157">
        <v>2.7319909999999998</v>
      </c>
      <c r="AE15" s="157">
        <v>2.7116579999999999</v>
      </c>
      <c r="AF15" s="157">
        <v>2.6926410000000001</v>
      </c>
      <c r="AG15" s="157">
        <v>2.673467</v>
      </c>
      <c r="AH15" s="157">
        <v>2.6541790000000001</v>
      </c>
      <c r="AI15" s="157">
        <v>2.634693</v>
      </c>
      <c r="AJ15" s="157">
        <v>2.6149830000000001</v>
      </c>
      <c r="AK15" s="157">
        <f t="shared" ref="AK15:AT15" si="8">AJ15*(1+$AU15)</f>
        <v>2.5954204494751383</v>
      </c>
      <c r="AL15" s="157">
        <f t="shared" si="8"/>
        <v>2.5760042453636331</v>
      </c>
      <c r="AM15" s="157">
        <f t="shared" si="8"/>
        <v>2.5567332928556494</v>
      </c>
      <c r="AN15" s="157">
        <f t="shared" si="8"/>
        <v>2.5376065053315684</v>
      </c>
      <c r="AO15" s="157">
        <f t="shared" si="8"/>
        <v>2.5186228043007142</v>
      </c>
      <c r="AP15" s="157">
        <f t="shared" si="8"/>
        <v>2.4997811193405437</v>
      </c>
      <c r="AQ15" s="157">
        <f t="shared" si="8"/>
        <v>2.4810803880362888</v>
      </c>
      <c r="AR15" s="157">
        <f t="shared" si="8"/>
        <v>2.46251955592105</v>
      </c>
      <c r="AS15" s="157">
        <f t="shared" si="8"/>
        <v>2.4440975764163397</v>
      </c>
      <c r="AT15" s="157">
        <f t="shared" si="8"/>
        <v>2.4258134107730691</v>
      </c>
      <c r="AU15" s="172">
        <f t="shared" si="3"/>
        <v>-7.4809474955904731E-3</v>
      </c>
      <c r="AV15" s="158">
        <v>-8.0000000000000002E-3</v>
      </c>
    </row>
    <row r="16" spans="1:48">
      <c r="A16" t="s">
        <v>427</v>
      </c>
      <c r="B16" t="s">
        <v>428</v>
      </c>
      <c r="C16" t="s">
        <v>429</v>
      </c>
      <c r="D16" t="s">
        <v>405</v>
      </c>
      <c r="F16">
        <v>0.65997300000000003</v>
      </c>
      <c r="G16">
        <v>0.71646600000000005</v>
      </c>
      <c r="H16">
        <v>0.77257900000000002</v>
      </c>
      <c r="I16">
        <v>0.827264</v>
      </c>
      <c r="J16">
        <v>0.88132900000000003</v>
      </c>
      <c r="K16">
        <v>0.93704100000000001</v>
      </c>
      <c r="L16">
        <v>0.99289700000000003</v>
      </c>
      <c r="M16">
        <v>1.0476970000000001</v>
      </c>
      <c r="N16">
        <v>1.1015630000000001</v>
      </c>
      <c r="O16">
        <v>1.155224</v>
      </c>
      <c r="P16">
        <v>1.208774</v>
      </c>
      <c r="Q16">
        <v>1.2619610000000001</v>
      </c>
      <c r="R16">
        <v>1.315501</v>
      </c>
      <c r="S16">
        <v>1.369143</v>
      </c>
      <c r="T16">
        <v>1.4225589999999999</v>
      </c>
      <c r="U16">
        <v>1.4764870000000001</v>
      </c>
      <c r="V16">
        <v>1.5307980000000001</v>
      </c>
      <c r="W16">
        <v>1.583866</v>
      </c>
      <c r="X16">
        <v>1.635591</v>
      </c>
      <c r="Y16">
        <v>1.6860280000000001</v>
      </c>
      <c r="Z16">
        <v>1.7364900000000001</v>
      </c>
      <c r="AA16">
        <v>1.785776</v>
      </c>
      <c r="AB16">
        <v>1.8337220000000001</v>
      </c>
      <c r="AC16">
        <v>1.8805499999999999</v>
      </c>
      <c r="AD16">
        <v>1.9263250000000001</v>
      </c>
      <c r="AE16">
        <v>1.970899</v>
      </c>
      <c r="AF16">
        <v>2.0144319999999998</v>
      </c>
      <c r="AG16">
        <v>2.0579830000000001</v>
      </c>
      <c r="AH16">
        <v>2.101467</v>
      </c>
      <c r="AI16">
        <v>2.1451850000000001</v>
      </c>
      <c r="AJ16">
        <v>2.1891949999999998</v>
      </c>
      <c r="AK16">
        <f t="shared" ref="AK16:AT16" si="9">AJ16*(1+$AU16)</f>
        <v>2.2341078965333989</v>
      </c>
      <c r="AL16">
        <f t="shared" si="9"/>
        <v>2.2799422131664326</v>
      </c>
      <c r="AM16">
        <f t="shared" si="9"/>
        <v>2.3267168534895069</v>
      </c>
      <c r="AN16">
        <f t="shared" si="9"/>
        <v>2.3744511089136648</v>
      </c>
      <c r="AO16">
        <f t="shared" si="9"/>
        <v>2.4231646666270041</v>
      </c>
      <c r="AP16">
        <f t="shared" si="9"/>
        <v>2.4728776177143246</v>
      </c>
      <c r="AQ16">
        <f t="shared" si="9"/>
        <v>2.5236104654433582</v>
      </c>
      <c r="AR16">
        <f t="shared" si="9"/>
        <v>2.5753841337209948</v>
      </c>
      <c r="AS16">
        <f t="shared" si="9"/>
        <v>2.6282199757229949</v>
      </c>
      <c r="AT16">
        <f t="shared" si="9"/>
        <v>2.6821397827007467</v>
      </c>
      <c r="AU16" s="167">
        <f t="shared" si="3"/>
        <v>2.0515713097005506E-2</v>
      </c>
      <c r="AV16" s="140">
        <v>4.1000000000000002E-2</v>
      </c>
    </row>
    <row r="17" spans="1:48">
      <c r="A17" t="s">
        <v>430</v>
      </c>
      <c r="B17" t="s">
        <v>431</v>
      </c>
      <c r="C17" t="s">
        <v>432</v>
      </c>
      <c r="D17" t="s">
        <v>405</v>
      </c>
      <c r="F17">
        <v>119.42347700000001</v>
      </c>
      <c r="G17">
        <v>120.524681</v>
      </c>
      <c r="H17">
        <v>121.627701</v>
      </c>
      <c r="I17">
        <v>122.722008</v>
      </c>
      <c r="J17">
        <v>123.845825</v>
      </c>
      <c r="K17">
        <v>125.03068500000001</v>
      </c>
      <c r="L17">
        <v>126.216904</v>
      </c>
      <c r="M17">
        <v>127.342583</v>
      </c>
      <c r="N17">
        <v>128.414795</v>
      </c>
      <c r="O17">
        <v>129.44909699999999</v>
      </c>
      <c r="P17">
        <v>130.44574</v>
      </c>
      <c r="Q17">
        <v>131.400452</v>
      </c>
      <c r="R17">
        <v>132.33427399999999</v>
      </c>
      <c r="S17">
        <v>133.237717</v>
      </c>
      <c r="T17">
        <v>134.106323</v>
      </c>
      <c r="U17">
        <v>134.97709699999999</v>
      </c>
      <c r="V17">
        <v>135.837143</v>
      </c>
      <c r="W17">
        <v>136.68675200000001</v>
      </c>
      <c r="X17">
        <v>137.529495</v>
      </c>
      <c r="Y17">
        <v>138.36917099999999</v>
      </c>
      <c r="Z17">
        <v>139.219864</v>
      </c>
      <c r="AA17">
        <v>140.073105</v>
      </c>
      <c r="AB17">
        <v>140.92484999999999</v>
      </c>
      <c r="AC17">
        <v>141.77932699999999</v>
      </c>
      <c r="AD17">
        <v>142.63420099999999</v>
      </c>
      <c r="AE17">
        <v>143.49211099999999</v>
      </c>
      <c r="AF17">
        <v>144.352417</v>
      </c>
      <c r="AG17">
        <v>145.20448300000001</v>
      </c>
      <c r="AH17">
        <v>146.052246</v>
      </c>
      <c r="AI17">
        <v>146.90370200000001</v>
      </c>
      <c r="AJ17">
        <v>147.75945999999999</v>
      </c>
      <c r="AK17">
        <f t="shared" ref="AK17:AT17" si="10">AJ17*(1+$AU17)</f>
        <v>148.62020304628945</v>
      </c>
      <c r="AL17">
        <f t="shared" si="10"/>
        <v>149.48596017825395</v>
      </c>
      <c r="AM17">
        <f t="shared" si="10"/>
        <v>150.35676060444212</v>
      </c>
      <c r="AN17">
        <f t="shared" si="10"/>
        <v>151.23263370355119</v>
      </c>
      <c r="AO17">
        <f t="shared" si="10"/>
        <v>152.11360902541804</v>
      </c>
      <c r="AP17">
        <f t="shared" si="10"/>
        <v>152.99971629201622</v>
      </c>
      <c r="AQ17">
        <f t="shared" si="10"/>
        <v>153.89098539845864</v>
      </c>
      <c r="AR17">
        <f t="shared" si="10"/>
        <v>154.78744641400618</v>
      </c>
      <c r="AS17">
        <f t="shared" si="10"/>
        <v>155.68912958308218</v>
      </c>
      <c r="AT17">
        <f t="shared" si="10"/>
        <v>156.59606532629277</v>
      </c>
      <c r="AU17" s="167">
        <f t="shared" si="3"/>
        <v>5.8252990792566628E-3</v>
      </c>
      <c r="AV17" s="140">
        <v>7.0000000000000001E-3</v>
      </c>
    </row>
    <row r="18" spans="1:48">
      <c r="A18" t="s">
        <v>433</v>
      </c>
      <c r="C18" t="s">
        <v>434</v>
      </c>
      <c r="AU18" s="167"/>
    </row>
    <row r="19" spans="1:48">
      <c r="A19" t="s">
        <v>402</v>
      </c>
      <c r="B19" t="s">
        <v>435</v>
      </c>
      <c r="C19" t="s">
        <v>436</v>
      </c>
      <c r="D19" t="s">
        <v>405</v>
      </c>
      <c r="F19">
        <v>12.58821</v>
      </c>
      <c r="G19">
        <v>12.817232000000001</v>
      </c>
      <c r="H19">
        <v>13.044521</v>
      </c>
      <c r="I19">
        <v>13.267052</v>
      </c>
      <c r="J19">
        <v>13.495452999999999</v>
      </c>
      <c r="K19">
        <v>13.736794</v>
      </c>
      <c r="L19">
        <v>13.979755000000001</v>
      </c>
      <c r="M19">
        <v>14.211933999999999</v>
      </c>
      <c r="N19">
        <v>14.434671</v>
      </c>
      <c r="O19">
        <v>14.650883</v>
      </c>
      <c r="P19">
        <v>14.860855000000001</v>
      </c>
      <c r="Q19">
        <v>15.063212</v>
      </c>
      <c r="R19">
        <v>15.261856</v>
      </c>
      <c r="S19">
        <v>15.455102</v>
      </c>
      <c r="T19">
        <v>15.642369</v>
      </c>
      <c r="U19">
        <v>15.830916</v>
      </c>
      <c r="V19">
        <v>16.018830999999999</v>
      </c>
      <c r="W19">
        <v>16.206320000000002</v>
      </c>
      <c r="X19">
        <v>16.391672</v>
      </c>
      <c r="Y19">
        <v>16.575872</v>
      </c>
      <c r="Z19">
        <v>16.761606</v>
      </c>
      <c r="AA19">
        <v>16.947831999999998</v>
      </c>
      <c r="AB19">
        <v>17.134930000000001</v>
      </c>
      <c r="AC19">
        <v>17.323732</v>
      </c>
      <c r="AD19">
        <v>17.513722999999999</v>
      </c>
      <c r="AE19">
        <v>17.705347</v>
      </c>
      <c r="AF19">
        <v>17.898478999999998</v>
      </c>
      <c r="AG19">
        <v>18.0916</v>
      </c>
      <c r="AH19">
        <v>18.28528</v>
      </c>
      <c r="AI19">
        <v>18.480937999999998</v>
      </c>
      <c r="AJ19">
        <v>18.678595999999999</v>
      </c>
      <c r="AK19">
        <f t="shared" ref="AK19:AT19" si="11">AJ19*(1+$AU19)</f>
        <v>18.878367999027752</v>
      </c>
      <c r="AL19">
        <f t="shared" si="11"/>
        <v>19.080276606802521</v>
      </c>
      <c r="AM19">
        <f t="shared" si="11"/>
        <v>19.284344674859856</v>
      </c>
      <c r="AN19">
        <f t="shared" si="11"/>
        <v>19.49059529913788</v>
      </c>
      <c r="AO19">
        <f t="shared" si="11"/>
        <v>19.699051822591233</v>
      </c>
      <c r="AP19">
        <f t="shared" si="11"/>
        <v>19.909737837832978</v>
      </c>
      <c r="AQ19">
        <f t="shared" si="11"/>
        <v>20.122677189804744</v>
      </c>
      <c r="AR19">
        <f t="shared" si="11"/>
        <v>20.337893978475449</v>
      </c>
      <c r="AS19">
        <f t="shared" si="11"/>
        <v>20.555412561568879</v>
      </c>
      <c r="AT19">
        <f t="shared" si="11"/>
        <v>20.775257557320426</v>
      </c>
      <c r="AU19" s="167">
        <f t="shared" si="3"/>
        <v>1.0695236356509596E-2</v>
      </c>
      <c r="AV19" s="140">
        <v>1.2999999999999999E-2</v>
      </c>
    </row>
    <row r="20" spans="1:48">
      <c r="A20" t="s">
        <v>409</v>
      </c>
      <c r="B20" t="s">
        <v>437</v>
      </c>
      <c r="C20" t="s">
        <v>438</v>
      </c>
      <c r="D20" t="s">
        <v>405</v>
      </c>
      <c r="F20">
        <v>1.3117239999999999</v>
      </c>
      <c r="G20">
        <v>1.3096140000000001</v>
      </c>
      <c r="H20">
        <v>1.307512</v>
      </c>
      <c r="I20">
        <v>1.305418</v>
      </c>
      <c r="J20">
        <v>1.3033330000000001</v>
      </c>
      <c r="K20">
        <v>1.301256</v>
      </c>
      <c r="L20">
        <v>1.2991870000000001</v>
      </c>
      <c r="M20">
        <v>1.297126</v>
      </c>
      <c r="N20">
        <v>1.2950729999999999</v>
      </c>
      <c r="O20">
        <v>1.2930280000000001</v>
      </c>
      <c r="P20">
        <v>1.2909900000000001</v>
      </c>
      <c r="Q20">
        <v>1.288961</v>
      </c>
      <c r="R20">
        <v>1.2869390000000001</v>
      </c>
      <c r="S20">
        <v>1.284924</v>
      </c>
      <c r="T20">
        <v>1.2829170000000001</v>
      </c>
      <c r="U20">
        <v>1.2809170000000001</v>
      </c>
      <c r="V20">
        <v>1.2789250000000001</v>
      </c>
      <c r="W20">
        <v>1.27694</v>
      </c>
      <c r="X20">
        <v>1.2749619999999999</v>
      </c>
      <c r="Y20">
        <v>1.272991</v>
      </c>
      <c r="Z20">
        <v>1.2710269999999999</v>
      </c>
      <c r="AA20">
        <v>1.2690699999999999</v>
      </c>
      <c r="AB20">
        <v>1.26712</v>
      </c>
      <c r="AC20">
        <v>1.2651760000000001</v>
      </c>
      <c r="AD20">
        <v>1.263239</v>
      </c>
      <c r="AE20">
        <v>1.261309</v>
      </c>
      <c r="AF20">
        <v>1.2593859999999999</v>
      </c>
      <c r="AG20">
        <v>1.2574689999999999</v>
      </c>
      <c r="AH20">
        <v>1.255558</v>
      </c>
      <c r="AI20">
        <v>1.253654</v>
      </c>
      <c r="AJ20">
        <v>1.2517560000000001</v>
      </c>
      <c r="AK20">
        <f t="shared" ref="AK20:AT20" si="12">AJ20*(1+$AU20)</f>
        <v>1.2498608735233168</v>
      </c>
      <c r="AL20">
        <f t="shared" si="12"/>
        <v>1.2479686162195094</v>
      </c>
      <c r="AM20">
        <f t="shared" si="12"/>
        <v>1.246079223744724</v>
      </c>
      <c r="AN20">
        <f t="shared" si="12"/>
        <v>1.2441926917616828</v>
      </c>
      <c r="AO20">
        <f t="shared" si="12"/>
        <v>1.2423090159396748</v>
      </c>
      <c r="AP20">
        <f t="shared" si="12"/>
        <v>1.2404281919545455</v>
      </c>
      <c r="AQ20">
        <f t="shared" si="12"/>
        <v>1.2385502154886867</v>
      </c>
      <c r="AR20">
        <f t="shared" si="12"/>
        <v>1.2366750822310275</v>
      </c>
      <c r="AS20">
        <f t="shared" si="12"/>
        <v>1.2348027878770236</v>
      </c>
      <c r="AT20">
        <f t="shared" si="12"/>
        <v>1.2329333281286476</v>
      </c>
      <c r="AU20" s="167">
        <f t="shared" si="3"/>
        <v>-1.5139743501795255E-3</v>
      </c>
      <c r="AV20" s="140">
        <v>-2E-3</v>
      </c>
    </row>
    <row r="21" spans="1:48">
      <c r="A21" t="s">
        <v>427</v>
      </c>
      <c r="B21" t="s">
        <v>439</v>
      </c>
      <c r="C21" t="s">
        <v>440</v>
      </c>
      <c r="D21" t="s">
        <v>405</v>
      </c>
      <c r="F21">
        <v>0.65997300000000003</v>
      </c>
      <c r="G21">
        <v>0.71646600000000005</v>
      </c>
      <c r="H21">
        <v>0.77257900000000002</v>
      </c>
      <c r="I21">
        <v>0.827264</v>
      </c>
      <c r="J21">
        <v>0.88132900000000003</v>
      </c>
      <c r="K21">
        <v>0.93703999999999998</v>
      </c>
      <c r="L21">
        <v>0.99289799999999995</v>
      </c>
      <c r="M21">
        <v>1.047698</v>
      </c>
      <c r="N21">
        <v>1.101564</v>
      </c>
      <c r="O21">
        <v>1.155224</v>
      </c>
      <c r="P21">
        <v>1.208774</v>
      </c>
      <c r="Q21">
        <v>1.26196</v>
      </c>
      <c r="R21">
        <v>1.315501</v>
      </c>
      <c r="S21">
        <v>1.3691439999999999</v>
      </c>
      <c r="T21">
        <v>1.4225589999999999</v>
      </c>
      <c r="U21">
        <v>1.476488</v>
      </c>
      <c r="V21">
        <v>1.530799</v>
      </c>
      <c r="W21">
        <v>1.583866</v>
      </c>
      <c r="X21">
        <v>1.635591</v>
      </c>
      <c r="Y21">
        <v>1.6860280000000001</v>
      </c>
      <c r="Z21">
        <v>1.7364900000000001</v>
      </c>
      <c r="AA21">
        <v>1.785776</v>
      </c>
      <c r="AB21">
        <v>1.8337220000000001</v>
      </c>
      <c r="AC21">
        <v>1.880549</v>
      </c>
      <c r="AD21">
        <v>1.9263250000000001</v>
      </c>
      <c r="AE21">
        <v>1.970899</v>
      </c>
      <c r="AF21">
        <v>2.0144319999999998</v>
      </c>
      <c r="AG21">
        <v>2.057982</v>
      </c>
      <c r="AH21">
        <v>2.101467</v>
      </c>
      <c r="AI21">
        <v>2.1451859999999998</v>
      </c>
      <c r="AJ21">
        <v>2.1891970000000001</v>
      </c>
      <c r="AK21">
        <f t="shared" ref="AK21:AT21" si="13">AJ21*(1+$AU21)</f>
        <v>2.2341109371443784</v>
      </c>
      <c r="AL21">
        <f t="shared" si="13"/>
        <v>2.2799463362448114</v>
      </c>
      <c r="AM21">
        <f t="shared" si="13"/>
        <v>2.3267221021711557</v>
      </c>
      <c r="AN21">
        <f t="shared" si="13"/>
        <v>2.3744575276487856</v>
      </c>
      <c r="AO21">
        <f t="shared" si="13"/>
        <v>2.4231723012159034</v>
      </c>
      <c r="AP21">
        <f t="shared" si="13"/>
        <v>2.472886515344102</v>
      </c>
      <c r="AQ21">
        <f t="shared" si="13"/>
        <v>2.5236206747255308</v>
      </c>
      <c r="AR21">
        <f t="shared" si="13"/>
        <v>2.5753957047300831</v>
      </c>
      <c r="AS21">
        <f t="shared" si="13"/>
        <v>2.6282329600360921</v>
      </c>
      <c r="AT21">
        <f t="shared" si="13"/>
        <v>2.6821542334380952</v>
      </c>
      <c r="AU21" s="167">
        <f t="shared" si="3"/>
        <v>2.0516169693443942E-2</v>
      </c>
      <c r="AV21" s="140">
        <v>4.1000000000000002E-2</v>
      </c>
    </row>
    <row r="22" spans="1:48">
      <c r="A22" t="s">
        <v>441</v>
      </c>
      <c r="B22" t="s">
        <v>442</v>
      </c>
      <c r="C22" t="s">
        <v>443</v>
      </c>
      <c r="D22" t="s">
        <v>405</v>
      </c>
      <c r="F22">
        <v>62.428100999999998</v>
      </c>
      <c r="G22">
        <v>63.953738999999999</v>
      </c>
      <c r="H22">
        <v>65.478301999999999</v>
      </c>
      <c r="I22">
        <v>66.994934000000001</v>
      </c>
      <c r="J22">
        <v>68.527229000000005</v>
      </c>
      <c r="K22">
        <v>70.095710999999994</v>
      </c>
      <c r="L22">
        <v>71.662970999999999</v>
      </c>
      <c r="M22">
        <v>73.190346000000005</v>
      </c>
      <c r="N22">
        <v>74.681777999999994</v>
      </c>
      <c r="O22">
        <v>76.147041000000002</v>
      </c>
      <c r="P22">
        <v>77.586067</v>
      </c>
      <c r="Q22">
        <v>78.996407000000005</v>
      </c>
      <c r="R22">
        <v>80.391295999999997</v>
      </c>
      <c r="S22">
        <v>81.764876999999998</v>
      </c>
      <c r="T22">
        <v>83.114211999999995</v>
      </c>
      <c r="U22">
        <v>84.462440000000001</v>
      </c>
      <c r="V22">
        <v>85.801651000000007</v>
      </c>
      <c r="W22">
        <v>87.131919999999994</v>
      </c>
      <c r="X22">
        <v>88.455451999999994</v>
      </c>
      <c r="Y22">
        <v>89.774467000000001</v>
      </c>
      <c r="Z22">
        <v>91.098304999999996</v>
      </c>
      <c r="AA22">
        <v>92.421654000000004</v>
      </c>
      <c r="AB22">
        <v>93.741837000000004</v>
      </c>
      <c r="AC22">
        <v>95.061736999999994</v>
      </c>
      <c r="AD22">
        <v>96.380211000000003</v>
      </c>
      <c r="AE22">
        <v>97.698593000000002</v>
      </c>
      <c r="AF22">
        <v>99.016754000000006</v>
      </c>
      <c r="AG22">
        <v>100.327713</v>
      </c>
      <c r="AH22">
        <v>101.633736</v>
      </c>
      <c r="AI22">
        <v>102.93985000000001</v>
      </c>
      <c r="AJ22">
        <v>104.246437</v>
      </c>
      <c r="AK22">
        <f t="shared" ref="AK22:AT22" si="14">AJ22*(1+$AU22)</f>
        <v>105.56960814684467</v>
      </c>
      <c r="AL22">
        <f t="shared" si="14"/>
        <v>106.90957393851585</v>
      </c>
      <c r="AM22">
        <f t="shared" si="14"/>
        <v>108.2665475447879</v>
      </c>
      <c r="AN22">
        <f t="shared" si="14"/>
        <v>109.6407448411401</v>
      </c>
      <c r="AO22">
        <f t="shared" si="14"/>
        <v>111.03238444309942</v>
      </c>
      <c r="AP22">
        <f t="shared" si="14"/>
        <v>112.44168774101908</v>
      </c>
      <c r="AQ22">
        <f t="shared" si="14"/>
        <v>113.8688789352988</v>
      </c>
      <c r="AR22">
        <f t="shared" si="14"/>
        <v>115.31418507205181</v>
      </c>
      <c r="AS22">
        <f t="shared" si="14"/>
        <v>116.77783607922481</v>
      </c>
      <c r="AT22">
        <f t="shared" si="14"/>
        <v>118.26006480317619</v>
      </c>
      <c r="AU22" s="167">
        <f t="shared" si="3"/>
        <v>1.2692722983373317E-2</v>
      </c>
      <c r="AV22" s="140">
        <v>1.7000000000000001E-2</v>
      </c>
    </row>
    <row r="23" spans="1:48">
      <c r="A23" t="s">
        <v>444</v>
      </c>
      <c r="B23" t="s">
        <v>445</v>
      </c>
      <c r="C23" t="s">
        <v>446</v>
      </c>
      <c r="D23" t="s">
        <v>405</v>
      </c>
      <c r="F23">
        <v>57.979027000000002</v>
      </c>
      <c r="G23">
        <v>57.968586000000002</v>
      </c>
      <c r="H23">
        <v>57.959606000000001</v>
      </c>
      <c r="I23">
        <v>57.952109999999998</v>
      </c>
      <c r="J23">
        <v>57.951487999999998</v>
      </c>
      <c r="K23">
        <v>57.960856999999997</v>
      </c>
      <c r="L23">
        <v>57.973193999999999</v>
      </c>
      <c r="M23">
        <v>57.977226000000002</v>
      </c>
      <c r="N23">
        <v>57.973315999999997</v>
      </c>
      <c r="O23">
        <v>57.963169000000001</v>
      </c>
      <c r="P23">
        <v>57.946998999999998</v>
      </c>
      <c r="Q23">
        <v>57.925327000000003</v>
      </c>
      <c r="R23">
        <v>57.901684000000003</v>
      </c>
      <c r="S23">
        <v>57.875652000000002</v>
      </c>
      <c r="T23">
        <v>57.847011999999999</v>
      </c>
      <c r="U23">
        <v>57.820740000000001</v>
      </c>
      <c r="V23">
        <v>57.795208000000002</v>
      </c>
      <c r="W23">
        <v>57.769427999999998</v>
      </c>
      <c r="X23">
        <v>57.743533999999997</v>
      </c>
      <c r="Y23">
        <v>57.718586000000002</v>
      </c>
      <c r="Z23">
        <v>57.696891999999998</v>
      </c>
      <c r="AA23">
        <v>57.677016999999999</v>
      </c>
      <c r="AB23">
        <v>57.658130999999997</v>
      </c>
      <c r="AC23">
        <v>57.640438000000003</v>
      </c>
      <c r="AD23">
        <v>57.623469999999998</v>
      </c>
      <c r="AE23">
        <v>57.607464</v>
      </c>
      <c r="AF23">
        <v>57.592182000000001</v>
      </c>
      <c r="AG23">
        <v>57.575733</v>
      </c>
      <c r="AH23">
        <v>57.558784000000003</v>
      </c>
      <c r="AI23">
        <v>57.54269</v>
      </c>
      <c r="AJ23">
        <v>57.527026999999997</v>
      </c>
      <c r="AK23">
        <f t="shared" ref="AK23:AT23" si="15">AJ23*(1+$AU23)</f>
        <v>57.51136826343587</v>
      </c>
      <c r="AL23">
        <f t="shared" si="15"/>
        <v>57.495713789147118</v>
      </c>
      <c r="AM23">
        <f t="shared" si="15"/>
        <v>57.480063575973567</v>
      </c>
      <c r="AN23">
        <f t="shared" si="15"/>
        <v>57.464417622755342</v>
      </c>
      <c r="AO23">
        <f t="shared" si="15"/>
        <v>57.4487759283329</v>
      </c>
      <c r="AP23">
        <f t="shared" si="15"/>
        <v>57.433138491546998</v>
      </c>
      <c r="AQ23">
        <f t="shared" si="15"/>
        <v>57.41750531123872</v>
      </c>
      <c r="AR23">
        <f t="shared" si="15"/>
        <v>57.401876386249462</v>
      </c>
      <c r="AS23">
        <f t="shared" si="15"/>
        <v>57.386251715420933</v>
      </c>
      <c r="AT23">
        <f t="shared" si="15"/>
        <v>57.37063129759516</v>
      </c>
      <c r="AU23" s="167">
        <f t="shared" si="3"/>
        <v>-2.7219791080335121E-4</v>
      </c>
      <c r="AV23" s="140">
        <v>0</v>
      </c>
    </row>
    <row r="24" spans="1:48">
      <c r="A24" t="s">
        <v>430</v>
      </c>
      <c r="B24" t="s">
        <v>447</v>
      </c>
      <c r="C24" t="s">
        <v>448</v>
      </c>
      <c r="D24" t="s">
        <v>405</v>
      </c>
      <c r="F24">
        <v>134.96704099999999</v>
      </c>
      <c r="G24">
        <v>136.76563999999999</v>
      </c>
      <c r="H24">
        <v>138.56251499999999</v>
      </c>
      <c r="I24">
        <v>140.34677099999999</v>
      </c>
      <c r="J24">
        <v>142.158829</v>
      </c>
      <c r="K24">
        <v>144.03166200000001</v>
      </c>
      <c r="L24">
        <v>145.908005</v>
      </c>
      <c r="M24">
        <v>147.724335</v>
      </c>
      <c r="N24">
        <v>149.48640399999999</v>
      </c>
      <c r="O24">
        <v>151.209351</v>
      </c>
      <c r="P24">
        <v>152.893677</v>
      </c>
      <c r="Q24">
        <v>154.53587300000001</v>
      </c>
      <c r="R24">
        <v>156.15727200000001</v>
      </c>
      <c r="S24">
        <v>157.749695</v>
      </c>
      <c r="T24">
        <v>159.309067</v>
      </c>
      <c r="U24">
        <v>160.87150600000001</v>
      </c>
      <c r="V24">
        <v>162.42541499999999</v>
      </c>
      <c r="W24">
        <v>163.96847500000001</v>
      </c>
      <c r="X24">
        <v>165.501205</v>
      </c>
      <c r="Y24">
        <v>167.027939</v>
      </c>
      <c r="Z24">
        <v>168.56433100000001</v>
      </c>
      <c r="AA24">
        <v>170.101349</v>
      </c>
      <c r="AB24">
        <v>171.63574199999999</v>
      </c>
      <c r="AC24">
        <v>173.17163099999999</v>
      </c>
      <c r="AD24">
        <v>174.70697000000001</v>
      </c>
      <c r="AE24">
        <v>176.243607</v>
      </c>
      <c r="AF24">
        <v>177.78123500000001</v>
      </c>
      <c r="AG24">
        <v>179.31050099999999</v>
      </c>
      <c r="AH24">
        <v>180.834824</v>
      </c>
      <c r="AI24">
        <v>182.36232000000001</v>
      </c>
      <c r="AJ24">
        <v>183.893021</v>
      </c>
      <c r="AK24">
        <f t="shared" ref="AK24:AT24" si="16">AJ24*(1+$AU24)</f>
        <v>185.43657029865841</v>
      </c>
      <c r="AL24">
        <f t="shared" si="16"/>
        <v>186.99307574119021</v>
      </c>
      <c r="AM24">
        <f t="shared" si="16"/>
        <v>188.56264607803453</v>
      </c>
      <c r="AN24">
        <f t="shared" si="16"/>
        <v>190.14539097245293</v>
      </c>
      <c r="AO24">
        <f t="shared" si="16"/>
        <v>191.74142100819125</v>
      </c>
      <c r="AP24">
        <f t="shared" si="16"/>
        <v>193.35084769720606</v>
      </c>
      <c r="AQ24">
        <f t="shared" si="16"/>
        <v>194.97378348745571</v>
      </c>
      <c r="AR24">
        <f t="shared" si="16"/>
        <v>196.61034177075695</v>
      </c>
      <c r="AS24">
        <f t="shared" si="16"/>
        <v>198.26063689070736</v>
      </c>
      <c r="AT24">
        <f t="shared" si="16"/>
        <v>199.92478415067444</v>
      </c>
      <c r="AU24" s="167">
        <f t="shared" si="3"/>
        <v>8.3937350654454956E-3</v>
      </c>
      <c r="AV24" s="140">
        <v>0.01</v>
      </c>
    </row>
    <row r="25" spans="1:48">
      <c r="A25" t="s">
        <v>449</v>
      </c>
      <c r="C25" t="s">
        <v>450</v>
      </c>
      <c r="AU25" s="167"/>
    </row>
    <row r="26" spans="1:48">
      <c r="A26" t="s">
        <v>451</v>
      </c>
      <c r="B26" t="s">
        <v>452</v>
      </c>
      <c r="C26" t="s">
        <v>453</v>
      </c>
      <c r="D26" t="s">
        <v>405</v>
      </c>
      <c r="F26">
        <v>59.144027999999999</v>
      </c>
      <c r="G26">
        <v>59.619999</v>
      </c>
      <c r="H26">
        <v>60.176490999999999</v>
      </c>
      <c r="I26">
        <v>60.701748000000002</v>
      </c>
      <c r="J26">
        <v>61.209899999999998</v>
      </c>
      <c r="K26">
        <v>61.717579000000001</v>
      </c>
      <c r="L26">
        <v>62.202168</v>
      </c>
      <c r="M26">
        <v>62.647765999999997</v>
      </c>
      <c r="N26">
        <v>63.054695000000002</v>
      </c>
      <c r="O26">
        <v>63.432338999999999</v>
      </c>
      <c r="P26">
        <v>63.788673000000003</v>
      </c>
      <c r="Q26">
        <v>64.143646000000004</v>
      </c>
      <c r="R26">
        <v>64.507957000000005</v>
      </c>
      <c r="S26">
        <v>64.874106999999995</v>
      </c>
      <c r="T26">
        <v>65.239677</v>
      </c>
      <c r="U26">
        <v>65.619101999999998</v>
      </c>
      <c r="V26">
        <v>66.004692000000006</v>
      </c>
      <c r="W26">
        <v>66.394569000000004</v>
      </c>
      <c r="X26">
        <v>66.788284000000004</v>
      </c>
      <c r="Y26">
        <v>67.176642999999999</v>
      </c>
      <c r="Z26">
        <v>67.565285000000003</v>
      </c>
      <c r="AA26">
        <v>67.950614999999999</v>
      </c>
      <c r="AB26">
        <v>68.332206999999997</v>
      </c>
      <c r="AC26">
        <v>68.711608999999996</v>
      </c>
      <c r="AD26">
        <v>69.088249000000005</v>
      </c>
      <c r="AE26">
        <v>69.464256000000006</v>
      </c>
      <c r="AF26">
        <v>69.840889000000004</v>
      </c>
      <c r="AG26">
        <v>70.214859000000004</v>
      </c>
      <c r="AH26">
        <v>70.589461999999997</v>
      </c>
      <c r="AI26">
        <v>70.970284000000007</v>
      </c>
      <c r="AJ26">
        <v>71.357269000000002</v>
      </c>
      <c r="AK26">
        <f t="shared" ref="AK26:AT26" si="17">AJ26*(1+$AU26)</f>
        <v>71.746364142186053</v>
      </c>
      <c r="AL26">
        <f t="shared" si="17"/>
        <v>72.137580932689005</v>
      </c>
      <c r="AM26">
        <f t="shared" si="17"/>
        <v>72.53093094038006</v>
      </c>
      <c r="AN26">
        <f t="shared" si="17"/>
        <v>72.926425797212843</v>
      </c>
      <c r="AO26">
        <f t="shared" si="17"/>
        <v>73.324077198567437</v>
      </c>
      <c r="AP26">
        <f t="shared" si="17"/>
        <v>73.723896903596199</v>
      </c>
      <c r="AQ26">
        <f t="shared" si="17"/>
        <v>74.125896735571473</v>
      </c>
      <c r="AR26">
        <f t="shared" si="17"/>
        <v>74.53008858223528</v>
      </c>
      <c r="AS26">
        <f t="shared" si="17"/>
        <v>74.936484396150803</v>
      </c>
      <c r="AT26">
        <f t="shared" si="17"/>
        <v>75.345096195055874</v>
      </c>
      <c r="AU26" s="167">
        <f t="shared" si="3"/>
        <v>5.4527751361399535E-3</v>
      </c>
      <c r="AV26" s="140">
        <v>6.0000000000000001E-3</v>
      </c>
    </row>
    <row r="27" spans="1:48" s="164" customFormat="1">
      <c r="A27" s="164" t="s">
        <v>454</v>
      </c>
      <c r="B27" s="164" t="s">
        <v>455</v>
      </c>
      <c r="C27" s="164" t="s">
        <v>456</v>
      </c>
      <c r="D27" s="164" t="s">
        <v>405</v>
      </c>
      <c r="F27" s="164">
        <v>60.065722999999998</v>
      </c>
      <c r="G27" s="164">
        <v>60.660274999999999</v>
      </c>
      <c r="H27" s="164">
        <v>61.304442999999999</v>
      </c>
      <c r="I27" s="164">
        <v>61.960425999999998</v>
      </c>
      <c r="J27" s="164">
        <v>62.648997999999999</v>
      </c>
      <c r="K27" s="164">
        <v>63.384193000000003</v>
      </c>
      <c r="L27" s="164">
        <v>64.132782000000006</v>
      </c>
      <c r="M27" s="164">
        <v>64.852920999999995</v>
      </c>
      <c r="N27" s="164">
        <v>65.551575</v>
      </c>
      <c r="O27" s="164">
        <v>66.234795000000005</v>
      </c>
      <c r="P27" s="164">
        <v>66.894508000000002</v>
      </c>
      <c r="Q27" s="164">
        <v>67.521645000000007</v>
      </c>
      <c r="R27" s="164">
        <v>68.124602999999993</v>
      </c>
      <c r="S27" s="164">
        <v>68.699837000000002</v>
      </c>
      <c r="T27" s="164">
        <v>69.24427</v>
      </c>
      <c r="U27" s="164">
        <v>69.778008</v>
      </c>
      <c r="V27" s="164">
        <v>70.294899000000001</v>
      </c>
      <c r="W27" s="164">
        <v>70.797225999999995</v>
      </c>
      <c r="X27" s="164">
        <v>71.288421999999997</v>
      </c>
      <c r="Y27" s="164">
        <v>71.778992000000002</v>
      </c>
      <c r="Z27" s="164">
        <v>72.277077000000006</v>
      </c>
      <c r="AA27" s="164">
        <v>72.777732999999998</v>
      </c>
      <c r="AB27" s="164">
        <v>73.277694999999994</v>
      </c>
      <c r="AC27" s="164">
        <v>73.779533000000001</v>
      </c>
      <c r="AD27" s="164">
        <v>74.282188000000005</v>
      </c>
      <c r="AE27" s="164">
        <v>74.786438000000004</v>
      </c>
      <c r="AF27" s="164">
        <v>75.290824999999998</v>
      </c>
      <c r="AG27" s="164">
        <v>75.789008999999993</v>
      </c>
      <c r="AH27" s="164">
        <v>76.281775999999994</v>
      </c>
      <c r="AI27" s="164">
        <v>76.771454000000006</v>
      </c>
      <c r="AJ27" s="164">
        <v>77.258735999999999</v>
      </c>
      <c r="AK27" s="164">
        <f t="shared" ref="AK27:AT27" si="18">AJ27*(1+$AU27)</f>
        <v>77.749110865057929</v>
      </c>
      <c r="AL27" s="164">
        <f t="shared" si="18"/>
        <v>78.242598226135485</v>
      </c>
      <c r="AM27" s="164">
        <f t="shared" si="18"/>
        <v>78.739217838795511</v>
      </c>
      <c r="AN27" s="164">
        <f t="shared" si="18"/>
        <v>79.238989583992932</v>
      </c>
      <c r="AO27" s="164">
        <f t="shared" si="18"/>
        <v>79.741933468870599</v>
      </c>
      <c r="AP27" s="164">
        <f t="shared" si="18"/>
        <v>80.248069627560227</v>
      </c>
      <c r="AQ27" s="164">
        <f t="shared" si="18"/>
        <v>80.757418321988453</v>
      </c>
      <c r="AR27" s="164">
        <f t="shared" si="18"/>
        <v>81.269999942687917</v>
      </c>
      <c r="AS27" s="164">
        <f t="shared" si="18"/>
        <v>81.785835009613606</v>
      </c>
      <c r="AT27" s="164">
        <f t="shared" si="18"/>
        <v>82.304944172964269</v>
      </c>
      <c r="AU27" s="173">
        <f t="shared" si="3"/>
        <v>6.3471769077083628E-3</v>
      </c>
      <c r="AV27" s="165">
        <v>8.0000000000000002E-3</v>
      </c>
    </row>
    <row r="28" spans="1:48" s="57" customFormat="1">
      <c r="A28" s="57" t="s">
        <v>415</v>
      </c>
      <c r="B28" s="57" t="s">
        <v>457</v>
      </c>
      <c r="C28" s="57" t="s">
        <v>458</v>
      </c>
      <c r="D28" s="57" t="s">
        <v>405</v>
      </c>
      <c r="F28" s="57">
        <v>2.6456879999999998</v>
      </c>
      <c r="G28" s="57">
        <v>2.600587</v>
      </c>
      <c r="H28" s="57">
        <v>2.5571359999999999</v>
      </c>
      <c r="I28" s="57">
        <v>2.5134560000000001</v>
      </c>
      <c r="J28" s="57">
        <v>2.4723449999999998</v>
      </c>
      <c r="K28" s="57">
        <v>2.435079</v>
      </c>
      <c r="L28" s="57">
        <v>2.399654</v>
      </c>
      <c r="M28" s="57">
        <v>2.3671799999999998</v>
      </c>
      <c r="N28" s="57">
        <v>2.3375910000000002</v>
      </c>
      <c r="O28" s="57">
        <v>2.3108580000000001</v>
      </c>
      <c r="P28" s="57">
        <v>2.286937</v>
      </c>
      <c r="Q28" s="57">
        <v>2.261104</v>
      </c>
      <c r="R28" s="57">
        <v>2.2334019999999999</v>
      </c>
      <c r="S28" s="57">
        <v>2.20452</v>
      </c>
      <c r="T28" s="57">
        <v>2.1747450000000002</v>
      </c>
      <c r="U28" s="57">
        <v>2.1445829999999999</v>
      </c>
      <c r="V28" s="57">
        <v>2.1145399999999999</v>
      </c>
      <c r="W28" s="57">
        <v>2.0846789999999999</v>
      </c>
      <c r="X28" s="57">
        <v>2.0552199999999998</v>
      </c>
      <c r="Y28" s="57">
        <v>2.0267590000000002</v>
      </c>
      <c r="Z28" s="57">
        <v>1.998826</v>
      </c>
      <c r="AA28" s="57">
        <v>1.9717880000000001</v>
      </c>
      <c r="AB28" s="57">
        <v>1.945657</v>
      </c>
      <c r="AC28" s="57">
        <v>1.9204319999999999</v>
      </c>
      <c r="AD28" s="57">
        <v>1.8959410000000001</v>
      </c>
      <c r="AE28" s="57">
        <v>1.8719920000000001</v>
      </c>
      <c r="AF28" s="57">
        <v>1.8485929999999999</v>
      </c>
      <c r="AG28" s="57">
        <v>1.8255950000000001</v>
      </c>
      <c r="AH28" s="57">
        <v>1.8029379999999999</v>
      </c>
      <c r="AI28" s="57">
        <v>1.780446</v>
      </c>
      <c r="AJ28" s="57">
        <v>1.7581979999999999</v>
      </c>
      <c r="AK28" s="57">
        <f t="shared" ref="AK28:AT28" si="19">AJ28*(1+$AU28)</f>
        <v>1.7362280053447281</v>
      </c>
      <c r="AL28" s="57">
        <f t="shared" si="19"/>
        <v>1.7145325421501636</v>
      </c>
      <c r="AM28" s="57">
        <f t="shared" si="19"/>
        <v>1.6931081799410559</v>
      </c>
      <c r="AN28" s="57">
        <f t="shared" si="19"/>
        <v>1.6719515311085</v>
      </c>
      <c r="AO28" s="57">
        <f t="shared" si="19"/>
        <v>1.6510592503742896</v>
      </c>
      <c r="AP28" s="57">
        <f t="shared" si="19"/>
        <v>1.630428034261963</v>
      </c>
      <c r="AQ28" s="57">
        <f t="shared" si="19"/>
        <v>1.6100546205744599</v>
      </c>
      <c r="AR28" s="57">
        <f t="shared" si="19"/>
        <v>1.5899357878783036</v>
      </c>
      <c r="AS28" s="57">
        <f t="shared" si="19"/>
        <v>1.5700683549942305</v>
      </c>
      <c r="AT28" s="57">
        <f t="shared" si="19"/>
        <v>1.5504491804941829</v>
      </c>
      <c r="AU28" s="174">
        <f t="shared" si="3"/>
        <v>-1.2495745448050655E-2</v>
      </c>
      <c r="AV28" s="166">
        <v>-1.4E-2</v>
      </c>
    </row>
    <row r="29" spans="1:48">
      <c r="A29" t="s">
        <v>418</v>
      </c>
      <c r="B29" t="s">
        <v>459</v>
      </c>
      <c r="C29" t="s">
        <v>460</v>
      </c>
      <c r="D29" t="s">
        <v>405</v>
      </c>
      <c r="F29">
        <v>4.0547959999999996</v>
      </c>
      <c r="G29">
        <v>3.9618359999999999</v>
      </c>
      <c r="H29">
        <v>3.8781409999999998</v>
      </c>
      <c r="I29">
        <v>3.8045849999999999</v>
      </c>
      <c r="J29">
        <v>3.742667</v>
      </c>
      <c r="K29">
        <v>3.69157</v>
      </c>
      <c r="L29">
        <v>3.649184</v>
      </c>
      <c r="M29">
        <v>3.6112730000000002</v>
      </c>
      <c r="N29">
        <v>3.577413</v>
      </c>
      <c r="O29">
        <v>3.547936</v>
      </c>
      <c r="P29">
        <v>3.5225230000000001</v>
      </c>
      <c r="Q29">
        <v>3.4911050000000001</v>
      </c>
      <c r="R29">
        <v>3.4553759999999998</v>
      </c>
      <c r="S29">
        <v>3.4164780000000001</v>
      </c>
      <c r="T29">
        <v>3.3752409999999999</v>
      </c>
      <c r="U29">
        <v>3.333834</v>
      </c>
      <c r="V29">
        <v>3.2926410000000002</v>
      </c>
      <c r="W29">
        <v>3.2515689999999999</v>
      </c>
      <c r="X29">
        <v>3.211201</v>
      </c>
      <c r="Y29">
        <v>3.172485</v>
      </c>
      <c r="Z29">
        <v>3.1364450000000001</v>
      </c>
      <c r="AA29">
        <v>3.102795</v>
      </c>
      <c r="AB29">
        <v>3.07125</v>
      </c>
      <c r="AC29">
        <v>3.0418609999999999</v>
      </c>
      <c r="AD29">
        <v>3.0142359999999999</v>
      </c>
      <c r="AE29">
        <v>2.9882209999999998</v>
      </c>
      <c r="AF29">
        <v>2.9634149999999999</v>
      </c>
      <c r="AG29">
        <v>2.939012</v>
      </c>
      <c r="AH29">
        <v>2.9149989999999999</v>
      </c>
      <c r="AI29">
        <v>2.8916379999999999</v>
      </c>
      <c r="AJ29">
        <v>2.8686690000000001</v>
      </c>
      <c r="AK29">
        <f t="shared" ref="AK29:AT29" si="20">AJ29*(1+$AU29)</f>
        <v>2.8458824484811034</v>
      </c>
      <c r="AL29">
        <f t="shared" si="20"/>
        <v>2.8232768962096362</v>
      </c>
      <c r="AM29">
        <f t="shared" si="20"/>
        <v>2.8008509054635478</v>
      </c>
      <c r="AN29">
        <f t="shared" si="20"/>
        <v>2.7786030499409717</v>
      </c>
      <c r="AO29">
        <f t="shared" si="20"/>
        <v>2.756531914669512</v>
      </c>
      <c r="AP29">
        <f t="shared" si="20"/>
        <v>2.7346360959162506</v>
      </c>
      <c r="AQ29">
        <f t="shared" si="20"/>
        <v>2.7129142010984695</v>
      </c>
      <c r="AR29">
        <f t="shared" si="20"/>
        <v>2.691364848695081</v>
      </c>
      <c r="AS29">
        <f t="shared" si="20"/>
        <v>2.6699866681587632</v>
      </c>
      <c r="AT29">
        <f t="shared" si="20"/>
        <v>2.648778299828793</v>
      </c>
      <c r="AU29" s="167">
        <f t="shared" si="3"/>
        <v>-7.9432487745698666E-3</v>
      </c>
      <c r="AV29" s="140">
        <v>-1.0999999999999999E-2</v>
      </c>
    </row>
    <row r="30" spans="1:48">
      <c r="A30" t="s">
        <v>461</v>
      </c>
      <c r="B30" t="s">
        <v>462</v>
      </c>
      <c r="C30" t="s">
        <v>463</v>
      </c>
      <c r="D30" t="s">
        <v>405</v>
      </c>
      <c r="F30">
        <v>1.6193390000000001</v>
      </c>
      <c r="G30">
        <v>1.767752</v>
      </c>
      <c r="H30">
        <v>1.7770330000000001</v>
      </c>
      <c r="I30">
        <v>1.787264</v>
      </c>
      <c r="J30">
        <v>1.7974699999999999</v>
      </c>
      <c r="K30">
        <v>1.8080339999999999</v>
      </c>
      <c r="L30">
        <v>1.819156</v>
      </c>
      <c r="M30">
        <v>1.8300380000000001</v>
      </c>
      <c r="N30">
        <v>1.8406849999999999</v>
      </c>
      <c r="O30">
        <v>1.8511219999999999</v>
      </c>
      <c r="P30">
        <v>1.8618410000000001</v>
      </c>
      <c r="Q30">
        <v>1.8727750000000001</v>
      </c>
      <c r="R30">
        <v>1.883872</v>
      </c>
      <c r="S30">
        <v>1.8949879999999999</v>
      </c>
      <c r="T30">
        <v>1.9060090000000001</v>
      </c>
      <c r="U30">
        <v>1.916758</v>
      </c>
      <c r="V30">
        <v>1.927217</v>
      </c>
      <c r="W30">
        <v>1.937276</v>
      </c>
      <c r="X30">
        <v>1.946888</v>
      </c>
      <c r="Y30">
        <v>1.956742</v>
      </c>
      <c r="Z30">
        <v>1.96678</v>
      </c>
      <c r="AA30">
        <v>1.9769669999999999</v>
      </c>
      <c r="AB30">
        <v>1.9872350000000001</v>
      </c>
      <c r="AC30">
        <v>1.997509</v>
      </c>
      <c r="AD30">
        <v>2.007803</v>
      </c>
      <c r="AE30">
        <v>2.0181</v>
      </c>
      <c r="AF30">
        <v>2.0283319999999998</v>
      </c>
      <c r="AG30">
        <v>2.0385089999999999</v>
      </c>
      <c r="AH30">
        <v>2.0485829999999998</v>
      </c>
      <c r="AI30">
        <v>2.0585230000000001</v>
      </c>
      <c r="AJ30">
        <v>2.0683660000000001</v>
      </c>
      <c r="AK30">
        <f t="shared" ref="AK30:AT30" si="21">AJ30*(1+$AU30)</f>
        <v>2.07825606512825</v>
      </c>
      <c r="AL30">
        <f t="shared" si="21"/>
        <v>2.0881934204305987</v>
      </c>
      <c r="AM30">
        <f t="shared" si="21"/>
        <v>2.098178292028972</v>
      </c>
      <c r="AN30">
        <f t="shared" si="21"/>
        <v>2.1082109071265158</v>
      </c>
      <c r="AO30">
        <f t="shared" si="21"/>
        <v>2.1182914940127668</v>
      </c>
      <c r="AP30">
        <f t="shared" si="21"/>
        <v>2.1284202820688476</v>
      </c>
      <c r="AQ30">
        <f t="shared" si="21"/>
        <v>2.1385975017726855</v>
      </c>
      <c r="AR30">
        <f t="shared" si="21"/>
        <v>2.1488233847042575</v>
      </c>
      <c r="AS30">
        <f t="shared" si="21"/>
        <v>2.1590981635508597</v>
      </c>
      <c r="AT30">
        <f t="shared" si="21"/>
        <v>2.1694220721124018</v>
      </c>
      <c r="AU30" s="167">
        <f t="shared" si="3"/>
        <v>4.7815836888875918E-3</v>
      </c>
      <c r="AV30" s="140">
        <v>8.0000000000000002E-3</v>
      </c>
    </row>
    <row r="31" spans="1:48">
      <c r="A31" t="s">
        <v>430</v>
      </c>
      <c r="B31" t="s">
        <v>464</v>
      </c>
      <c r="C31" t="s">
        <v>465</v>
      </c>
      <c r="D31" t="s">
        <v>405</v>
      </c>
      <c r="F31">
        <v>127.529572</v>
      </c>
      <c r="G31">
        <v>128.610443</v>
      </c>
      <c r="H31">
        <v>129.693253</v>
      </c>
      <c r="I31">
        <v>130.767471</v>
      </c>
      <c r="J31">
        <v>131.87138400000001</v>
      </c>
      <c r="K31">
        <v>133.03645299999999</v>
      </c>
      <c r="L31">
        <v>134.20294200000001</v>
      </c>
      <c r="M31">
        <v>135.30917400000001</v>
      </c>
      <c r="N31">
        <v>136.36193800000001</v>
      </c>
      <c r="O31">
        <v>137.37704500000001</v>
      </c>
      <c r="P31">
        <v>138.35449199999999</v>
      </c>
      <c r="Q31">
        <v>139.290268</v>
      </c>
      <c r="R31">
        <v>140.20521500000001</v>
      </c>
      <c r="S31">
        <v>141.08992000000001</v>
      </c>
      <c r="T31">
        <v>141.939941</v>
      </c>
      <c r="U31">
        <v>142.792282</v>
      </c>
      <c r="V31">
        <v>143.63398699999999</v>
      </c>
      <c r="W31">
        <v>144.46533199999999</v>
      </c>
      <c r="X31">
        <v>145.290009</v>
      </c>
      <c r="Y31">
        <v>146.11161799999999</v>
      </c>
      <c r="Z31">
        <v>146.944412</v>
      </c>
      <c r="AA31">
        <v>147.77990700000001</v>
      </c>
      <c r="AB31">
        <v>148.61402899999999</v>
      </c>
      <c r="AC31">
        <v>149.450943</v>
      </c>
      <c r="AD31">
        <v>150.28840600000001</v>
      </c>
      <c r="AE31">
        <v>151.12901299999999</v>
      </c>
      <c r="AF31">
        <v>151.97204600000001</v>
      </c>
      <c r="AG31">
        <v>152.80699200000001</v>
      </c>
      <c r="AH31">
        <v>153.637756</v>
      </c>
      <c r="AI31">
        <v>154.47232099999999</v>
      </c>
      <c r="AJ31">
        <v>155.311218</v>
      </c>
      <c r="AK31">
        <f t="shared" ref="AK31:AT31" si="22">AJ31*(1+$AU31)</f>
        <v>156.15467082056418</v>
      </c>
      <c r="AL31">
        <f t="shared" si="22"/>
        <v>157.00270420311014</v>
      </c>
      <c r="AM31">
        <f t="shared" si="22"/>
        <v>157.85534302341941</v>
      </c>
      <c r="AN31">
        <f t="shared" si="22"/>
        <v>158.71261229236706</v>
      </c>
      <c r="AO31">
        <f t="shared" si="22"/>
        <v>159.5745371566554</v>
      </c>
      <c r="AP31">
        <f t="shared" si="22"/>
        <v>160.44114289955161</v>
      </c>
      <c r="AQ31">
        <f t="shared" si="22"/>
        <v>161.31245494162937</v>
      </c>
      <c r="AR31">
        <f t="shared" si="22"/>
        <v>162.18849884151462</v>
      </c>
      <c r="AS31">
        <f t="shared" si="22"/>
        <v>163.06930029663516</v>
      </c>
      <c r="AT31">
        <f t="shared" si="22"/>
        <v>163.95488514397454</v>
      </c>
      <c r="AU31" s="167">
        <f t="shared" si="3"/>
        <v>5.4307269714681805E-3</v>
      </c>
      <c r="AV31" s="140">
        <v>7.0000000000000001E-3</v>
      </c>
    </row>
    <row r="32" spans="1:48">
      <c r="A32" t="s">
        <v>466</v>
      </c>
      <c r="C32" t="s">
        <v>467</v>
      </c>
      <c r="AU32" s="167"/>
    </row>
    <row r="33" spans="1:48">
      <c r="A33" t="s">
        <v>451</v>
      </c>
      <c r="B33" t="s">
        <v>468</v>
      </c>
      <c r="C33" t="s">
        <v>469</v>
      </c>
      <c r="D33" t="s">
        <v>405</v>
      </c>
      <c r="F33">
        <v>96.368851000000006</v>
      </c>
      <c r="G33">
        <v>96.942863000000003</v>
      </c>
      <c r="H33">
        <v>97.507462000000004</v>
      </c>
      <c r="I33">
        <v>98.056365999999997</v>
      </c>
      <c r="J33">
        <v>98.616669000000002</v>
      </c>
      <c r="K33">
        <v>99.209564</v>
      </c>
      <c r="L33">
        <v>99.791199000000006</v>
      </c>
      <c r="M33">
        <v>100.31636</v>
      </c>
      <c r="N33">
        <v>100.789635</v>
      </c>
      <c r="O33">
        <v>101.19667800000001</v>
      </c>
      <c r="P33">
        <v>101.536362</v>
      </c>
      <c r="Q33">
        <v>101.79644</v>
      </c>
      <c r="R33">
        <v>101.98788500000001</v>
      </c>
      <c r="S33">
        <v>102.187881</v>
      </c>
      <c r="T33">
        <v>102.419067</v>
      </c>
      <c r="U33">
        <v>102.710167</v>
      </c>
      <c r="V33">
        <v>103.062271</v>
      </c>
      <c r="W33">
        <v>103.47982</v>
      </c>
      <c r="X33">
        <v>103.88201100000001</v>
      </c>
      <c r="Y33">
        <v>104.271179</v>
      </c>
      <c r="Z33">
        <v>104.65609000000001</v>
      </c>
      <c r="AA33">
        <v>105.03009</v>
      </c>
      <c r="AB33">
        <v>105.389923</v>
      </c>
      <c r="AC33">
        <v>105.73807499999999</v>
      </c>
      <c r="AD33">
        <v>106.07283</v>
      </c>
      <c r="AE33">
        <v>106.398094</v>
      </c>
      <c r="AF33">
        <v>106.715919</v>
      </c>
      <c r="AG33">
        <v>107.02323199999999</v>
      </c>
      <c r="AH33">
        <v>107.32764400000001</v>
      </c>
      <c r="AI33">
        <v>107.639938</v>
      </c>
      <c r="AJ33">
        <v>107.96523999999999</v>
      </c>
      <c r="AK33">
        <f t="shared" ref="AK33:AT33" si="23">AJ33*(1+$AU33)</f>
        <v>108.29152510527828</v>
      </c>
      <c r="AL33">
        <f t="shared" si="23"/>
        <v>108.61879628690788</v>
      </c>
      <c r="AM33">
        <f t="shared" si="23"/>
        <v>108.94705652494075</v>
      </c>
      <c r="AN33">
        <f t="shared" si="23"/>
        <v>109.27630880843496</v>
      </c>
      <c r="AO33">
        <f t="shared" si="23"/>
        <v>109.60655613548192</v>
      </c>
      <c r="AP33">
        <f t="shared" si="23"/>
        <v>109.93780151323367</v>
      </c>
      <c r="AQ33">
        <f t="shared" si="23"/>
        <v>110.27004795793022</v>
      </c>
      <c r="AR33">
        <f t="shared" si="23"/>
        <v>110.60329849492709</v>
      </c>
      <c r="AS33">
        <f t="shared" si="23"/>
        <v>110.9375561587228</v>
      </c>
      <c r="AT33">
        <f t="shared" si="23"/>
        <v>111.27282399298655</v>
      </c>
      <c r="AU33" s="167">
        <f t="shared" si="3"/>
        <v>3.0221310606848295E-3</v>
      </c>
      <c r="AV33" s="140">
        <v>4.0000000000000001E-3</v>
      </c>
    </row>
    <row r="34" spans="1:48">
      <c r="A34" t="s">
        <v>454</v>
      </c>
      <c r="B34" t="s">
        <v>470</v>
      </c>
      <c r="C34" t="s">
        <v>471</v>
      </c>
      <c r="D34" t="s">
        <v>405</v>
      </c>
      <c r="F34">
        <v>47.877865</v>
      </c>
      <c r="G34">
        <v>48.362202000000003</v>
      </c>
      <c r="H34">
        <v>48.858322000000001</v>
      </c>
      <c r="I34">
        <v>49.361767</v>
      </c>
      <c r="J34">
        <v>49.882469</v>
      </c>
      <c r="K34">
        <v>50.430579999999999</v>
      </c>
      <c r="L34">
        <v>50.992686999999997</v>
      </c>
      <c r="M34">
        <v>51.556804999999997</v>
      </c>
      <c r="N34">
        <v>52.125301</v>
      </c>
      <c r="O34">
        <v>52.727885999999998</v>
      </c>
      <c r="P34">
        <v>53.365760999999999</v>
      </c>
      <c r="Q34">
        <v>54.045799000000002</v>
      </c>
      <c r="R34">
        <v>54.776046999999998</v>
      </c>
      <c r="S34">
        <v>55.464072999999999</v>
      </c>
      <c r="T34">
        <v>56.082934999999999</v>
      </c>
      <c r="U34">
        <v>56.639285999999998</v>
      </c>
      <c r="V34">
        <v>57.119819999999997</v>
      </c>
      <c r="W34">
        <v>57.520823999999998</v>
      </c>
      <c r="X34">
        <v>57.932938</v>
      </c>
      <c r="Y34">
        <v>58.357017999999997</v>
      </c>
      <c r="Z34">
        <v>58.798096000000001</v>
      </c>
      <c r="AA34">
        <v>59.254615999999999</v>
      </c>
      <c r="AB34">
        <v>59.725676999999997</v>
      </c>
      <c r="AC34">
        <v>60.212387</v>
      </c>
      <c r="AD34">
        <v>60.713413000000003</v>
      </c>
      <c r="AE34">
        <v>61.226475000000001</v>
      </c>
      <c r="AF34">
        <v>61.748218999999999</v>
      </c>
      <c r="AG34">
        <v>62.271155999999998</v>
      </c>
      <c r="AH34">
        <v>62.791274999999999</v>
      </c>
      <c r="AI34">
        <v>63.305855000000001</v>
      </c>
      <c r="AJ34">
        <v>63.811348000000002</v>
      </c>
      <c r="AK34">
        <f t="shared" ref="AK34:AT34" si="24">AJ34*(1+$AU34)</f>
        <v>64.320877327651672</v>
      </c>
      <c r="AL34">
        <f t="shared" si="24"/>
        <v>64.834475212760196</v>
      </c>
      <c r="AM34">
        <f t="shared" si="24"/>
        <v>65.352174142483591</v>
      </c>
      <c r="AN34">
        <f t="shared" si="24"/>
        <v>65.874006863387635</v>
      </c>
      <c r="AO34">
        <f t="shared" si="24"/>
        <v>66.400006383517251</v>
      </c>
      <c r="AP34">
        <f t="shared" si="24"/>
        <v>66.930205974484366</v>
      </c>
      <c r="AQ34">
        <f t="shared" si="24"/>
        <v>67.464639173572522</v>
      </c>
      <c r="AR34">
        <f t="shared" si="24"/>
        <v>68.003339785858188</v>
      </c>
      <c r="AS34">
        <f t="shared" si="24"/>
        <v>68.546341886349097</v>
      </c>
      <c r="AT34">
        <f t="shared" si="24"/>
        <v>69.093679822139663</v>
      </c>
      <c r="AU34" s="167">
        <f t="shared" si="3"/>
        <v>7.9849328312524559E-3</v>
      </c>
      <c r="AV34" s="140">
        <v>0.01</v>
      </c>
    </row>
    <row r="35" spans="1:48">
      <c r="A35" t="s">
        <v>418</v>
      </c>
      <c r="B35" t="s">
        <v>472</v>
      </c>
      <c r="C35" t="s">
        <v>473</v>
      </c>
      <c r="D35" t="s">
        <v>405</v>
      </c>
      <c r="F35">
        <v>7.1852200000000002</v>
      </c>
      <c r="G35">
        <v>7.1718270000000004</v>
      </c>
      <c r="H35">
        <v>7.158296</v>
      </c>
      <c r="I35">
        <v>7.1446820000000004</v>
      </c>
      <c r="J35">
        <v>7.1322359999999998</v>
      </c>
      <c r="K35">
        <v>7.12113</v>
      </c>
      <c r="L35">
        <v>7.1089130000000003</v>
      </c>
      <c r="M35">
        <v>7.0909709999999997</v>
      </c>
      <c r="N35">
        <v>7.067329</v>
      </c>
      <c r="O35">
        <v>7.0382470000000001</v>
      </c>
      <c r="P35">
        <v>7.0037969999999996</v>
      </c>
      <c r="Q35">
        <v>6.9652440000000002</v>
      </c>
      <c r="R35">
        <v>6.9244389999999996</v>
      </c>
      <c r="S35">
        <v>6.8872159999999996</v>
      </c>
      <c r="T35">
        <v>6.85351</v>
      </c>
      <c r="U35">
        <v>6.8246789999999997</v>
      </c>
      <c r="V35">
        <v>6.8003499999999999</v>
      </c>
      <c r="W35">
        <v>6.7797660000000004</v>
      </c>
      <c r="X35">
        <v>6.7569990000000004</v>
      </c>
      <c r="Y35">
        <v>6.73224</v>
      </c>
      <c r="Z35">
        <v>6.706143</v>
      </c>
      <c r="AA35">
        <v>6.6783429999999999</v>
      </c>
      <c r="AB35">
        <v>6.6489039999999999</v>
      </c>
      <c r="AC35">
        <v>6.6184820000000002</v>
      </c>
      <c r="AD35">
        <v>6.5877850000000002</v>
      </c>
      <c r="AE35">
        <v>6.5577540000000001</v>
      </c>
      <c r="AF35">
        <v>6.5291519999999998</v>
      </c>
      <c r="AG35">
        <v>6.5018909999999996</v>
      </c>
      <c r="AH35">
        <v>6.47621</v>
      </c>
      <c r="AI35">
        <v>6.4521269999999999</v>
      </c>
      <c r="AJ35">
        <v>6.4286390000000004</v>
      </c>
      <c r="AK35">
        <f t="shared" ref="AK35:AT35" si="25">AJ35*(1+$AU35)</f>
        <v>6.4052365045388919</v>
      </c>
      <c r="AL35">
        <f t="shared" si="25"/>
        <v>6.3819192023502325</v>
      </c>
      <c r="AM35">
        <f t="shared" si="25"/>
        <v>6.3586867833007004</v>
      </c>
      <c r="AN35">
        <f t="shared" si="25"/>
        <v>6.3355389383859668</v>
      </c>
      <c r="AO35">
        <f t="shared" si="25"/>
        <v>6.3124753597265872</v>
      </c>
      <c r="AP35">
        <f t="shared" si="25"/>
        <v>6.2894957405639058</v>
      </c>
      <c r="AQ35">
        <f t="shared" si="25"/>
        <v>6.2665997752559752</v>
      </c>
      <c r="AR35">
        <f t="shared" si="25"/>
        <v>6.2437871592734924</v>
      </c>
      <c r="AS35">
        <f t="shared" si="25"/>
        <v>6.2210575891957474</v>
      </c>
      <c r="AT35">
        <f t="shared" si="25"/>
        <v>6.1984107627065868</v>
      </c>
      <c r="AU35" s="167">
        <f t="shared" si="3"/>
        <v>-3.6403499187166455E-3</v>
      </c>
      <c r="AV35" s="140">
        <v>-4.0000000000000001E-3</v>
      </c>
    </row>
    <row r="36" spans="1:48">
      <c r="A36" t="s">
        <v>430</v>
      </c>
      <c r="B36" t="s">
        <v>474</v>
      </c>
      <c r="C36" t="s">
        <v>475</v>
      </c>
      <c r="D36" t="s">
        <v>405</v>
      </c>
      <c r="F36">
        <v>151.43194600000001</v>
      </c>
      <c r="G36">
        <v>152.47689800000001</v>
      </c>
      <c r="H36">
        <v>153.524078</v>
      </c>
      <c r="I36">
        <v>154.56281999999999</v>
      </c>
      <c r="J36">
        <v>155.63137800000001</v>
      </c>
      <c r="K36">
        <v>156.76126099999999</v>
      </c>
      <c r="L36">
        <v>157.892807</v>
      </c>
      <c r="M36">
        <v>158.96414200000001</v>
      </c>
      <c r="N36">
        <v>159.98225400000001</v>
      </c>
      <c r="O36">
        <v>160.96281400000001</v>
      </c>
      <c r="P36">
        <v>161.90593000000001</v>
      </c>
      <c r="Q36">
        <v>162.80748</v>
      </c>
      <c r="R36">
        <v>163.68836999999999</v>
      </c>
      <c r="S36">
        <v>164.53916899999999</v>
      </c>
      <c r="T36">
        <v>165.355515</v>
      </c>
      <c r="U36">
        <v>166.17413300000001</v>
      </c>
      <c r="V36">
        <v>166.98245199999999</v>
      </c>
      <c r="W36">
        <v>167.78041099999999</v>
      </c>
      <c r="X36">
        <v>168.571945</v>
      </c>
      <c r="Y36">
        <v>169.360443</v>
      </c>
      <c r="Z36">
        <v>170.16033899999999</v>
      </c>
      <c r="AA36">
        <v>170.963043</v>
      </c>
      <c r="AB36">
        <v>171.764511</v>
      </c>
      <c r="AC36">
        <v>172.56895399999999</v>
      </c>
      <c r="AD36">
        <v>173.37402299999999</v>
      </c>
      <c r="AE36">
        <v>174.18232699999999</v>
      </c>
      <c r="AF36">
        <v>174.993301</v>
      </c>
      <c r="AG36">
        <v>175.79628</v>
      </c>
      <c r="AH36">
        <v>176.59513899999999</v>
      </c>
      <c r="AI36">
        <v>177.39793399999999</v>
      </c>
      <c r="AJ36">
        <v>178.20521500000001</v>
      </c>
      <c r="AK36">
        <f t="shared" ref="AK36:AT36" si="26">AJ36*(1+$AU36)</f>
        <v>179.0161696764531</v>
      </c>
      <c r="AL36">
        <f t="shared" si="26"/>
        <v>179.8308147470805</v>
      </c>
      <c r="AM36">
        <f t="shared" si="26"/>
        <v>180.64916700568031</v>
      </c>
      <c r="AN36">
        <f t="shared" si="26"/>
        <v>181.47124332247392</v>
      </c>
      <c r="AO36">
        <f t="shared" si="26"/>
        <v>182.29706064445364</v>
      </c>
      <c r="AP36">
        <f t="shared" si="26"/>
        <v>183.12663599573207</v>
      </c>
      <c r="AQ36">
        <f t="shared" si="26"/>
        <v>183.95998647789312</v>
      </c>
      <c r="AR36">
        <f t="shared" si="26"/>
        <v>184.7971292703445</v>
      </c>
      <c r="AS36">
        <f t="shared" si="26"/>
        <v>185.63808163067185</v>
      </c>
      <c r="AT36">
        <f t="shared" si="26"/>
        <v>186.48286089499459</v>
      </c>
      <c r="AU36" s="167">
        <f t="shared" si="3"/>
        <v>4.5506787018163575E-3</v>
      </c>
      <c r="AV36" s="140">
        <v>5.0000000000000001E-3</v>
      </c>
    </row>
    <row r="37" spans="1:48">
      <c r="A37" t="s">
        <v>476</v>
      </c>
      <c r="C37" t="s">
        <v>477</v>
      </c>
      <c r="AU37" s="167"/>
    </row>
    <row r="38" spans="1:48">
      <c r="A38" t="s">
        <v>451</v>
      </c>
      <c r="B38" t="s">
        <v>478</v>
      </c>
      <c r="C38" t="s">
        <v>479</v>
      </c>
      <c r="D38" t="s">
        <v>405</v>
      </c>
      <c r="F38">
        <v>82.851837000000003</v>
      </c>
      <c r="G38">
        <v>84.434746000000004</v>
      </c>
      <c r="H38">
        <v>86.008148000000006</v>
      </c>
      <c r="I38">
        <v>87.561713999999995</v>
      </c>
      <c r="J38">
        <v>89.123633999999996</v>
      </c>
      <c r="K38">
        <v>90.742928000000006</v>
      </c>
      <c r="L38">
        <v>92.341605999999999</v>
      </c>
      <c r="M38">
        <v>93.879135000000005</v>
      </c>
      <c r="N38">
        <v>95.373092999999997</v>
      </c>
      <c r="O38">
        <v>96.835007000000004</v>
      </c>
      <c r="P38">
        <v>98.266113000000004</v>
      </c>
      <c r="Q38">
        <v>99.661925999999994</v>
      </c>
      <c r="R38">
        <v>101.042542</v>
      </c>
      <c r="S38">
        <v>102.40239699999999</v>
      </c>
      <c r="T38">
        <v>103.776169</v>
      </c>
      <c r="U38">
        <v>105.163422</v>
      </c>
      <c r="V38">
        <v>106.554222</v>
      </c>
      <c r="W38">
        <v>107.922127</v>
      </c>
      <c r="X38">
        <v>109.27143100000001</v>
      </c>
      <c r="Y38">
        <v>110.60932200000001</v>
      </c>
      <c r="Z38">
        <v>111.948204</v>
      </c>
      <c r="AA38">
        <v>113.28167000000001</v>
      </c>
      <c r="AB38">
        <v>114.607574</v>
      </c>
      <c r="AC38">
        <v>115.932098</v>
      </c>
      <c r="AD38">
        <v>117.25569900000001</v>
      </c>
      <c r="AE38">
        <v>118.58107800000001</v>
      </c>
      <c r="AF38">
        <v>119.909531</v>
      </c>
      <c r="AG38">
        <v>121.230797</v>
      </c>
      <c r="AH38">
        <v>122.548157</v>
      </c>
      <c r="AI38">
        <v>123.869057</v>
      </c>
      <c r="AJ38">
        <v>125.19270299999999</v>
      </c>
      <c r="AK38">
        <f t="shared" ref="AK38:AT38" si="27">AJ38*(1+$AU38)</f>
        <v>126.53049328087003</v>
      </c>
      <c r="AL38">
        <f t="shared" si="27"/>
        <v>127.88257898625528</v>
      </c>
      <c r="AM38">
        <f t="shared" si="27"/>
        <v>129.249112874899</v>
      </c>
      <c r="AN38">
        <f t="shared" si="27"/>
        <v>130.63024933790129</v>
      </c>
      <c r="AO38">
        <f t="shared" si="27"/>
        <v>132.02614441616217</v>
      </c>
      <c r="AP38">
        <f t="shared" si="27"/>
        <v>133.43695581801109</v>
      </c>
      <c r="AQ38">
        <f t="shared" si="27"/>
        <v>134.86284293702488</v>
      </c>
      <c r="AR38">
        <f t="shared" si="27"/>
        <v>136.30396687003602</v>
      </c>
      <c r="AS38">
        <f t="shared" si="27"/>
        <v>137.76049043533334</v>
      </c>
      <c r="AT38">
        <f t="shared" si="27"/>
        <v>139.23257819105726</v>
      </c>
      <c r="AU38" s="167">
        <f t="shared" si="3"/>
        <v>1.06858486861654E-2</v>
      </c>
      <c r="AV38" s="140">
        <v>1.4E-2</v>
      </c>
    </row>
    <row r="39" spans="1:48">
      <c r="A39" t="s">
        <v>454</v>
      </c>
      <c r="B39" t="s">
        <v>480</v>
      </c>
      <c r="C39" t="s">
        <v>481</v>
      </c>
      <c r="D39" t="s">
        <v>405</v>
      </c>
      <c r="F39">
        <v>19.328499000000001</v>
      </c>
      <c r="G39">
        <v>19.644548</v>
      </c>
      <c r="H39">
        <v>19.971266</v>
      </c>
      <c r="I39">
        <v>20.307354</v>
      </c>
      <c r="J39">
        <v>20.658833000000001</v>
      </c>
      <c r="K39">
        <v>21.032395999999999</v>
      </c>
      <c r="L39">
        <v>21.427053000000001</v>
      </c>
      <c r="M39">
        <v>21.839600000000001</v>
      </c>
      <c r="N39">
        <v>22.242754000000001</v>
      </c>
      <c r="O39">
        <v>22.639859999999999</v>
      </c>
      <c r="P39">
        <v>23.029221</v>
      </c>
      <c r="Q39">
        <v>23.411059999999999</v>
      </c>
      <c r="R39">
        <v>23.785478999999999</v>
      </c>
      <c r="S39">
        <v>24.148890999999999</v>
      </c>
      <c r="T39">
        <v>24.497536</v>
      </c>
      <c r="U39">
        <v>24.831118</v>
      </c>
      <c r="V39">
        <v>25.146398999999999</v>
      </c>
      <c r="W39">
        <v>25.470278</v>
      </c>
      <c r="X39">
        <v>25.802156</v>
      </c>
      <c r="Y39">
        <v>26.140812</v>
      </c>
      <c r="Z39">
        <v>26.486872000000002</v>
      </c>
      <c r="AA39">
        <v>26.837982</v>
      </c>
      <c r="AB39">
        <v>27.191841</v>
      </c>
      <c r="AC39">
        <v>27.547498999999998</v>
      </c>
      <c r="AD39">
        <v>27.903585</v>
      </c>
      <c r="AE39">
        <v>28.258939999999999</v>
      </c>
      <c r="AF39">
        <v>28.612515999999999</v>
      </c>
      <c r="AG39">
        <v>28.962561000000001</v>
      </c>
      <c r="AH39">
        <v>29.309134</v>
      </c>
      <c r="AI39">
        <v>29.653179000000002</v>
      </c>
      <c r="AJ39">
        <v>29.995754000000002</v>
      </c>
      <c r="AK39">
        <f t="shared" ref="AK39:AT39" si="28">AJ39*(1+$AU39)</f>
        <v>30.342286674508525</v>
      </c>
      <c r="AL39">
        <f t="shared" si="28"/>
        <v>30.692822745447824</v>
      </c>
      <c r="AM39">
        <f t="shared" si="28"/>
        <v>31.047408462952912</v>
      </c>
      <c r="AN39">
        <f t="shared" si="28"/>
        <v>31.406090611473854</v>
      </c>
      <c r="AO39">
        <f t="shared" si="28"/>
        <v>31.768916515948568</v>
      </c>
      <c r="AP39">
        <f t="shared" si="28"/>
        <v>32.135934048046934</v>
      </c>
      <c r="AQ39">
        <f t="shared" si="28"/>
        <v>32.507191632487029</v>
      </c>
      <c r="AR39">
        <f t="shared" si="28"/>
        <v>32.882738253424343</v>
      </c>
      <c r="AS39">
        <f t="shared" si="28"/>
        <v>33.262623460914803</v>
      </c>
      <c r="AT39">
        <f t="shared" si="28"/>
        <v>33.646897377452483</v>
      </c>
      <c r="AU39" s="167">
        <f t="shared" si="3"/>
        <v>1.1552724245855739E-2</v>
      </c>
      <c r="AV39" s="140">
        <v>1.4999999999999999E-2</v>
      </c>
    </row>
    <row r="40" spans="1:48">
      <c r="A40" t="s">
        <v>430</v>
      </c>
      <c r="B40" t="s">
        <v>482</v>
      </c>
      <c r="C40" t="s">
        <v>483</v>
      </c>
      <c r="D40" t="s">
        <v>405</v>
      </c>
      <c r="F40">
        <v>102.180336</v>
      </c>
      <c r="G40">
        <v>104.079292</v>
      </c>
      <c r="H40">
        <v>105.979416</v>
      </c>
      <c r="I40">
        <v>107.86906399999999</v>
      </c>
      <c r="J40">
        <v>109.782471</v>
      </c>
      <c r="K40">
        <v>111.775322</v>
      </c>
      <c r="L40">
        <v>113.76866099999999</v>
      </c>
      <c r="M40">
        <v>115.718735</v>
      </c>
      <c r="N40">
        <v>117.61584499999999</v>
      </c>
      <c r="O40">
        <v>119.474869</v>
      </c>
      <c r="P40">
        <v>121.295334</v>
      </c>
      <c r="Q40">
        <v>123.07298299999999</v>
      </c>
      <c r="R40">
        <v>124.828018</v>
      </c>
      <c r="S40">
        <v>126.55128499999999</v>
      </c>
      <c r="T40">
        <v>128.27371199999999</v>
      </c>
      <c r="U40">
        <v>129.99453700000001</v>
      </c>
      <c r="V40">
        <v>131.70062300000001</v>
      </c>
      <c r="W40">
        <v>133.39241000000001</v>
      </c>
      <c r="X40">
        <v>135.07359299999999</v>
      </c>
      <c r="Y40">
        <v>136.750137</v>
      </c>
      <c r="Z40">
        <v>138.43507399999999</v>
      </c>
      <c r="AA40">
        <v>140.11965900000001</v>
      </c>
      <c r="AB40">
        <v>141.799408</v>
      </c>
      <c r="AC40">
        <v>143.47959900000001</v>
      </c>
      <c r="AD40">
        <v>145.15928600000001</v>
      </c>
      <c r="AE40">
        <v>146.840012</v>
      </c>
      <c r="AF40">
        <v>148.52204900000001</v>
      </c>
      <c r="AG40">
        <v>150.19335899999999</v>
      </c>
      <c r="AH40">
        <v>151.85728499999999</v>
      </c>
      <c r="AI40">
        <v>153.522232</v>
      </c>
      <c r="AJ40">
        <v>155.18846099999999</v>
      </c>
      <c r="AK40">
        <f t="shared" ref="AK40:AT40" si="29">AJ40*(1+$AU40)</f>
        <v>156.8727741500561</v>
      </c>
      <c r="AL40">
        <f t="shared" si="29"/>
        <v>158.57536772359973</v>
      </c>
      <c r="AM40">
        <f t="shared" si="29"/>
        <v>160.29644012428449</v>
      </c>
      <c r="AN40">
        <f t="shared" si="29"/>
        <v>162.03619190910641</v>
      </c>
      <c r="AO40">
        <f t="shared" si="29"/>
        <v>163.79482581177476</v>
      </c>
      <c r="AP40">
        <f t="shared" si="29"/>
        <v>165.57254676633673</v>
      </c>
      <c r="AQ40">
        <f t="shared" si="29"/>
        <v>167.36956193105843</v>
      </c>
      <c r="AR40">
        <f t="shared" si="29"/>
        <v>169.18608071256509</v>
      </c>
      <c r="AS40">
        <f t="shared" si="29"/>
        <v>171.02231479024326</v>
      </c>
      <c r="AT40">
        <f t="shared" si="29"/>
        <v>172.87847814090787</v>
      </c>
      <c r="AU40" s="167">
        <f t="shared" si="3"/>
        <v>1.0853340120797528E-2</v>
      </c>
      <c r="AV40" s="140">
        <v>1.4E-2</v>
      </c>
    </row>
    <row r="41" spans="1:48">
      <c r="A41" t="s">
        <v>484</v>
      </c>
      <c r="C41" t="s">
        <v>485</v>
      </c>
      <c r="AU41" s="167"/>
    </row>
    <row r="42" spans="1:48">
      <c r="A42" t="s">
        <v>486</v>
      </c>
      <c r="B42" t="s">
        <v>487</v>
      </c>
      <c r="C42" t="s">
        <v>488</v>
      </c>
      <c r="D42" t="s">
        <v>405</v>
      </c>
      <c r="F42">
        <v>168.42892499999999</v>
      </c>
      <c r="G42">
        <v>170.03852800000001</v>
      </c>
      <c r="H42">
        <v>171.65152</v>
      </c>
      <c r="I42">
        <v>173.25045800000001</v>
      </c>
      <c r="J42">
        <v>174.88526899999999</v>
      </c>
      <c r="K42">
        <v>176.60462999999999</v>
      </c>
      <c r="L42">
        <v>178.326797</v>
      </c>
      <c r="M42">
        <v>179.96771200000001</v>
      </c>
      <c r="N42">
        <v>181.53454600000001</v>
      </c>
      <c r="O42">
        <v>183.04887400000001</v>
      </c>
      <c r="P42">
        <v>184.51002500000001</v>
      </c>
      <c r="Q42">
        <v>185.91236900000001</v>
      </c>
      <c r="R42">
        <v>187.285202</v>
      </c>
      <c r="S42">
        <v>188.615387</v>
      </c>
      <c r="T42">
        <v>189.89515700000001</v>
      </c>
      <c r="U42">
        <v>191.17584199999999</v>
      </c>
      <c r="V42">
        <v>192.44001800000001</v>
      </c>
      <c r="W42">
        <v>193.68768299999999</v>
      </c>
      <c r="X42">
        <v>194.92361500000001</v>
      </c>
      <c r="Y42">
        <v>196.15150499999999</v>
      </c>
      <c r="Z42">
        <v>197.394318</v>
      </c>
      <c r="AA42">
        <v>198.640106</v>
      </c>
      <c r="AB42">
        <v>199.88269</v>
      </c>
      <c r="AC42">
        <v>201.12915000000001</v>
      </c>
      <c r="AD42">
        <v>202.378784</v>
      </c>
      <c r="AE42">
        <v>203.63317900000001</v>
      </c>
      <c r="AF42">
        <v>204.89250200000001</v>
      </c>
      <c r="AG42">
        <v>206.14032</v>
      </c>
      <c r="AH42">
        <v>207.38038599999999</v>
      </c>
      <c r="AI42">
        <v>208.62446600000001</v>
      </c>
      <c r="AJ42">
        <v>209.87307699999999</v>
      </c>
      <c r="AK42">
        <f t="shared" ref="AK42:AT42" si="30">AJ42*(1+$AU42)</f>
        <v>211.12916089835755</v>
      </c>
      <c r="AL42">
        <f t="shared" si="30"/>
        <v>212.39276242013906</v>
      </c>
      <c r="AM42">
        <f t="shared" si="30"/>
        <v>213.66392655808906</v>
      </c>
      <c r="AN42">
        <f t="shared" si="30"/>
        <v>214.94269857423228</v>
      </c>
      <c r="AO42">
        <f t="shared" si="30"/>
        <v>216.22912400148525</v>
      </c>
      <c r="AP42">
        <f t="shared" si="30"/>
        <v>217.52324864527759</v>
      </c>
      <c r="AQ42">
        <f t="shared" si="30"/>
        <v>218.82511858518305</v>
      </c>
      <c r="AR42">
        <f t="shared" si="30"/>
        <v>220.13478017656018</v>
      </c>
      <c r="AS42">
        <f t="shared" si="30"/>
        <v>221.45228005220292</v>
      </c>
      <c r="AT42">
        <f t="shared" si="30"/>
        <v>222.77766512400106</v>
      </c>
      <c r="AU42" s="167">
        <f t="shared" si="3"/>
        <v>5.984969183815636E-3</v>
      </c>
      <c r="AV42" s="140">
        <v>7.0000000000000001E-3</v>
      </c>
    </row>
    <row r="43" spans="1:48">
      <c r="A43" t="s">
        <v>489</v>
      </c>
      <c r="B43" t="s">
        <v>490</v>
      </c>
      <c r="C43" t="s">
        <v>491</v>
      </c>
      <c r="D43" t="s">
        <v>405</v>
      </c>
      <c r="F43">
        <v>44.426056000000003</v>
      </c>
      <c r="G43">
        <v>44.797699000000001</v>
      </c>
      <c r="H43">
        <v>45.170856000000001</v>
      </c>
      <c r="I43">
        <v>45.542194000000002</v>
      </c>
      <c r="J43">
        <v>45.923037999999998</v>
      </c>
      <c r="K43">
        <v>46.325333000000001</v>
      </c>
      <c r="L43">
        <v>46.731335000000001</v>
      </c>
      <c r="M43">
        <v>47.117100000000001</v>
      </c>
      <c r="N43">
        <v>47.482719000000003</v>
      </c>
      <c r="O43">
        <v>47.832832000000003</v>
      </c>
      <c r="P43">
        <v>48.167053000000003</v>
      </c>
      <c r="Q43">
        <v>48.485764000000003</v>
      </c>
      <c r="R43">
        <v>48.797119000000002</v>
      </c>
      <c r="S43">
        <v>49.099204999999998</v>
      </c>
      <c r="T43">
        <v>49.389946000000002</v>
      </c>
      <c r="U43">
        <v>49.682034000000002</v>
      </c>
      <c r="V43">
        <v>49.971328999999997</v>
      </c>
      <c r="W43">
        <v>50.256351000000002</v>
      </c>
      <c r="X43">
        <v>50.537723999999997</v>
      </c>
      <c r="Y43">
        <v>50.816631000000001</v>
      </c>
      <c r="Z43">
        <v>51.100375999999997</v>
      </c>
      <c r="AA43">
        <v>51.385638999999998</v>
      </c>
      <c r="AB43">
        <v>51.670338000000001</v>
      </c>
      <c r="AC43">
        <v>51.956215</v>
      </c>
      <c r="AD43">
        <v>52.243724999999998</v>
      </c>
      <c r="AE43">
        <v>52.532378999999999</v>
      </c>
      <c r="AF43">
        <v>52.822529000000003</v>
      </c>
      <c r="AG43">
        <v>53.108795000000001</v>
      </c>
      <c r="AH43">
        <v>53.391727000000003</v>
      </c>
      <c r="AI43">
        <v>53.67474</v>
      </c>
      <c r="AJ43">
        <v>53.957194999999999</v>
      </c>
      <c r="AK43">
        <f t="shared" ref="AK43:AT43" si="31">AJ43*(1+$AU43)</f>
        <v>54.241136375658733</v>
      </c>
      <c r="AL43">
        <f t="shared" si="31"/>
        <v>54.526571948797731</v>
      </c>
      <c r="AM43">
        <f t="shared" si="31"/>
        <v>54.813509582399639</v>
      </c>
      <c r="AN43">
        <f t="shared" si="31"/>
        <v>55.101957180824833</v>
      </c>
      <c r="AO43">
        <f t="shared" si="31"/>
        <v>55.391922690029162</v>
      </c>
      <c r="AP43">
        <f t="shared" si="31"/>
        <v>55.68341409778283</v>
      </c>
      <c r="AQ43">
        <f t="shared" si="31"/>
        <v>55.976439433890448</v>
      </c>
      <c r="AR43">
        <f t="shared" si="31"/>
        <v>56.271006770412235</v>
      </c>
      <c r="AS43">
        <f t="shared" si="31"/>
        <v>56.567124221886367</v>
      </c>
      <c r="AT43">
        <f t="shared" si="31"/>
        <v>56.864799945552527</v>
      </c>
      <c r="AU43" s="167">
        <f t="shared" si="3"/>
        <v>5.2623450062356802E-3</v>
      </c>
      <c r="AV43" s="140">
        <v>6.0000000000000001E-3</v>
      </c>
    </row>
    <row r="44" spans="1:48">
      <c r="A44" t="s">
        <v>176</v>
      </c>
      <c r="C44" t="s">
        <v>492</v>
      </c>
      <c r="AU44" s="167"/>
    </row>
    <row r="45" spans="1:48">
      <c r="A45" t="s">
        <v>400</v>
      </c>
      <c r="C45" t="s">
        <v>493</v>
      </c>
      <c r="AU45" s="167"/>
    </row>
    <row r="46" spans="1:48">
      <c r="A46" t="s">
        <v>494</v>
      </c>
      <c r="B46" t="s">
        <v>495</v>
      </c>
      <c r="C46" t="s">
        <v>496</v>
      </c>
      <c r="D46" t="s">
        <v>497</v>
      </c>
      <c r="F46">
        <v>8.1115349999999999</v>
      </c>
      <c r="G46">
        <v>8.1480270000000008</v>
      </c>
      <c r="H46">
        <v>8.1852389999999993</v>
      </c>
      <c r="I46">
        <v>8.2386309999999998</v>
      </c>
      <c r="J46">
        <v>8.2884329999999995</v>
      </c>
      <c r="K46">
        <v>8.3352850000000007</v>
      </c>
      <c r="L46">
        <v>8.3785550000000004</v>
      </c>
      <c r="M46">
        <v>8.4182509999999997</v>
      </c>
      <c r="N46">
        <v>8.454421</v>
      </c>
      <c r="O46">
        <v>8.4874259999999992</v>
      </c>
      <c r="P46">
        <v>8.5171759999999992</v>
      </c>
      <c r="Q46">
        <v>8.5437560000000001</v>
      </c>
      <c r="R46">
        <v>8.5671970000000002</v>
      </c>
      <c r="S46">
        <v>8.5873390000000001</v>
      </c>
      <c r="T46">
        <v>8.6041190000000007</v>
      </c>
      <c r="U46">
        <v>8.6173339999999996</v>
      </c>
      <c r="V46">
        <v>8.6264979999999998</v>
      </c>
      <c r="W46">
        <v>8.6311579999999992</v>
      </c>
      <c r="X46">
        <v>8.6353310000000008</v>
      </c>
      <c r="Y46">
        <v>8.6389490000000002</v>
      </c>
      <c r="Z46">
        <v>8.6419770000000007</v>
      </c>
      <c r="AA46">
        <v>8.6444159999999997</v>
      </c>
      <c r="AB46">
        <v>8.6462789999999998</v>
      </c>
      <c r="AC46">
        <v>8.647627</v>
      </c>
      <c r="AD46">
        <v>8.6485230000000008</v>
      </c>
      <c r="AE46">
        <v>8.6490539999999996</v>
      </c>
      <c r="AF46">
        <v>8.6492959999999997</v>
      </c>
      <c r="AG46">
        <v>8.6493230000000008</v>
      </c>
      <c r="AH46">
        <v>8.6492009999999997</v>
      </c>
      <c r="AI46">
        <v>8.6489910000000005</v>
      </c>
      <c r="AJ46">
        <v>8.6487189999999998</v>
      </c>
      <c r="AK46">
        <f t="shared" ref="AK46:AT46" si="32">AJ46*(1+$AU46)</f>
        <v>8.6484470085540615</v>
      </c>
      <c r="AL46">
        <f t="shared" si="32"/>
        <v>8.6481750256619154</v>
      </c>
      <c r="AM46">
        <f t="shared" si="32"/>
        <v>8.6479030513232917</v>
      </c>
      <c r="AN46">
        <f t="shared" si="32"/>
        <v>8.6476310855379221</v>
      </c>
      <c r="AO46">
        <f t="shared" si="32"/>
        <v>8.6473591283055384</v>
      </c>
      <c r="AP46">
        <f t="shared" si="32"/>
        <v>8.6470871796258706</v>
      </c>
      <c r="AQ46">
        <f t="shared" si="32"/>
        <v>8.6468152394986504</v>
      </c>
      <c r="AR46">
        <f t="shared" si="32"/>
        <v>8.6465433079236096</v>
      </c>
      <c r="AS46">
        <f t="shared" si="32"/>
        <v>8.6462713849004782</v>
      </c>
      <c r="AT46">
        <f t="shared" si="32"/>
        <v>8.6459994704289862</v>
      </c>
      <c r="AU46" s="167">
        <f t="shared" si="3"/>
        <v>-3.1448755120733196E-5</v>
      </c>
      <c r="AV46" s="140">
        <v>2E-3</v>
      </c>
    </row>
    <row r="47" spans="1:48">
      <c r="A47" t="s">
        <v>498</v>
      </c>
      <c r="B47" t="s">
        <v>499</v>
      </c>
      <c r="C47" t="s">
        <v>500</v>
      </c>
      <c r="D47" t="s">
        <v>501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>
        <f t="shared" ref="AK47:AT47" si="33">AJ47*(1+$AU47)</f>
        <v>1.3</v>
      </c>
      <c r="AL47">
        <f t="shared" si="33"/>
        <v>1.3</v>
      </c>
      <c r="AM47">
        <f t="shared" si="33"/>
        <v>1.3</v>
      </c>
      <c r="AN47">
        <f t="shared" si="33"/>
        <v>1.3</v>
      </c>
      <c r="AO47">
        <f t="shared" si="33"/>
        <v>1.3</v>
      </c>
      <c r="AP47">
        <f t="shared" si="33"/>
        <v>1.3</v>
      </c>
      <c r="AQ47">
        <f t="shared" si="33"/>
        <v>1.3</v>
      </c>
      <c r="AR47">
        <f t="shared" si="33"/>
        <v>1.3</v>
      </c>
      <c r="AS47">
        <f t="shared" si="33"/>
        <v>1.3</v>
      </c>
      <c r="AT47">
        <f t="shared" si="33"/>
        <v>1.3</v>
      </c>
      <c r="AU47" s="167">
        <f t="shared" si="3"/>
        <v>0</v>
      </c>
      <c r="AV47" s="140">
        <v>0</v>
      </c>
    </row>
    <row r="48" spans="1:48">
      <c r="A48" t="s">
        <v>502</v>
      </c>
      <c r="B48" t="s">
        <v>503</v>
      </c>
      <c r="C48" t="s">
        <v>504</v>
      </c>
      <c r="D48" t="s">
        <v>505</v>
      </c>
      <c r="F48">
        <v>3.4048020000000001</v>
      </c>
      <c r="G48">
        <v>3.4568379999999999</v>
      </c>
      <c r="H48">
        <v>3.4859079999999998</v>
      </c>
      <c r="I48">
        <v>3.5110739999999998</v>
      </c>
      <c r="J48">
        <v>3.5338690000000001</v>
      </c>
      <c r="K48">
        <v>3.551336</v>
      </c>
      <c r="L48">
        <v>3.566935</v>
      </c>
      <c r="M48">
        <v>3.580438</v>
      </c>
      <c r="N48">
        <v>3.5921959999999999</v>
      </c>
      <c r="O48">
        <v>3.6025170000000002</v>
      </c>
      <c r="P48">
        <v>3.6116480000000002</v>
      </c>
      <c r="Q48">
        <v>3.6198610000000002</v>
      </c>
      <c r="R48">
        <v>3.6273399999999998</v>
      </c>
      <c r="S48">
        <v>3.634226</v>
      </c>
      <c r="T48">
        <v>3.6406640000000001</v>
      </c>
      <c r="U48">
        <v>3.6466630000000002</v>
      </c>
      <c r="V48">
        <v>3.6521849999999998</v>
      </c>
      <c r="W48">
        <v>3.6572490000000002</v>
      </c>
      <c r="X48">
        <v>3.6618240000000002</v>
      </c>
      <c r="Y48">
        <v>3.6659899999999999</v>
      </c>
      <c r="Z48">
        <v>3.6696300000000002</v>
      </c>
      <c r="AA48">
        <v>3.6728329999999998</v>
      </c>
      <c r="AB48">
        <v>3.6755409999999999</v>
      </c>
      <c r="AC48">
        <v>3.6776550000000001</v>
      </c>
      <c r="AD48">
        <v>3.6792389999999999</v>
      </c>
      <c r="AE48">
        <v>3.6802440000000001</v>
      </c>
      <c r="AF48">
        <v>3.6806329999999998</v>
      </c>
      <c r="AG48">
        <v>3.6810170000000002</v>
      </c>
      <c r="AH48">
        <v>3.6813479999999998</v>
      </c>
      <c r="AI48">
        <v>3.6815790000000002</v>
      </c>
      <c r="AJ48">
        <v>3.6817099999999998</v>
      </c>
      <c r="AK48">
        <f t="shared" ref="AK48:AT48" si="34">AJ48*(1+$AU48)</f>
        <v>3.6818410046613148</v>
      </c>
      <c r="AL48">
        <f t="shared" si="34"/>
        <v>3.6819720139841108</v>
      </c>
      <c r="AM48">
        <f t="shared" si="34"/>
        <v>3.6821030279685534</v>
      </c>
      <c r="AN48">
        <f t="shared" si="34"/>
        <v>3.6822340466148087</v>
      </c>
      <c r="AO48">
        <f t="shared" si="34"/>
        <v>3.6823650699230428</v>
      </c>
      <c r="AP48">
        <f t="shared" si="34"/>
        <v>3.6824960978934214</v>
      </c>
      <c r="AQ48">
        <f t="shared" si="34"/>
        <v>3.6826271305261105</v>
      </c>
      <c r="AR48">
        <f t="shared" si="34"/>
        <v>3.6827581678212757</v>
      </c>
      <c r="AS48">
        <f t="shared" si="34"/>
        <v>3.6828892097790833</v>
      </c>
      <c r="AT48">
        <f t="shared" si="34"/>
        <v>3.6830202563996992</v>
      </c>
      <c r="AU48" s="167">
        <f t="shared" si="3"/>
        <v>3.558255846192182E-5</v>
      </c>
      <c r="AV48" s="140">
        <v>3.0000000000000001E-3</v>
      </c>
    </row>
    <row r="49" spans="1:48">
      <c r="A49" t="s">
        <v>506</v>
      </c>
      <c r="B49" t="s">
        <v>507</v>
      </c>
      <c r="C49" t="s">
        <v>508</v>
      </c>
      <c r="D49" t="s">
        <v>509</v>
      </c>
      <c r="F49">
        <v>0.82003599999999999</v>
      </c>
      <c r="G49">
        <v>0.82416100000000003</v>
      </c>
      <c r="H49">
        <v>0.82820800000000006</v>
      </c>
      <c r="I49">
        <v>0.83236399999999999</v>
      </c>
      <c r="J49">
        <v>0.83648900000000004</v>
      </c>
      <c r="K49">
        <v>0.84062300000000001</v>
      </c>
      <c r="L49">
        <v>0.84479300000000002</v>
      </c>
      <c r="M49">
        <v>0.84865400000000002</v>
      </c>
      <c r="N49">
        <v>0.85222100000000001</v>
      </c>
      <c r="O49">
        <v>0.85548000000000002</v>
      </c>
      <c r="P49">
        <v>0.85843199999999997</v>
      </c>
      <c r="Q49">
        <v>0.86109800000000003</v>
      </c>
      <c r="R49">
        <v>0.86346400000000001</v>
      </c>
      <c r="S49">
        <v>0.86554799999999998</v>
      </c>
      <c r="T49">
        <v>0.86734</v>
      </c>
      <c r="U49">
        <v>0.86884700000000004</v>
      </c>
      <c r="V49">
        <v>0.87007000000000001</v>
      </c>
      <c r="W49">
        <v>0.87103299999999995</v>
      </c>
      <c r="X49">
        <v>0.87172700000000003</v>
      </c>
      <c r="Y49">
        <v>0.87215600000000004</v>
      </c>
      <c r="Z49">
        <v>0.87231199999999998</v>
      </c>
      <c r="AA49">
        <v>0.87220699999999995</v>
      </c>
      <c r="AB49">
        <v>0.87211799999999995</v>
      </c>
      <c r="AC49">
        <v>0.87204000000000004</v>
      </c>
      <c r="AD49">
        <v>0.871973</v>
      </c>
      <c r="AE49">
        <v>0.87191099999999999</v>
      </c>
      <c r="AF49">
        <v>0.87185000000000001</v>
      </c>
      <c r="AG49">
        <v>0.87178900000000004</v>
      </c>
      <c r="AH49">
        <v>0.87172300000000003</v>
      </c>
      <c r="AI49">
        <v>0.87165000000000004</v>
      </c>
      <c r="AJ49">
        <v>0.87157600000000002</v>
      </c>
      <c r="AK49">
        <f t="shared" ref="AK49:AT49" si="35">AJ49*(1+$AU49)</f>
        <v>0.87150200628233809</v>
      </c>
      <c r="AL49">
        <f t="shared" si="35"/>
        <v>0.87142801884648091</v>
      </c>
      <c r="AM49">
        <f t="shared" si="35"/>
        <v>0.87135403769189523</v>
      </c>
      <c r="AN49">
        <f t="shared" si="35"/>
        <v>0.87128006281804771</v>
      </c>
      <c r="AO49">
        <f t="shared" si="35"/>
        <v>0.87120609422440509</v>
      </c>
      <c r="AP49">
        <f t="shared" si="35"/>
        <v>0.87113213191043437</v>
      </c>
      <c r="AQ49">
        <f t="shared" si="35"/>
        <v>0.8710581758756023</v>
      </c>
      <c r="AR49">
        <f t="shared" si="35"/>
        <v>0.87098422611937587</v>
      </c>
      <c r="AS49">
        <f t="shared" si="35"/>
        <v>0.87091028264122194</v>
      </c>
      <c r="AT49">
        <f t="shared" si="35"/>
        <v>0.87083634544060762</v>
      </c>
      <c r="AU49" s="167">
        <f t="shared" si="3"/>
        <v>-8.4896460735395252E-5</v>
      </c>
      <c r="AV49" s="140">
        <v>2E-3</v>
      </c>
    </row>
    <row r="50" spans="1:48">
      <c r="A50" t="s">
        <v>510</v>
      </c>
      <c r="B50" t="s">
        <v>511</v>
      </c>
      <c r="C50" t="s">
        <v>512</v>
      </c>
      <c r="D50" t="s">
        <v>509</v>
      </c>
      <c r="F50">
        <v>0.83380600000000005</v>
      </c>
      <c r="G50">
        <v>0.83460699999999999</v>
      </c>
      <c r="H50">
        <v>0.83541900000000002</v>
      </c>
      <c r="I50">
        <v>0.83625000000000005</v>
      </c>
      <c r="J50">
        <v>0.83708400000000005</v>
      </c>
      <c r="K50">
        <v>0.83792100000000003</v>
      </c>
      <c r="L50">
        <v>0.83879000000000004</v>
      </c>
      <c r="M50">
        <v>0.83962199999999998</v>
      </c>
      <c r="N50">
        <v>0.84040199999999998</v>
      </c>
      <c r="O50">
        <v>0.84113000000000004</v>
      </c>
      <c r="P50">
        <v>0.84179300000000001</v>
      </c>
      <c r="Q50">
        <v>0.84239900000000001</v>
      </c>
      <c r="R50">
        <v>0.84294000000000002</v>
      </c>
      <c r="S50">
        <v>0.84342300000000003</v>
      </c>
      <c r="T50">
        <v>0.84384899999999996</v>
      </c>
      <c r="U50">
        <v>0.84421299999999999</v>
      </c>
      <c r="V50">
        <v>0.84451299999999996</v>
      </c>
      <c r="W50">
        <v>0.84475999999999996</v>
      </c>
      <c r="X50">
        <v>0.84494999999999998</v>
      </c>
      <c r="Y50">
        <v>0.84507699999999997</v>
      </c>
      <c r="Z50">
        <v>0.84514400000000001</v>
      </c>
      <c r="AA50">
        <v>0.84515700000000005</v>
      </c>
      <c r="AB50">
        <v>0.84516999999999998</v>
      </c>
      <c r="AC50">
        <v>0.84518199999999999</v>
      </c>
      <c r="AD50">
        <v>0.84519500000000003</v>
      </c>
      <c r="AE50">
        <v>0.84520700000000004</v>
      </c>
      <c r="AF50">
        <v>0.84521599999999997</v>
      </c>
      <c r="AG50">
        <v>0.84521800000000002</v>
      </c>
      <c r="AH50">
        <v>0.84521199999999996</v>
      </c>
      <c r="AI50">
        <v>0.84520099999999998</v>
      </c>
      <c r="AJ50">
        <v>0.84518300000000002</v>
      </c>
      <c r="AK50">
        <f t="shared" ref="AK50:AT50" si="36">AJ50*(1+$AU50)</f>
        <v>0.84516500038334086</v>
      </c>
      <c r="AL50">
        <f t="shared" si="36"/>
        <v>0.84514700115001429</v>
      </c>
      <c r="AM50">
        <f t="shared" si="36"/>
        <v>0.8451290023000122</v>
      </c>
      <c r="AN50">
        <f t="shared" si="36"/>
        <v>0.84511100383332638</v>
      </c>
      <c r="AO50">
        <f t="shared" si="36"/>
        <v>0.84509300574994861</v>
      </c>
      <c r="AP50">
        <f t="shared" si="36"/>
        <v>0.84507500804987079</v>
      </c>
      <c r="AQ50">
        <f t="shared" si="36"/>
        <v>0.84505701073308481</v>
      </c>
      <c r="AR50">
        <f t="shared" si="36"/>
        <v>0.84503901379958246</v>
      </c>
      <c r="AS50">
        <f t="shared" si="36"/>
        <v>0.84502101724935552</v>
      </c>
      <c r="AT50">
        <f t="shared" si="36"/>
        <v>0.84500302108239589</v>
      </c>
      <c r="AU50" s="167">
        <f t="shared" si="3"/>
        <v>-2.1296709303397776E-5</v>
      </c>
      <c r="AV50" s="140">
        <v>0</v>
      </c>
    </row>
    <row r="51" spans="1:48">
      <c r="A51" t="s">
        <v>513</v>
      </c>
      <c r="C51" t="s">
        <v>514</v>
      </c>
      <c r="AU51" s="167"/>
    </row>
    <row r="52" spans="1:48">
      <c r="A52" t="s">
        <v>515</v>
      </c>
      <c r="B52" t="s">
        <v>516</v>
      </c>
      <c r="C52" t="s">
        <v>517</v>
      </c>
      <c r="D52" t="s">
        <v>518</v>
      </c>
      <c r="F52">
        <v>13.797461999999999</v>
      </c>
      <c r="G52">
        <v>13.926193</v>
      </c>
      <c r="H52">
        <v>14.057532999999999</v>
      </c>
      <c r="I52">
        <v>14.244009999999999</v>
      </c>
      <c r="J52">
        <v>14.417166</v>
      </c>
      <c r="K52">
        <v>14.578956</v>
      </c>
      <c r="L52">
        <v>14.728313</v>
      </c>
      <c r="M52">
        <v>14.865371</v>
      </c>
      <c r="N52">
        <v>14.990281</v>
      </c>
      <c r="O52">
        <v>15.104233000000001</v>
      </c>
      <c r="P52">
        <v>15.206942</v>
      </c>
      <c r="Q52">
        <v>15.298712</v>
      </c>
      <c r="R52">
        <v>15.379595</v>
      </c>
      <c r="S52">
        <v>15.449061</v>
      </c>
      <c r="T52">
        <v>15.506894000000001</v>
      </c>
      <c r="U52">
        <v>15.552299</v>
      </c>
      <c r="V52">
        <v>15.583550000000001</v>
      </c>
      <c r="W52">
        <v>15.599043999999999</v>
      </c>
      <c r="X52">
        <v>15.613103000000001</v>
      </c>
      <c r="Y52">
        <v>15.625437</v>
      </c>
      <c r="Z52">
        <v>15.635885</v>
      </c>
      <c r="AA52">
        <v>15.644399</v>
      </c>
      <c r="AB52">
        <v>15.65105</v>
      </c>
      <c r="AC52">
        <v>15.655994</v>
      </c>
      <c r="AD52">
        <v>15.659428</v>
      </c>
      <c r="AE52">
        <v>15.661617</v>
      </c>
      <c r="AF52">
        <v>15.662818</v>
      </c>
      <c r="AG52">
        <v>15.663285999999999</v>
      </c>
      <c r="AH52">
        <v>15.663247</v>
      </c>
      <c r="AI52">
        <v>15.662853</v>
      </c>
      <c r="AJ52">
        <v>15.662250999999999</v>
      </c>
      <c r="AK52">
        <f t="shared" ref="AK52:AT52" si="37">AJ52*(1+$AU52)</f>
        <v>15.661649023137802</v>
      </c>
      <c r="AL52">
        <f t="shared" si="37"/>
        <v>15.661047069412517</v>
      </c>
      <c r="AM52">
        <f t="shared" si="37"/>
        <v>15.660445138823256</v>
      </c>
      <c r="AN52">
        <f t="shared" si="37"/>
        <v>15.65984323136913</v>
      </c>
      <c r="AO52">
        <f t="shared" si="37"/>
        <v>15.65924134704925</v>
      </c>
      <c r="AP52">
        <f t="shared" si="37"/>
        <v>15.658639485862725</v>
      </c>
      <c r="AQ52">
        <f t="shared" si="37"/>
        <v>15.658037647808669</v>
      </c>
      <c r="AR52">
        <f t="shared" si="37"/>
        <v>15.65743583288619</v>
      </c>
      <c r="AS52">
        <f t="shared" si="37"/>
        <v>15.656834041094401</v>
      </c>
      <c r="AT52">
        <f t="shared" si="37"/>
        <v>15.656232272432412</v>
      </c>
      <c r="AU52" s="167">
        <f t="shared" si="3"/>
        <v>-3.843488794796901E-5</v>
      </c>
      <c r="AV52" s="140">
        <v>4.0000000000000001E-3</v>
      </c>
    </row>
    <row r="53" spans="1:48">
      <c r="A53" t="s">
        <v>498</v>
      </c>
      <c r="B53" t="s">
        <v>519</v>
      </c>
      <c r="C53" t="s">
        <v>520</v>
      </c>
      <c r="D53" t="s">
        <v>501</v>
      </c>
      <c r="F53">
        <v>0.60571200000000003</v>
      </c>
      <c r="G53">
        <v>0.61105600000000004</v>
      </c>
      <c r="H53">
        <v>0.617004</v>
      </c>
      <c r="I53">
        <v>0.62358599999999997</v>
      </c>
      <c r="J53">
        <v>0.62997199999999998</v>
      </c>
      <c r="K53">
        <v>0.636158</v>
      </c>
      <c r="L53">
        <v>0.642119</v>
      </c>
      <c r="M53">
        <v>0.647926</v>
      </c>
      <c r="N53">
        <v>0.65364299999999997</v>
      </c>
      <c r="O53">
        <v>0.65943399999999996</v>
      </c>
      <c r="P53">
        <v>0.665412</v>
      </c>
      <c r="Q53">
        <v>0.67168000000000005</v>
      </c>
      <c r="R53">
        <v>0.67818000000000001</v>
      </c>
      <c r="S53">
        <v>0.68459800000000004</v>
      </c>
      <c r="T53">
        <v>0.69042300000000001</v>
      </c>
      <c r="U53">
        <v>0.69506000000000001</v>
      </c>
      <c r="V53">
        <v>0.69805499999999998</v>
      </c>
      <c r="W53">
        <v>0.69928699999999999</v>
      </c>
      <c r="X53">
        <v>0.69981199999999999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>
        <f t="shared" ref="AK53:AT53" si="38">AJ53*(1+$AU53)</f>
        <v>0.7</v>
      </c>
      <c r="AL53">
        <f t="shared" si="38"/>
        <v>0.7</v>
      </c>
      <c r="AM53">
        <f t="shared" si="38"/>
        <v>0.7</v>
      </c>
      <c r="AN53">
        <f t="shared" si="38"/>
        <v>0.7</v>
      </c>
      <c r="AO53">
        <f t="shared" si="38"/>
        <v>0.7</v>
      </c>
      <c r="AP53">
        <f t="shared" si="38"/>
        <v>0.7</v>
      </c>
      <c r="AQ53">
        <f t="shared" si="38"/>
        <v>0.7</v>
      </c>
      <c r="AR53">
        <f t="shared" si="38"/>
        <v>0.7</v>
      </c>
      <c r="AS53">
        <f t="shared" si="38"/>
        <v>0.7</v>
      </c>
      <c r="AT53">
        <f t="shared" si="38"/>
        <v>0.7</v>
      </c>
      <c r="AU53" s="167">
        <f t="shared" si="3"/>
        <v>0</v>
      </c>
      <c r="AV53" s="140">
        <v>5.0000000000000001E-3</v>
      </c>
    </row>
    <row r="54" spans="1:48">
      <c r="A54" t="s">
        <v>521</v>
      </c>
      <c r="B54" t="s">
        <v>522</v>
      </c>
      <c r="C54" t="s">
        <v>523</v>
      </c>
      <c r="D54" t="s">
        <v>524</v>
      </c>
      <c r="F54">
        <v>15.371568</v>
      </c>
      <c r="G54">
        <v>15.734037000000001</v>
      </c>
      <c r="H54">
        <v>15.935176</v>
      </c>
      <c r="I54">
        <v>16.106570999999999</v>
      </c>
      <c r="J54">
        <v>16.263645</v>
      </c>
      <c r="K54">
        <v>16.384063999999999</v>
      </c>
      <c r="L54">
        <v>16.490524000000001</v>
      </c>
      <c r="M54">
        <v>16.582977</v>
      </c>
      <c r="N54">
        <v>16.663639</v>
      </c>
      <c r="O54">
        <v>16.734408999999999</v>
      </c>
      <c r="P54">
        <v>16.796885</v>
      </c>
      <c r="Q54">
        <v>16.852786999999999</v>
      </c>
      <c r="R54">
        <v>16.903400000000001</v>
      </c>
      <c r="S54">
        <v>16.949652</v>
      </c>
      <c r="T54">
        <v>16.992463999999998</v>
      </c>
      <c r="U54">
        <v>17.032129000000001</v>
      </c>
      <c r="V54">
        <v>17.068327</v>
      </c>
      <c r="W54">
        <v>17.101296999999999</v>
      </c>
      <c r="X54">
        <v>17.130928000000001</v>
      </c>
      <c r="Y54">
        <v>17.157758999999999</v>
      </c>
      <c r="Z54">
        <v>17.181077999999999</v>
      </c>
      <c r="AA54">
        <v>17.201529000000001</v>
      </c>
      <c r="AB54">
        <v>17.218733</v>
      </c>
      <c r="AC54">
        <v>17.232081999999998</v>
      </c>
      <c r="AD54">
        <v>17.242004000000001</v>
      </c>
      <c r="AE54">
        <v>17.248192</v>
      </c>
      <c r="AF54">
        <v>17.250374000000001</v>
      </c>
      <c r="AG54">
        <v>17.252562000000001</v>
      </c>
      <c r="AH54">
        <v>17.254446000000002</v>
      </c>
      <c r="AI54">
        <v>17.255704999999999</v>
      </c>
      <c r="AJ54">
        <v>17.256343999999999</v>
      </c>
      <c r="AK54">
        <f t="shared" ref="AK54:AT54" si="39">AJ54*(1+$AU54)</f>
        <v>17.256983023662958</v>
      </c>
      <c r="AL54">
        <f t="shared" si="39"/>
        <v>17.257622070989747</v>
      </c>
      <c r="AM54">
        <f t="shared" si="39"/>
        <v>17.258261141981247</v>
      </c>
      <c r="AN54">
        <f t="shared" si="39"/>
        <v>17.258900236638333</v>
      </c>
      <c r="AO54">
        <f t="shared" si="39"/>
        <v>17.259539354961881</v>
      </c>
      <c r="AP54">
        <f t="shared" si="39"/>
        <v>17.260178496952765</v>
      </c>
      <c r="AQ54">
        <f t="shared" si="39"/>
        <v>17.260817662611867</v>
      </c>
      <c r="AR54">
        <f t="shared" si="39"/>
        <v>17.261456851940057</v>
      </c>
      <c r="AS54">
        <f t="shared" si="39"/>
        <v>17.262096064938216</v>
      </c>
      <c r="AT54">
        <f t="shared" si="39"/>
        <v>17.262735301607218</v>
      </c>
      <c r="AU54" s="167">
        <f t="shared" si="3"/>
        <v>3.7031231120421282E-5</v>
      </c>
      <c r="AV54" s="140">
        <v>4.0000000000000001E-3</v>
      </c>
    </row>
    <row r="55" spans="1:48">
      <c r="A55" t="s">
        <v>525</v>
      </c>
      <c r="B55" t="s">
        <v>526</v>
      </c>
      <c r="C55" t="s">
        <v>527</v>
      </c>
      <c r="D55" t="s">
        <v>518</v>
      </c>
      <c r="F55">
        <v>13.228505999999999</v>
      </c>
      <c r="G55">
        <v>13.367886</v>
      </c>
      <c r="H55">
        <v>13.5061</v>
      </c>
      <c r="I55">
        <v>13.697566999999999</v>
      </c>
      <c r="J55">
        <v>13.876314000000001</v>
      </c>
      <c r="K55">
        <v>14.041323</v>
      </c>
      <c r="L55">
        <v>14.191576</v>
      </c>
      <c r="M55">
        <v>14.327323</v>
      </c>
      <c r="N55">
        <v>14.448998</v>
      </c>
      <c r="O55">
        <v>14.558712999999999</v>
      </c>
      <c r="P55">
        <v>14.656015</v>
      </c>
      <c r="Q55">
        <v>14.740971</v>
      </c>
      <c r="R55">
        <v>14.814636999999999</v>
      </c>
      <c r="S55">
        <v>14.878531000000001</v>
      </c>
      <c r="T55">
        <v>14.932228</v>
      </c>
      <c r="U55">
        <v>14.976406000000001</v>
      </c>
      <c r="V55">
        <v>15.010351</v>
      </c>
      <c r="W55">
        <v>15.032672</v>
      </c>
      <c r="X55">
        <v>15.054671000000001</v>
      </c>
      <c r="Y55">
        <v>15.075858</v>
      </c>
      <c r="Z55">
        <v>15.095746</v>
      </c>
      <c r="AA55">
        <v>15.113917000000001</v>
      </c>
      <c r="AB55">
        <v>15.130077999999999</v>
      </c>
      <c r="AC55">
        <v>15.144073000000001</v>
      </c>
      <c r="AD55">
        <v>15.155849</v>
      </c>
      <c r="AE55">
        <v>15.165525000000001</v>
      </c>
      <c r="AF55">
        <v>15.173273999999999</v>
      </c>
      <c r="AG55">
        <v>15.179349999999999</v>
      </c>
      <c r="AH55">
        <v>15.184054</v>
      </c>
      <c r="AI55">
        <v>15.187647</v>
      </c>
      <c r="AJ55">
        <v>15.190414000000001</v>
      </c>
      <c r="AK55">
        <f t="shared" ref="AK55:AT55" si="40">AJ55*(1+$AU55)</f>
        <v>15.193181504112914</v>
      </c>
      <c r="AL55">
        <f t="shared" si="40"/>
        <v>15.195949512430586</v>
      </c>
      <c r="AM55">
        <f t="shared" si="40"/>
        <v>15.198718025044876</v>
      </c>
      <c r="AN55">
        <f t="shared" si="40"/>
        <v>15.20148704204766</v>
      </c>
      <c r="AO55">
        <f t="shared" si="40"/>
        <v>15.204256563530832</v>
      </c>
      <c r="AP55">
        <f t="shared" si="40"/>
        <v>15.207026589586301</v>
      </c>
      <c r="AQ55">
        <f t="shared" si="40"/>
        <v>15.209797120305995</v>
      </c>
      <c r="AR55">
        <f t="shared" si="40"/>
        <v>15.212568155781856</v>
      </c>
      <c r="AS55">
        <f t="shared" si="40"/>
        <v>15.215339696105847</v>
      </c>
      <c r="AT55">
        <f t="shared" si="40"/>
        <v>15.218111741369944</v>
      </c>
      <c r="AU55" s="167">
        <f t="shared" si="3"/>
        <v>1.8218753701604307E-4</v>
      </c>
      <c r="AV55" s="140">
        <v>5.0000000000000001E-3</v>
      </c>
    </row>
    <row r="56" spans="1:48">
      <c r="A56" t="s">
        <v>528</v>
      </c>
      <c r="B56" t="s">
        <v>529</v>
      </c>
      <c r="C56" t="s">
        <v>530</v>
      </c>
      <c r="D56" t="s">
        <v>524</v>
      </c>
      <c r="F56">
        <v>11.152912000000001</v>
      </c>
      <c r="G56">
        <v>11.219048000000001</v>
      </c>
      <c r="H56">
        <v>11.291065</v>
      </c>
      <c r="I56">
        <v>11.36786</v>
      </c>
      <c r="J56">
        <v>11.450334</v>
      </c>
      <c r="K56">
        <v>11.525957</v>
      </c>
      <c r="L56">
        <v>11.591891</v>
      </c>
      <c r="M56">
        <v>11.647797000000001</v>
      </c>
      <c r="N56">
        <v>11.694967999999999</v>
      </c>
      <c r="O56">
        <v>11.732699</v>
      </c>
      <c r="P56">
        <v>11.783393</v>
      </c>
      <c r="Q56">
        <v>11.819623999999999</v>
      </c>
      <c r="R56">
        <v>11.84202</v>
      </c>
      <c r="S56">
        <v>11.865672999999999</v>
      </c>
      <c r="T56">
        <v>11.890105</v>
      </c>
      <c r="U56">
        <v>11.914655</v>
      </c>
      <c r="V56">
        <v>11.938442</v>
      </c>
      <c r="W56">
        <v>11.960457999999999</v>
      </c>
      <c r="X56">
        <v>11.979723</v>
      </c>
      <c r="Y56">
        <v>11.995473</v>
      </c>
      <c r="Z56">
        <v>12.021017000000001</v>
      </c>
      <c r="AA56">
        <v>12.042463</v>
      </c>
      <c r="AB56">
        <v>12.060703999999999</v>
      </c>
      <c r="AC56">
        <v>12.076612000000001</v>
      </c>
      <c r="AD56">
        <v>12.091027</v>
      </c>
      <c r="AE56">
        <v>12.104455</v>
      </c>
      <c r="AF56">
        <v>12.117017000000001</v>
      </c>
      <c r="AG56">
        <v>12.128482999999999</v>
      </c>
      <c r="AH56">
        <v>12.138476000000001</v>
      </c>
      <c r="AI56">
        <v>12.146648000000001</v>
      </c>
      <c r="AJ56">
        <v>12.152834</v>
      </c>
      <c r="AK56">
        <f t="shared" ref="AK56:AT56" si="41">AJ56*(1+$AU56)</f>
        <v>12.159023150383218</v>
      </c>
      <c r="AL56">
        <f t="shared" si="41"/>
        <v>12.165215452754069</v>
      </c>
      <c r="AM56">
        <f t="shared" si="41"/>
        <v>12.171410908717784</v>
      </c>
      <c r="AN56">
        <f t="shared" si="41"/>
        <v>12.177609519880413</v>
      </c>
      <c r="AO56">
        <f t="shared" si="41"/>
        <v>12.183811287848826</v>
      </c>
      <c r="AP56">
        <f t="shared" si="41"/>
        <v>12.190016214230708</v>
      </c>
      <c r="AQ56">
        <f t="shared" si="41"/>
        <v>12.196224300634565</v>
      </c>
      <c r="AR56">
        <f t="shared" si="41"/>
        <v>12.202435548669721</v>
      </c>
      <c r="AS56">
        <f t="shared" si="41"/>
        <v>12.208649959946319</v>
      </c>
      <c r="AT56">
        <f t="shared" si="41"/>
        <v>12.214867536075324</v>
      </c>
      <c r="AU56" s="167">
        <f t="shared" si="3"/>
        <v>5.0927630404706825E-4</v>
      </c>
      <c r="AV56" s="140">
        <v>3.0000000000000001E-3</v>
      </c>
    </row>
    <row r="57" spans="1:48">
      <c r="A57" t="s">
        <v>531</v>
      </c>
      <c r="C57" t="s">
        <v>532</v>
      </c>
      <c r="AU57" s="167"/>
    </row>
    <row r="58" spans="1:48">
      <c r="A58" t="s">
        <v>533</v>
      </c>
      <c r="B58" t="s">
        <v>534</v>
      </c>
      <c r="C58" t="s">
        <v>535</v>
      </c>
      <c r="D58" t="s">
        <v>536</v>
      </c>
      <c r="F58">
        <v>0.90693800000000002</v>
      </c>
      <c r="G58">
        <v>0.91220900000000005</v>
      </c>
      <c r="H58">
        <v>0.91753700000000005</v>
      </c>
      <c r="I58">
        <v>0.92282600000000004</v>
      </c>
      <c r="J58">
        <v>0.92810700000000002</v>
      </c>
      <c r="K58">
        <v>0.93338699999999997</v>
      </c>
      <c r="L58">
        <v>0.93862500000000004</v>
      </c>
      <c r="M58">
        <v>0.94336799999999998</v>
      </c>
      <c r="N58">
        <v>0.94764000000000004</v>
      </c>
      <c r="O58">
        <v>0.95144099999999998</v>
      </c>
      <c r="P58">
        <v>0.95479700000000001</v>
      </c>
      <c r="Q58">
        <v>0.95771200000000001</v>
      </c>
      <c r="R58">
        <v>0.96018999999999999</v>
      </c>
      <c r="S58">
        <v>0.96224699999999996</v>
      </c>
      <c r="T58">
        <v>0.96388099999999999</v>
      </c>
      <c r="U58">
        <v>0.96509299999999998</v>
      </c>
      <c r="V58">
        <v>0.96590100000000001</v>
      </c>
      <c r="W58">
        <v>0.96629500000000002</v>
      </c>
      <c r="X58">
        <v>0.96628999999999998</v>
      </c>
      <c r="Y58">
        <v>0.96628700000000001</v>
      </c>
      <c r="Z58">
        <v>0.96628400000000003</v>
      </c>
      <c r="AA58">
        <v>0.96628199999999997</v>
      </c>
      <c r="AB58">
        <v>0.96628000000000003</v>
      </c>
      <c r="AC58">
        <v>0.966279</v>
      </c>
      <c r="AD58">
        <v>0.96627700000000005</v>
      </c>
      <c r="AE58">
        <v>0.96627600000000002</v>
      </c>
      <c r="AF58">
        <v>0.96627399999999997</v>
      </c>
      <c r="AG58">
        <v>0.96627300000000005</v>
      </c>
      <c r="AH58">
        <v>0.96627200000000002</v>
      </c>
      <c r="AI58">
        <v>0.96626999999999996</v>
      </c>
      <c r="AJ58">
        <v>0.96626900000000004</v>
      </c>
      <c r="AK58">
        <f t="shared" ref="AK58:AT58" si="42">AJ58*(1+$AU58)</f>
        <v>0.96626800000103508</v>
      </c>
      <c r="AL58">
        <f t="shared" si="42"/>
        <v>0.96626700000310495</v>
      </c>
      <c r="AM58">
        <f t="shared" si="42"/>
        <v>0.96626600000620977</v>
      </c>
      <c r="AN58">
        <f t="shared" si="42"/>
        <v>0.96626500001034954</v>
      </c>
      <c r="AO58">
        <f t="shared" si="42"/>
        <v>0.96626400001552415</v>
      </c>
      <c r="AP58">
        <f t="shared" si="42"/>
        <v>0.96626300002173371</v>
      </c>
      <c r="AQ58">
        <f t="shared" si="42"/>
        <v>0.96626200002897811</v>
      </c>
      <c r="AR58">
        <f t="shared" si="42"/>
        <v>0.96626100003725746</v>
      </c>
      <c r="AS58">
        <f t="shared" si="42"/>
        <v>0.96626000004657164</v>
      </c>
      <c r="AT58">
        <f t="shared" si="42"/>
        <v>0.96625900005692078</v>
      </c>
      <c r="AU58" s="167">
        <f t="shared" si="3"/>
        <v>-1.0349074274218495E-6</v>
      </c>
      <c r="AV58" s="140">
        <v>2E-3</v>
      </c>
    </row>
    <row r="59" spans="1:48">
      <c r="A59" t="s">
        <v>537</v>
      </c>
      <c r="B59" t="s">
        <v>538</v>
      </c>
      <c r="C59" t="s">
        <v>539</v>
      </c>
      <c r="D59" t="s">
        <v>536</v>
      </c>
      <c r="F59">
        <v>0.60857099999999997</v>
      </c>
      <c r="G59">
        <v>0.61372199999999999</v>
      </c>
      <c r="H59">
        <v>0.61825399999999997</v>
      </c>
      <c r="I59">
        <v>0.62217299999999998</v>
      </c>
      <c r="J59">
        <v>0.62547299999999995</v>
      </c>
      <c r="K59">
        <v>0.62819000000000003</v>
      </c>
      <c r="L59">
        <v>0.630332</v>
      </c>
      <c r="M59">
        <v>0.63192800000000005</v>
      </c>
      <c r="N59">
        <v>0.63294099999999998</v>
      </c>
      <c r="O59">
        <v>0.633409</v>
      </c>
      <c r="P59">
        <v>0.633409</v>
      </c>
      <c r="Q59">
        <v>0.63341599999999998</v>
      </c>
      <c r="R59">
        <v>0.633432</v>
      </c>
      <c r="S59">
        <v>0.63345399999999996</v>
      </c>
      <c r="T59">
        <v>0.63348099999999996</v>
      </c>
      <c r="U59">
        <v>0.63351000000000002</v>
      </c>
      <c r="V59">
        <v>0.63354100000000002</v>
      </c>
      <c r="W59">
        <v>0.63357300000000005</v>
      </c>
      <c r="X59">
        <v>0.63360499999999997</v>
      </c>
      <c r="Y59">
        <v>0.63363700000000001</v>
      </c>
      <c r="Z59">
        <v>0.63366699999999998</v>
      </c>
      <c r="AA59">
        <v>0.63369600000000004</v>
      </c>
      <c r="AB59">
        <v>0.63372499999999998</v>
      </c>
      <c r="AC59">
        <v>0.63375099999999995</v>
      </c>
      <c r="AD59">
        <v>0.63377600000000001</v>
      </c>
      <c r="AE59">
        <v>0.633799</v>
      </c>
      <c r="AF59">
        <v>0.63382000000000005</v>
      </c>
      <c r="AG59">
        <v>0.63383800000000001</v>
      </c>
      <c r="AH59">
        <v>0.633853</v>
      </c>
      <c r="AI59">
        <v>0.63386600000000004</v>
      </c>
      <c r="AJ59">
        <v>0.63387899999999997</v>
      </c>
      <c r="AK59">
        <f t="shared" ref="AK59:AT59" si="43">AJ59*(1+$AU59)</f>
        <v>0.63389200026661785</v>
      </c>
      <c r="AL59">
        <f t="shared" si="43"/>
        <v>0.63390500079985901</v>
      </c>
      <c r="AM59">
        <f t="shared" si="43"/>
        <v>0.633918001599729</v>
      </c>
      <c r="AN59">
        <f t="shared" si="43"/>
        <v>0.63393100266623326</v>
      </c>
      <c r="AO59">
        <f t="shared" si="43"/>
        <v>0.63394400399937723</v>
      </c>
      <c r="AP59">
        <f t="shared" si="43"/>
        <v>0.63395700559916646</v>
      </c>
      <c r="AQ59">
        <f t="shared" si="43"/>
        <v>0.63397000746560628</v>
      </c>
      <c r="AR59">
        <f t="shared" si="43"/>
        <v>0.63398300959870224</v>
      </c>
      <c r="AS59">
        <f t="shared" si="43"/>
        <v>0.6339960119984599</v>
      </c>
      <c r="AT59">
        <f t="shared" si="43"/>
        <v>0.63400901466488457</v>
      </c>
      <c r="AU59" s="167">
        <f t="shared" si="3"/>
        <v>2.0509066585017166E-5</v>
      </c>
      <c r="AV59" s="140">
        <v>1E-3</v>
      </c>
    </row>
    <row r="60" spans="1:48">
      <c r="A60" t="s">
        <v>540</v>
      </c>
      <c r="B60" t="s">
        <v>541</v>
      </c>
      <c r="C60" t="s">
        <v>542</v>
      </c>
      <c r="D60" t="s">
        <v>536</v>
      </c>
      <c r="F60">
        <v>0.582561</v>
      </c>
      <c r="G60">
        <v>0.59795200000000004</v>
      </c>
      <c r="H60">
        <v>0.61216999999999999</v>
      </c>
      <c r="I60">
        <v>0.62500500000000003</v>
      </c>
      <c r="J60">
        <v>0.63619000000000003</v>
      </c>
      <c r="K60">
        <v>0.64562200000000003</v>
      </c>
      <c r="L60">
        <v>0.65336300000000003</v>
      </c>
      <c r="M60">
        <v>0.65928799999999999</v>
      </c>
      <c r="N60">
        <v>0.66332800000000003</v>
      </c>
      <c r="O60">
        <v>0.66538600000000003</v>
      </c>
      <c r="P60">
        <v>0.66541600000000001</v>
      </c>
      <c r="Q60">
        <v>0.66544899999999996</v>
      </c>
      <c r="R60">
        <v>0.66548700000000005</v>
      </c>
      <c r="S60">
        <v>0.66552699999999998</v>
      </c>
      <c r="T60">
        <v>0.66556899999999997</v>
      </c>
      <c r="U60">
        <v>0.66561000000000003</v>
      </c>
      <c r="V60">
        <v>0.66564800000000002</v>
      </c>
      <c r="W60">
        <v>0.665686</v>
      </c>
      <c r="X60">
        <v>0.66572399999999998</v>
      </c>
      <c r="Y60">
        <v>0.66575700000000004</v>
      </c>
      <c r="Z60">
        <v>0.66579200000000005</v>
      </c>
      <c r="AA60">
        <v>0.66582399999999997</v>
      </c>
      <c r="AB60">
        <v>0.66585399999999995</v>
      </c>
      <c r="AC60">
        <v>0.66588199999999997</v>
      </c>
      <c r="AD60">
        <v>0.66590899999999997</v>
      </c>
      <c r="AE60">
        <v>0.66593599999999997</v>
      </c>
      <c r="AF60">
        <v>0.66596100000000003</v>
      </c>
      <c r="AG60">
        <v>0.66598500000000005</v>
      </c>
      <c r="AH60">
        <v>0.66600700000000002</v>
      </c>
      <c r="AI60">
        <v>0.66603000000000001</v>
      </c>
      <c r="AJ60">
        <v>0.66605300000000001</v>
      </c>
      <c r="AK60">
        <f t="shared" ref="AK60:AT60" si="44">AJ60*(1+$AU60)</f>
        <v>0.66607600079425855</v>
      </c>
      <c r="AL60">
        <f t="shared" si="44"/>
        <v>0.66609900238280306</v>
      </c>
      <c r="AM60">
        <f t="shared" si="44"/>
        <v>0.66612200476566097</v>
      </c>
      <c r="AN60">
        <f t="shared" si="44"/>
        <v>0.66614500794285969</v>
      </c>
      <c r="AO60">
        <f t="shared" si="44"/>
        <v>0.66616801191442665</v>
      </c>
      <c r="AP60">
        <f t="shared" si="44"/>
        <v>0.66619101668038927</v>
      </c>
      <c r="AQ60">
        <f t="shared" si="44"/>
        <v>0.66621402224077497</v>
      </c>
      <c r="AR60">
        <f t="shared" si="44"/>
        <v>0.66623702859561118</v>
      </c>
      <c r="AS60">
        <f t="shared" si="44"/>
        <v>0.66626003574492543</v>
      </c>
      <c r="AT60">
        <f t="shared" si="44"/>
        <v>0.66628304368874502</v>
      </c>
      <c r="AU60" s="167">
        <f t="shared" si="3"/>
        <v>3.4532978995027719E-5</v>
      </c>
      <c r="AV60" s="140">
        <v>4.0000000000000001E-3</v>
      </c>
    </row>
    <row r="61" spans="1:48">
      <c r="A61" t="s">
        <v>543</v>
      </c>
      <c r="B61" t="s">
        <v>544</v>
      </c>
      <c r="C61" t="s">
        <v>545</v>
      </c>
      <c r="D61" t="s">
        <v>536</v>
      </c>
      <c r="F61">
        <v>0.59947300000000003</v>
      </c>
      <c r="G61">
        <v>0.60308600000000001</v>
      </c>
      <c r="H61">
        <v>0.60643100000000005</v>
      </c>
      <c r="I61">
        <v>0.609429</v>
      </c>
      <c r="J61">
        <v>0.61201399999999995</v>
      </c>
      <c r="K61">
        <v>0.61418600000000001</v>
      </c>
      <c r="L61">
        <v>0.61594499999999996</v>
      </c>
      <c r="M61">
        <v>0.61727799999999999</v>
      </c>
      <c r="N61">
        <v>0.61816499999999996</v>
      </c>
      <c r="O61">
        <v>0.61859900000000001</v>
      </c>
      <c r="P61">
        <v>0.61858500000000005</v>
      </c>
      <c r="Q61">
        <v>0.61857899999999999</v>
      </c>
      <c r="R61">
        <v>0.61858199999999997</v>
      </c>
      <c r="S61">
        <v>0.61859699999999995</v>
      </c>
      <c r="T61">
        <v>0.61862399999999995</v>
      </c>
      <c r="U61">
        <v>0.61865999999999999</v>
      </c>
      <c r="V61">
        <v>0.61870700000000001</v>
      </c>
      <c r="W61">
        <v>0.61876900000000001</v>
      </c>
      <c r="X61">
        <v>0.61884499999999998</v>
      </c>
      <c r="Y61">
        <v>0.61892999999999998</v>
      </c>
      <c r="Z61">
        <v>0.61902299999999999</v>
      </c>
      <c r="AA61">
        <v>0.61912299999999998</v>
      </c>
      <c r="AB61">
        <v>0.619228</v>
      </c>
      <c r="AC61">
        <v>0.61933199999999999</v>
      </c>
      <c r="AD61">
        <v>0.61943899999999996</v>
      </c>
      <c r="AE61">
        <v>0.61954600000000004</v>
      </c>
      <c r="AF61">
        <v>0.61965400000000004</v>
      </c>
      <c r="AG61">
        <v>0.61976500000000001</v>
      </c>
      <c r="AH61">
        <v>0.61987700000000001</v>
      </c>
      <c r="AI61">
        <v>0.61999199999999999</v>
      </c>
      <c r="AJ61">
        <v>0.62011000000000005</v>
      </c>
      <c r="AK61">
        <f t="shared" ref="AK61:AT61" si="45">AJ61*(1+$AU61)</f>
        <v>0.6202280224583544</v>
      </c>
      <c r="AL61">
        <f t="shared" si="45"/>
        <v>0.6203460673793374</v>
      </c>
      <c r="AM61">
        <f t="shared" si="45"/>
        <v>0.62046413476722428</v>
      </c>
      <c r="AN61">
        <f t="shared" si="45"/>
        <v>0.62058222462629109</v>
      </c>
      <c r="AO61">
        <f t="shared" si="45"/>
        <v>0.62070033696081461</v>
      </c>
      <c r="AP61">
        <f t="shared" si="45"/>
        <v>0.62081847177507254</v>
      </c>
      <c r="AQ61">
        <f t="shared" si="45"/>
        <v>0.62093662907334324</v>
      </c>
      <c r="AR61">
        <f t="shared" si="45"/>
        <v>0.62105480885990605</v>
      </c>
      <c r="AS61">
        <f t="shared" si="45"/>
        <v>0.62117301113904111</v>
      </c>
      <c r="AT61">
        <f t="shared" si="45"/>
        <v>0.62129123591502922</v>
      </c>
      <c r="AU61" s="167">
        <f t="shared" si="3"/>
        <v>1.903250364521103E-4</v>
      </c>
      <c r="AV61" s="140">
        <v>1E-3</v>
      </c>
    </row>
    <row r="62" spans="1:48">
      <c r="A62" t="s">
        <v>546</v>
      </c>
      <c r="C62" t="s">
        <v>547</v>
      </c>
      <c r="AU62" s="167"/>
    </row>
    <row r="63" spans="1:48">
      <c r="A63" t="s">
        <v>486</v>
      </c>
      <c r="B63" t="s">
        <v>548</v>
      </c>
      <c r="C63" t="s">
        <v>549</v>
      </c>
      <c r="D63" t="s">
        <v>550</v>
      </c>
      <c r="F63">
        <v>621.62353499999995</v>
      </c>
      <c r="G63">
        <v>612.01745600000004</v>
      </c>
      <c r="H63">
        <v>602.28350799999998</v>
      </c>
      <c r="I63">
        <v>592.46655299999998</v>
      </c>
      <c r="J63">
        <v>583.16314699999998</v>
      </c>
      <c r="K63">
        <v>574.37078899999995</v>
      </c>
      <c r="L63">
        <v>566.11254899999994</v>
      </c>
      <c r="M63">
        <v>558.39550799999995</v>
      </c>
      <c r="N63">
        <v>551.19079599999998</v>
      </c>
      <c r="O63">
        <v>544.47058100000004</v>
      </c>
      <c r="P63">
        <v>538.25567599999999</v>
      </c>
      <c r="Q63">
        <v>532.62060499999995</v>
      </c>
      <c r="R63">
        <v>527.52893100000006</v>
      </c>
      <c r="S63">
        <v>522.97796600000004</v>
      </c>
      <c r="T63">
        <v>518.96453899999995</v>
      </c>
      <c r="U63">
        <v>515.45684800000004</v>
      </c>
      <c r="V63">
        <v>512.45495600000004</v>
      </c>
      <c r="W63">
        <v>509.931488</v>
      </c>
      <c r="X63">
        <v>507.91201799999999</v>
      </c>
      <c r="Y63">
        <v>506.37027</v>
      </c>
      <c r="Z63">
        <v>505.33245799999997</v>
      </c>
      <c r="AA63">
        <v>504.82308999999998</v>
      </c>
      <c r="AB63">
        <v>504.83019999999999</v>
      </c>
      <c r="AC63">
        <v>504.83660900000001</v>
      </c>
      <c r="AD63">
        <v>504.84295700000001</v>
      </c>
      <c r="AE63">
        <v>504.84893799999998</v>
      </c>
      <c r="AF63">
        <v>504.85556000000003</v>
      </c>
      <c r="AG63">
        <v>504.86337300000002</v>
      </c>
      <c r="AH63">
        <v>504.87289399999997</v>
      </c>
      <c r="AI63">
        <v>504.88479599999999</v>
      </c>
      <c r="AJ63">
        <v>504.89883400000002</v>
      </c>
      <c r="AK63">
        <f t="shared" ref="AK63:AT63" si="46">AJ63*(1+$AU63)</f>
        <v>504.91287239031766</v>
      </c>
      <c r="AL63">
        <f t="shared" si="46"/>
        <v>504.92691117096382</v>
      </c>
      <c r="AM63">
        <f t="shared" si="46"/>
        <v>504.9409503419493</v>
      </c>
      <c r="AN63">
        <f t="shared" si="46"/>
        <v>504.95498990328502</v>
      </c>
      <c r="AO63">
        <f t="shared" si="46"/>
        <v>504.96902985498178</v>
      </c>
      <c r="AP63">
        <f t="shared" si="46"/>
        <v>504.98307019705044</v>
      </c>
      <c r="AQ63">
        <f t="shared" si="46"/>
        <v>504.9971109295019</v>
      </c>
      <c r="AR63">
        <f t="shared" si="46"/>
        <v>505.01115205234697</v>
      </c>
      <c r="AS63">
        <f t="shared" si="46"/>
        <v>505.02519356559651</v>
      </c>
      <c r="AT63">
        <f t="shared" si="46"/>
        <v>505.03923546926137</v>
      </c>
      <c r="AU63" s="167">
        <f t="shared" si="3"/>
        <v>2.780436272042941E-5</v>
      </c>
      <c r="AV63" s="140">
        <v>-7.0000000000000001E-3</v>
      </c>
    </row>
    <row r="64" spans="1:48">
      <c r="A64" t="s">
        <v>489</v>
      </c>
      <c r="B64" t="s">
        <v>551</v>
      </c>
      <c r="C64" t="s">
        <v>552</v>
      </c>
      <c r="D64" t="s">
        <v>550</v>
      </c>
      <c r="F64">
        <v>458.33587599999998</v>
      </c>
      <c r="G64">
        <v>453.551605</v>
      </c>
      <c r="H64">
        <v>448.81262199999998</v>
      </c>
      <c r="I64">
        <v>444.02313199999998</v>
      </c>
      <c r="J64">
        <v>439.13891599999999</v>
      </c>
      <c r="K64">
        <v>434.15997299999998</v>
      </c>
      <c r="L64">
        <v>429.10784899999999</v>
      </c>
      <c r="M64">
        <v>424.04934700000001</v>
      </c>
      <c r="N64">
        <v>419.25418100000002</v>
      </c>
      <c r="O64">
        <v>414.70547499999998</v>
      </c>
      <c r="P64">
        <v>410.41049199999998</v>
      </c>
      <c r="Q64">
        <v>406.348907</v>
      </c>
      <c r="R64">
        <v>402.49783300000001</v>
      </c>
      <c r="S64">
        <v>398.87881499999997</v>
      </c>
      <c r="T64">
        <v>395.503693</v>
      </c>
      <c r="U64">
        <v>392.35119600000002</v>
      </c>
      <c r="V64">
        <v>389.462311</v>
      </c>
      <c r="W64">
        <v>386.81314099999997</v>
      </c>
      <c r="X64">
        <v>384.4151</v>
      </c>
      <c r="Y64">
        <v>382.253174</v>
      </c>
      <c r="Z64">
        <v>380.31237800000002</v>
      </c>
      <c r="AA64">
        <v>378.63961799999998</v>
      </c>
      <c r="AB64">
        <v>377.21209700000003</v>
      </c>
      <c r="AC64">
        <v>376.06655899999998</v>
      </c>
      <c r="AD64">
        <v>375.22180200000003</v>
      </c>
      <c r="AE64">
        <v>374.67923000000002</v>
      </c>
      <c r="AF64">
        <v>374.43267800000001</v>
      </c>
      <c r="AG64">
        <v>374.43493699999999</v>
      </c>
      <c r="AH64">
        <v>374.43722500000001</v>
      </c>
      <c r="AI64">
        <v>374.43997200000001</v>
      </c>
      <c r="AJ64">
        <v>374.44287100000003</v>
      </c>
      <c r="AK64">
        <f t="shared" ref="AK64:AT64" si="47">AJ64*(1+$AU64)</f>
        <v>374.44577002244478</v>
      </c>
      <c r="AL64">
        <f t="shared" si="47"/>
        <v>374.44866906733444</v>
      </c>
      <c r="AM64">
        <f t="shared" si="47"/>
        <v>374.45156813466917</v>
      </c>
      <c r="AN64">
        <f t="shared" si="47"/>
        <v>374.45446722444916</v>
      </c>
      <c r="AO64">
        <f t="shared" si="47"/>
        <v>374.45736633667457</v>
      </c>
      <c r="AP64">
        <f t="shared" si="47"/>
        <v>374.46026547134556</v>
      </c>
      <c r="AQ64">
        <f t="shared" si="47"/>
        <v>374.46316462846232</v>
      </c>
      <c r="AR64">
        <f t="shared" si="47"/>
        <v>374.46606380802501</v>
      </c>
      <c r="AS64">
        <f t="shared" si="47"/>
        <v>374.4689630100338</v>
      </c>
      <c r="AT64">
        <f t="shared" si="47"/>
        <v>374.47186223448887</v>
      </c>
      <c r="AU64" s="167">
        <f t="shared" si="3"/>
        <v>7.7422289734840888E-6</v>
      </c>
      <c r="AV64" s="140">
        <v>-7.0000000000000001E-3</v>
      </c>
    </row>
    <row r="65" spans="1:48">
      <c r="A65" t="s">
        <v>553</v>
      </c>
      <c r="C65" t="s">
        <v>554</v>
      </c>
      <c r="AU65" s="167"/>
    </row>
    <row r="66" spans="1:48">
      <c r="A66" t="s">
        <v>555</v>
      </c>
      <c r="C66" t="s">
        <v>556</v>
      </c>
      <c r="AU66" s="167"/>
    </row>
    <row r="67" spans="1:48">
      <c r="A67" t="s">
        <v>557</v>
      </c>
      <c r="B67" t="s">
        <v>558</v>
      </c>
      <c r="C67" t="s">
        <v>559</v>
      </c>
      <c r="D67" t="s">
        <v>560</v>
      </c>
      <c r="F67">
        <v>0.96857099999999996</v>
      </c>
      <c r="G67">
        <v>0.96219500000000002</v>
      </c>
      <c r="H67">
        <v>0.95558200000000004</v>
      </c>
      <c r="I67">
        <v>0.94915099999999997</v>
      </c>
      <c r="J67">
        <v>0.94313400000000003</v>
      </c>
      <c r="K67">
        <v>0.93678799999999995</v>
      </c>
      <c r="L67">
        <v>0.93005000000000004</v>
      </c>
      <c r="M67">
        <v>0.92307899999999998</v>
      </c>
      <c r="N67">
        <v>0.916107</v>
      </c>
      <c r="O67">
        <v>0.90907000000000004</v>
      </c>
      <c r="P67">
        <v>0.90168400000000004</v>
      </c>
      <c r="Q67">
        <v>0.89444000000000001</v>
      </c>
      <c r="R67">
        <v>0.88738399999999995</v>
      </c>
      <c r="S67">
        <v>0.88047600000000004</v>
      </c>
      <c r="T67">
        <v>0.87365800000000005</v>
      </c>
      <c r="U67">
        <v>0.86696200000000001</v>
      </c>
      <c r="V67">
        <v>0.86032600000000004</v>
      </c>
      <c r="W67">
        <v>0.85367599999999999</v>
      </c>
      <c r="X67">
        <v>0.84702999999999995</v>
      </c>
      <c r="Y67">
        <v>0.84042499999999998</v>
      </c>
      <c r="Z67">
        <v>0.83381400000000006</v>
      </c>
      <c r="AA67">
        <v>0.82716299999999998</v>
      </c>
      <c r="AB67">
        <v>0.82049000000000005</v>
      </c>
      <c r="AC67">
        <v>0.81384100000000004</v>
      </c>
      <c r="AD67">
        <v>0.80719099999999999</v>
      </c>
      <c r="AE67">
        <v>0.80052999999999996</v>
      </c>
      <c r="AF67">
        <v>0.79390700000000003</v>
      </c>
      <c r="AG67">
        <v>0.78730800000000001</v>
      </c>
      <c r="AH67">
        <v>0.780779</v>
      </c>
      <c r="AI67">
        <v>0.77427199999999996</v>
      </c>
      <c r="AJ67">
        <v>0.76773899999999995</v>
      </c>
      <c r="AK67">
        <f t="shared" ref="AK67:AT67" si="48">AJ67*(1+$AU67)</f>
        <v>0.76126112286250824</v>
      </c>
      <c r="AL67">
        <f t="shared" si="48"/>
        <v>0.75483790348267699</v>
      </c>
      <c r="AM67">
        <f t="shared" si="48"/>
        <v>0.74846888068002837</v>
      </c>
      <c r="AN67">
        <f t="shared" si="48"/>
        <v>0.74215359716534279</v>
      </c>
      <c r="AO67">
        <f t="shared" si="48"/>
        <v>0.73589159950782557</v>
      </c>
      <c r="AP67">
        <f t="shared" si="48"/>
        <v>0.72968243810255118</v>
      </c>
      <c r="AQ67">
        <f t="shared" si="48"/>
        <v>0.72352566713818212</v>
      </c>
      <c r="AR67">
        <f t="shared" si="48"/>
        <v>0.71742084456496014</v>
      </c>
      <c r="AS67">
        <f t="shared" si="48"/>
        <v>0.71136753206296743</v>
      </c>
      <c r="AT67">
        <f t="shared" si="48"/>
        <v>0.70536529501065592</v>
      </c>
      <c r="AU67" s="167">
        <f t="shared" si="3"/>
        <v>-8.4376033228632519E-3</v>
      </c>
      <c r="AV67" s="140">
        <v>-8.0000000000000002E-3</v>
      </c>
    </row>
    <row r="68" spans="1:48">
      <c r="A68" t="s">
        <v>561</v>
      </c>
      <c r="B68" t="s">
        <v>562</v>
      </c>
      <c r="C68" t="s">
        <v>563</v>
      </c>
      <c r="D68" t="s">
        <v>560</v>
      </c>
      <c r="F68">
        <v>0.87612599999999996</v>
      </c>
      <c r="G68">
        <v>0.86073100000000002</v>
      </c>
      <c r="H68">
        <v>0.86105100000000001</v>
      </c>
      <c r="I68">
        <v>0.83911199999999997</v>
      </c>
      <c r="J68">
        <v>0.84097500000000003</v>
      </c>
      <c r="K68">
        <v>0.849549</v>
      </c>
      <c r="L68">
        <v>0.84729600000000005</v>
      </c>
      <c r="M68">
        <v>0.84404299999999999</v>
      </c>
      <c r="N68">
        <v>0.84234600000000004</v>
      </c>
      <c r="O68">
        <v>0.84084199999999998</v>
      </c>
      <c r="P68">
        <v>0.83946299999999996</v>
      </c>
      <c r="Q68">
        <v>0.83784199999999998</v>
      </c>
      <c r="R68">
        <v>0.83628999999999998</v>
      </c>
      <c r="S68">
        <v>0.83408899999999997</v>
      </c>
      <c r="T68">
        <v>0.83298700000000003</v>
      </c>
      <c r="U68">
        <v>0.83254600000000001</v>
      </c>
      <c r="V68">
        <v>0.83162700000000001</v>
      </c>
      <c r="W68">
        <v>0.83116999999999996</v>
      </c>
      <c r="X68">
        <v>0.83111599999999997</v>
      </c>
      <c r="Y68">
        <v>0.83187599999999995</v>
      </c>
      <c r="Z68">
        <v>0.83061300000000005</v>
      </c>
      <c r="AA68">
        <v>0.82931200000000005</v>
      </c>
      <c r="AB68">
        <v>0.82853200000000005</v>
      </c>
      <c r="AC68">
        <v>0.82697600000000004</v>
      </c>
      <c r="AD68">
        <v>0.82378300000000004</v>
      </c>
      <c r="AE68">
        <v>0.82216699999999998</v>
      </c>
      <c r="AF68">
        <v>0.81980799999999998</v>
      </c>
      <c r="AG68">
        <v>0.81872100000000003</v>
      </c>
      <c r="AH68">
        <v>0.81884000000000001</v>
      </c>
      <c r="AI68">
        <v>0.81881199999999998</v>
      </c>
      <c r="AJ68">
        <v>0.81903499999999996</v>
      </c>
      <c r="AK68">
        <f t="shared" ref="AK68:AT68" si="49">AJ68*(1+$AU68)</f>
        <v>0.81925806073311069</v>
      </c>
      <c r="AL68">
        <f t="shared" si="49"/>
        <v>0.81948118221587274</v>
      </c>
      <c r="AM68">
        <f t="shared" si="49"/>
        <v>0.81970436446483108</v>
      </c>
      <c r="AN68">
        <f t="shared" si="49"/>
        <v>0.81992760749653504</v>
      </c>
      <c r="AO68">
        <f t="shared" si="49"/>
        <v>0.82015091132753859</v>
      </c>
      <c r="AP68">
        <f t="shared" si="49"/>
        <v>0.82037427597440005</v>
      </c>
      <c r="AQ68">
        <f t="shared" si="49"/>
        <v>0.82059770145368249</v>
      </c>
      <c r="AR68">
        <f t="shared" si="49"/>
        <v>0.82082118778195334</v>
      </c>
      <c r="AS68">
        <f t="shared" si="49"/>
        <v>0.82104473497578456</v>
      </c>
      <c r="AT68">
        <f t="shared" si="49"/>
        <v>0.82126834305175256</v>
      </c>
      <c r="AU68" s="167">
        <f t="shared" si="3"/>
        <v>2.7234578877677329E-4</v>
      </c>
      <c r="AV68" s="140">
        <v>-2E-3</v>
      </c>
    </row>
    <row r="69" spans="1:48">
      <c r="A69" t="s">
        <v>564</v>
      </c>
      <c r="B69" t="s">
        <v>565</v>
      </c>
      <c r="C69" t="s">
        <v>566</v>
      </c>
      <c r="D69" t="s">
        <v>560</v>
      </c>
      <c r="F69">
        <v>0.96265100000000003</v>
      </c>
      <c r="G69">
        <v>0.95552099999999995</v>
      </c>
      <c r="H69">
        <v>0.94833000000000001</v>
      </c>
      <c r="I69">
        <v>0.941222</v>
      </c>
      <c r="J69">
        <v>0.93464100000000006</v>
      </c>
      <c r="K69">
        <v>0.92796800000000002</v>
      </c>
      <c r="L69">
        <v>0.92107399999999995</v>
      </c>
      <c r="M69">
        <v>0.91412700000000002</v>
      </c>
      <c r="N69">
        <v>0.90733699999999995</v>
      </c>
      <c r="O69">
        <v>0.90063099999999996</v>
      </c>
      <c r="P69">
        <v>0.89376500000000003</v>
      </c>
      <c r="Q69">
        <v>0.88714999999999999</v>
      </c>
      <c r="R69">
        <v>0.88080499999999995</v>
      </c>
      <c r="S69">
        <v>0.87468299999999999</v>
      </c>
      <c r="T69">
        <v>0.86874200000000001</v>
      </c>
      <c r="U69">
        <v>0.86299499999999996</v>
      </c>
      <c r="V69">
        <v>0.85738700000000001</v>
      </c>
      <c r="W69">
        <v>0.85185900000000003</v>
      </c>
      <c r="X69">
        <v>0.84642399999999995</v>
      </c>
      <c r="Y69">
        <v>0.84111599999999997</v>
      </c>
      <c r="Z69">
        <v>0.83587699999999998</v>
      </c>
      <c r="AA69">
        <v>0.830681</v>
      </c>
      <c r="AB69">
        <v>0.82554700000000003</v>
      </c>
      <c r="AC69">
        <v>0.82049899999999998</v>
      </c>
      <c r="AD69">
        <v>0.81550599999999995</v>
      </c>
      <c r="AE69">
        <v>0.81057000000000001</v>
      </c>
      <c r="AF69">
        <v>0.80572200000000005</v>
      </c>
      <c r="AG69">
        <v>0.80095799999999995</v>
      </c>
      <c r="AH69">
        <v>0.79632000000000003</v>
      </c>
      <c r="AI69">
        <v>0.79176999999999997</v>
      </c>
      <c r="AJ69">
        <v>0.78727400000000003</v>
      </c>
      <c r="AK69">
        <f t="shared" ref="AK69:AT69" si="50">AJ69*(1+$AU69)</f>
        <v>0.78280353016153692</v>
      </c>
      <c r="AL69">
        <f t="shared" si="50"/>
        <v>0.77835844551371469</v>
      </c>
      <c r="AM69">
        <f t="shared" si="50"/>
        <v>0.77393860190884256</v>
      </c>
      <c r="AN69">
        <f t="shared" si="50"/>
        <v>0.76954385601776043</v>
      </c>
      <c r="AO69">
        <f t="shared" si="50"/>
        <v>0.76517406532519083</v>
      </c>
      <c r="AP69">
        <f t="shared" si="50"/>
        <v>0.76082908812511763</v>
      </c>
      <c r="AQ69">
        <f t="shared" si="50"/>
        <v>0.75650878351619022</v>
      </c>
      <c r="AR69">
        <f t="shared" si="50"/>
        <v>0.75221301139715468</v>
      </c>
      <c r="AS69">
        <f t="shared" si="50"/>
        <v>0.74794163246231049</v>
      </c>
      <c r="AT69">
        <f t="shared" si="50"/>
        <v>0.7436945081969929</v>
      </c>
      <c r="AU69" s="167">
        <f t="shared" si="3"/>
        <v>-5.6784167119238171E-3</v>
      </c>
      <c r="AV69" s="140">
        <v>-7.0000000000000001E-3</v>
      </c>
    </row>
    <row r="70" spans="1:48">
      <c r="A70" t="s">
        <v>513</v>
      </c>
      <c r="C70" t="s">
        <v>567</v>
      </c>
      <c r="AU70" s="167"/>
    </row>
    <row r="71" spans="1:48">
      <c r="A71" t="s">
        <v>557</v>
      </c>
      <c r="B71" t="s">
        <v>568</v>
      </c>
      <c r="C71" t="s">
        <v>569</v>
      </c>
      <c r="D71" t="s">
        <v>560</v>
      </c>
      <c r="F71">
        <v>0.98902999999999996</v>
      </c>
      <c r="G71">
        <v>0.98679700000000004</v>
      </c>
      <c r="H71">
        <v>0.98445099999999996</v>
      </c>
      <c r="I71">
        <v>0.98214999999999997</v>
      </c>
      <c r="J71">
        <v>0.97998700000000005</v>
      </c>
      <c r="K71">
        <v>0.97770999999999997</v>
      </c>
      <c r="L71">
        <v>0.97528400000000004</v>
      </c>
      <c r="M71">
        <v>0.97276099999999999</v>
      </c>
      <c r="N71">
        <v>0.97024100000000002</v>
      </c>
      <c r="O71">
        <v>0.96769899999999998</v>
      </c>
      <c r="P71">
        <v>0.96503799999999995</v>
      </c>
      <c r="Q71">
        <v>0.96242300000000003</v>
      </c>
      <c r="R71">
        <v>0.95986899999999997</v>
      </c>
      <c r="S71">
        <v>0.95735899999999996</v>
      </c>
      <c r="T71">
        <v>0.95488399999999996</v>
      </c>
      <c r="U71">
        <v>0.95245500000000005</v>
      </c>
      <c r="V71">
        <v>0.95005099999999998</v>
      </c>
      <c r="W71">
        <v>0.94763900000000001</v>
      </c>
      <c r="X71">
        <v>0.94522099999999998</v>
      </c>
      <c r="Y71">
        <v>0.94282100000000002</v>
      </c>
      <c r="Z71">
        <v>0.94040599999999996</v>
      </c>
      <c r="AA71">
        <v>0.93796500000000005</v>
      </c>
      <c r="AB71">
        <v>0.93551499999999999</v>
      </c>
      <c r="AC71">
        <v>0.93306699999999998</v>
      </c>
      <c r="AD71">
        <v>0.93061499999999997</v>
      </c>
      <c r="AE71">
        <v>0.92815099999999995</v>
      </c>
      <c r="AF71">
        <v>0.925701</v>
      </c>
      <c r="AG71">
        <v>0.923265</v>
      </c>
      <c r="AH71">
        <v>0.92085499999999998</v>
      </c>
      <c r="AI71">
        <v>0.91844499999999996</v>
      </c>
      <c r="AJ71">
        <v>0.91602300000000003</v>
      </c>
      <c r="AK71">
        <f t="shared" ref="AK71:AT71" si="51">AJ71*(1+$AU71)</f>
        <v>0.91360738697363486</v>
      </c>
      <c r="AL71">
        <f t="shared" si="51"/>
        <v>0.91119814407803401</v>
      </c>
      <c r="AM71">
        <f t="shared" si="51"/>
        <v>0.90879525451474286</v>
      </c>
      <c r="AN71">
        <f t="shared" si="51"/>
        <v>0.90639870152960533</v>
      </c>
      <c r="AO71">
        <f t="shared" si="51"/>
        <v>0.90400846841264715</v>
      </c>
      <c r="AP71">
        <f t="shared" si="51"/>
        <v>0.90162453849795943</v>
      </c>
      <c r="AQ71">
        <f t="shared" si="51"/>
        <v>0.89924689516358225</v>
      </c>
      <c r="AR71">
        <f t="shared" si="51"/>
        <v>0.89687552183138908</v>
      </c>
      <c r="AS71">
        <f t="shared" si="51"/>
        <v>0.89451040196697085</v>
      </c>
      <c r="AT71">
        <f t="shared" si="51"/>
        <v>0.89215151907952095</v>
      </c>
      <c r="AU71" s="167">
        <f t="shared" si="3"/>
        <v>-2.6370659103157612E-3</v>
      </c>
      <c r="AV71" s="140">
        <v>-3.0000000000000001E-3</v>
      </c>
    </row>
    <row r="72" spans="1:48">
      <c r="A72" t="s">
        <v>561</v>
      </c>
      <c r="B72" t="s">
        <v>570</v>
      </c>
      <c r="C72" t="s">
        <v>571</v>
      </c>
      <c r="D72" t="s">
        <v>560</v>
      </c>
      <c r="F72">
        <v>0.99050899999999997</v>
      </c>
      <c r="G72">
        <v>0.98355499999999996</v>
      </c>
      <c r="H72">
        <v>0.98345700000000003</v>
      </c>
      <c r="I72">
        <v>0.97756799999999999</v>
      </c>
      <c r="J72">
        <v>0.97943800000000003</v>
      </c>
      <c r="K72">
        <v>0.984205</v>
      </c>
      <c r="L72">
        <v>0.98368800000000001</v>
      </c>
      <c r="M72">
        <v>0.98151299999999997</v>
      </c>
      <c r="N72">
        <v>0.98000699999999996</v>
      </c>
      <c r="O72">
        <v>0.97852899999999998</v>
      </c>
      <c r="P72">
        <v>0.97720799999999997</v>
      </c>
      <c r="Q72">
        <v>0.97599800000000003</v>
      </c>
      <c r="R72">
        <v>0.97518400000000005</v>
      </c>
      <c r="S72">
        <v>0.974275</v>
      </c>
      <c r="T72">
        <v>0.97414000000000001</v>
      </c>
      <c r="U72">
        <v>0.97463100000000003</v>
      </c>
      <c r="V72">
        <v>0.97485900000000003</v>
      </c>
      <c r="W72">
        <v>0.97499199999999997</v>
      </c>
      <c r="X72">
        <v>0.97527299999999995</v>
      </c>
      <c r="Y72">
        <v>0.97632399999999997</v>
      </c>
      <c r="Z72">
        <v>0.97634299999999996</v>
      </c>
      <c r="AA72">
        <v>0.97619999999999996</v>
      </c>
      <c r="AB72">
        <v>0.97628000000000004</v>
      </c>
      <c r="AC72">
        <v>0.97576700000000005</v>
      </c>
      <c r="AD72">
        <v>0.97418400000000005</v>
      </c>
      <c r="AE72">
        <v>0.973526</v>
      </c>
      <c r="AF72">
        <v>0.972333</v>
      </c>
      <c r="AG72">
        <v>0.97171700000000005</v>
      </c>
      <c r="AH72">
        <v>0.97188200000000002</v>
      </c>
      <c r="AI72">
        <v>0.97206000000000004</v>
      </c>
      <c r="AJ72">
        <v>0.97226599999999996</v>
      </c>
      <c r="AK72">
        <f t="shared" ref="AK72:AT72" si="52">AJ72*(1+$AU72)</f>
        <v>0.97247204365574125</v>
      </c>
      <c r="AL72">
        <f t="shared" si="52"/>
        <v>0.97267813097647549</v>
      </c>
      <c r="AM72">
        <f t="shared" si="52"/>
        <v>0.97288426197145628</v>
      </c>
      <c r="AN72">
        <f t="shared" si="52"/>
        <v>0.97309043664993899</v>
      </c>
      <c r="AO72">
        <f t="shared" si="52"/>
        <v>0.97329665502118123</v>
      </c>
      <c r="AP72">
        <f t="shared" si="52"/>
        <v>0.97350291709444237</v>
      </c>
      <c r="AQ72">
        <f t="shared" si="52"/>
        <v>0.97370922287898376</v>
      </c>
      <c r="AR72">
        <f t="shared" si="52"/>
        <v>0.97391557238406878</v>
      </c>
      <c r="AS72">
        <f t="shared" si="52"/>
        <v>0.97412196561896269</v>
      </c>
      <c r="AT72">
        <f t="shared" si="52"/>
        <v>0.97432840259293274</v>
      </c>
      <c r="AU72" s="167">
        <f t="shared" si="3"/>
        <v>2.1192107483058997E-4</v>
      </c>
      <c r="AV72" s="140">
        <v>-1E-3</v>
      </c>
    </row>
    <row r="73" spans="1:48">
      <c r="A73" t="s">
        <v>564</v>
      </c>
      <c r="B73" t="s">
        <v>572</v>
      </c>
      <c r="C73" t="s">
        <v>573</v>
      </c>
      <c r="D73" t="s">
        <v>560</v>
      </c>
      <c r="F73">
        <v>0.98917699999999997</v>
      </c>
      <c r="G73">
        <v>0.98700399999999999</v>
      </c>
      <c r="H73">
        <v>0.98476399999999997</v>
      </c>
      <c r="I73">
        <v>0.98254900000000001</v>
      </c>
      <c r="J73">
        <v>0.980518</v>
      </c>
      <c r="K73">
        <v>0.97846500000000003</v>
      </c>
      <c r="L73">
        <v>0.97630899999999998</v>
      </c>
      <c r="M73">
        <v>0.97407900000000003</v>
      </c>
      <c r="N73">
        <v>0.97187199999999996</v>
      </c>
      <c r="O73">
        <v>0.96966200000000002</v>
      </c>
      <c r="P73">
        <v>0.96736900000000003</v>
      </c>
      <c r="Q73">
        <v>0.96513400000000005</v>
      </c>
      <c r="R73">
        <v>0.96297299999999997</v>
      </c>
      <c r="S73">
        <v>0.96086800000000006</v>
      </c>
      <c r="T73">
        <v>0.95881300000000003</v>
      </c>
      <c r="U73">
        <v>0.95682500000000004</v>
      </c>
      <c r="V73">
        <v>0.95487999999999995</v>
      </c>
      <c r="W73">
        <v>0.95294900000000005</v>
      </c>
      <c r="X73">
        <v>0.95103499999999996</v>
      </c>
      <c r="Y73">
        <v>0.94916199999999995</v>
      </c>
      <c r="Z73">
        <v>0.94729699999999994</v>
      </c>
      <c r="AA73">
        <v>0.94542899999999996</v>
      </c>
      <c r="AB73">
        <v>0.943573</v>
      </c>
      <c r="AC73">
        <v>0.94173200000000001</v>
      </c>
      <c r="AD73">
        <v>0.93989599999999995</v>
      </c>
      <c r="AE73">
        <v>0.93806400000000001</v>
      </c>
      <c r="AF73">
        <v>0.93625199999999997</v>
      </c>
      <c r="AG73">
        <v>0.93446200000000001</v>
      </c>
      <c r="AH73">
        <v>0.93270799999999998</v>
      </c>
      <c r="AI73">
        <v>0.93097200000000002</v>
      </c>
      <c r="AJ73">
        <v>0.92924099999999998</v>
      </c>
      <c r="AK73">
        <f t="shared" ref="AK73:AT73" si="53">AJ73*(1+$AU73)</f>
        <v>0.92751321852966573</v>
      </c>
      <c r="AL73">
        <f t="shared" si="53"/>
        <v>0.9257886496046337</v>
      </c>
      <c r="AM73">
        <f t="shared" si="53"/>
        <v>0.92406728725166742</v>
      </c>
      <c r="AN73">
        <f t="shared" si="53"/>
        <v>0.92234912550863679</v>
      </c>
      <c r="AO73">
        <f t="shared" si="53"/>
        <v>0.92063415842449725</v>
      </c>
      <c r="AP73">
        <f t="shared" si="53"/>
        <v>0.91892238005926941</v>
      </c>
      <c r="AQ73">
        <f t="shared" si="53"/>
        <v>0.91721378448401836</v>
      </c>
      <c r="AR73">
        <f t="shared" si="53"/>
        <v>0.91550836578083294</v>
      </c>
      <c r="AS73">
        <f t="shared" si="53"/>
        <v>0.91380611804280576</v>
      </c>
      <c r="AT73">
        <f t="shared" si="53"/>
        <v>0.91210703537401217</v>
      </c>
      <c r="AU73" s="167">
        <f t="shared" si="3"/>
        <v>-1.8593470050657368E-3</v>
      </c>
      <c r="AV73" s="140">
        <v>-2E-3</v>
      </c>
    </row>
    <row r="74" spans="1:48">
      <c r="A74" t="s">
        <v>574</v>
      </c>
      <c r="C74" t="s">
        <v>575</v>
      </c>
      <c r="AU74" s="167"/>
    </row>
    <row r="75" spans="1:48">
      <c r="A75" t="s">
        <v>576</v>
      </c>
      <c r="C75" t="s">
        <v>577</v>
      </c>
      <c r="AU75" s="167"/>
    </row>
    <row r="76" spans="1:48">
      <c r="A76" t="s">
        <v>578</v>
      </c>
      <c r="C76" t="s">
        <v>579</v>
      </c>
      <c r="AU76" s="167"/>
    </row>
    <row r="77" spans="1:48">
      <c r="A77" t="s">
        <v>580</v>
      </c>
      <c r="B77" t="s">
        <v>581</v>
      </c>
      <c r="C77" t="s">
        <v>582</v>
      </c>
      <c r="D77" t="s">
        <v>583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1.1E-5</v>
      </c>
      <c r="W77">
        <v>2.0999999999999999E-5</v>
      </c>
      <c r="X77">
        <v>4.1999999999999998E-5</v>
      </c>
      <c r="Y77">
        <v>7.8999999999999996E-5</v>
      </c>
      <c r="Z77">
        <v>1.4799999999999999E-4</v>
      </c>
      <c r="AA77">
        <v>2.7300000000000002E-4</v>
      </c>
      <c r="AB77">
        <v>3.9899999999999999E-4</v>
      </c>
      <c r="AC77">
        <v>5.2499999999999997E-4</v>
      </c>
      <c r="AD77">
        <v>6.5300000000000004E-4</v>
      </c>
      <c r="AE77">
        <v>7.8100000000000001E-4</v>
      </c>
      <c r="AF77">
        <v>9.1E-4</v>
      </c>
      <c r="AG77">
        <v>1.0399999999999999E-3</v>
      </c>
      <c r="AH77">
        <v>1.17E-3</v>
      </c>
      <c r="AI77">
        <v>1.3010000000000001E-3</v>
      </c>
      <c r="AJ77">
        <v>1.433E-3</v>
      </c>
      <c r="AK77">
        <f t="shared" ref="AK77:AT77" si="54">AJ77*(1+$AU77)</f>
        <v>1.578392774788624E-3</v>
      </c>
      <c r="AL77">
        <f t="shared" si="54"/>
        <v>1.7385371608548024E-3</v>
      </c>
      <c r="AM77">
        <f t="shared" si="54"/>
        <v>1.9149298628016384E-3</v>
      </c>
      <c r="AN77">
        <f t="shared" si="54"/>
        <v>2.1092194415024963E-3</v>
      </c>
      <c r="AO77">
        <f t="shared" si="54"/>
        <v>2.323221721501212E-3</v>
      </c>
      <c r="AP77">
        <f t="shared" si="54"/>
        <v>2.5589367616535253E-3</v>
      </c>
      <c r="AQ77">
        <f t="shared" si="54"/>
        <v>2.8185675476168344E-3</v>
      </c>
      <c r="AR77">
        <f t="shared" si="54"/>
        <v>3.1045405808877197E-3</v>
      </c>
      <c r="AS77">
        <f t="shared" si="54"/>
        <v>3.4195285568117614E-3</v>
      </c>
      <c r="AT77">
        <f t="shared" si="54"/>
        <v>3.7664753435136459E-3</v>
      </c>
      <c r="AU77" s="167">
        <f t="shared" ref="AU77:AU93" si="55">AJ77/AI77-1</f>
        <v>0.10146041506533421</v>
      </c>
      <c r="AV77" t="s">
        <v>177</v>
      </c>
    </row>
    <row r="78" spans="1:48">
      <c r="A78" t="s">
        <v>584</v>
      </c>
      <c r="B78" t="s">
        <v>585</v>
      </c>
      <c r="C78" t="s">
        <v>586</v>
      </c>
      <c r="D78" t="s">
        <v>583</v>
      </c>
      <c r="F78">
        <v>18.318204999999999</v>
      </c>
      <c r="G78">
        <v>21.089043</v>
      </c>
      <c r="H78">
        <v>23.519172999999999</v>
      </c>
      <c r="I78">
        <v>25.89143</v>
      </c>
      <c r="J78">
        <v>28.221026999999999</v>
      </c>
      <c r="K78">
        <v>30.570914999999999</v>
      </c>
      <c r="L78">
        <v>32.975586</v>
      </c>
      <c r="M78">
        <v>35.387279999999997</v>
      </c>
      <c r="N78">
        <v>37.822853000000002</v>
      </c>
      <c r="O78">
        <v>40.271053000000002</v>
      </c>
      <c r="P78">
        <v>42.775264999999997</v>
      </c>
      <c r="Q78">
        <v>45.335365000000003</v>
      </c>
      <c r="R78">
        <v>47.952148000000001</v>
      </c>
      <c r="S78">
        <v>50.609779000000003</v>
      </c>
      <c r="T78">
        <v>53.324264999999997</v>
      </c>
      <c r="U78">
        <v>56.072327000000001</v>
      </c>
      <c r="V78">
        <v>58.872860000000003</v>
      </c>
      <c r="W78">
        <v>61.715260000000001</v>
      </c>
      <c r="X78">
        <v>64.619888000000003</v>
      </c>
      <c r="Y78">
        <v>67.572463999999997</v>
      </c>
      <c r="Z78">
        <v>70.595703</v>
      </c>
      <c r="AA78">
        <v>73.678421</v>
      </c>
      <c r="AB78">
        <v>76.830016999999998</v>
      </c>
      <c r="AC78">
        <v>80.069023000000001</v>
      </c>
      <c r="AD78">
        <v>83.385490000000004</v>
      </c>
      <c r="AE78">
        <v>86.808280999999994</v>
      </c>
      <c r="AF78">
        <v>90.307793000000004</v>
      </c>
      <c r="AG78">
        <v>93.883110000000002</v>
      </c>
      <c r="AH78">
        <v>97.568702999999999</v>
      </c>
      <c r="AI78">
        <v>101.33858499999999</v>
      </c>
      <c r="AJ78">
        <v>105.19510699999999</v>
      </c>
      <c r="AK78">
        <f t="shared" ref="AK78:AT78" si="56">AJ78*(1+$AU78)</f>
        <v>109.19839207091206</v>
      </c>
      <c r="AL78">
        <f t="shared" si="56"/>
        <v>113.35402540036992</v>
      </c>
      <c r="AM78">
        <f t="shared" si="56"/>
        <v>117.66780472485017</v>
      </c>
      <c r="AN78">
        <f t="shared" si="56"/>
        <v>122.14574841839087</v>
      </c>
      <c r="AO78">
        <f t="shared" si="56"/>
        <v>126.79410388913273</v>
      </c>
      <c r="AP78">
        <f t="shared" si="56"/>
        <v>131.61935629539758</v>
      </c>
      <c r="AQ78">
        <f t="shared" si="56"/>
        <v>136.62823759346423</v>
      </c>
      <c r="AR78">
        <f t="shared" si="56"/>
        <v>141.82773592966481</v>
      </c>
      <c r="AS78">
        <f t="shared" si="56"/>
        <v>147.22510538990488</v>
      </c>
      <c r="AT78">
        <f t="shared" si="56"/>
        <v>152.82787612020951</v>
      </c>
      <c r="AU78" s="167">
        <f t="shared" si="55"/>
        <v>3.8055810627314335E-2</v>
      </c>
      <c r="AV78" s="140">
        <v>0.06</v>
      </c>
    </row>
    <row r="79" spans="1:48">
      <c r="A79" t="s">
        <v>587</v>
      </c>
      <c r="B79" t="s">
        <v>588</v>
      </c>
      <c r="C79" t="s">
        <v>589</v>
      </c>
      <c r="D79" t="s">
        <v>583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1.4253999999999999E-2</v>
      </c>
      <c r="W79">
        <v>1.4274999999999999E-2</v>
      </c>
      <c r="X79">
        <v>1.4316000000000001E-2</v>
      </c>
      <c r="Y79">
        <v>1.439E-2</v>
      </c>
      <c r="Z79">
        <v>1.4527999999999999E-2</v>
      </c>
      <c r="AA79">
        <v>1.4777999999999999E-2</v>
      </c>
      <c r="AB79">
        <v>1.503E-2</v>
      </c>
      <c r="AC79">
        <v>1.5283E-2</v>
      </c>
      <c r="AD79">
        <v>1.5538E-2</v>
      </c>
      <c r="AE79">
        <v>1.5795E-2</v>
      </c>
      <c r="AF79">
        <v>1.6053000000000001E-2</v>
      </c>
      <c r="AG79">
        <v>1.6312E-2</v>
      </c>
      <c r="AH79">
        <v>1.6573000000000001E-2</v>
      </c>
      <c r="AI79">
        <v>1.6834999999999999E-2</v>
      </c>
      <c r="AJ79">
        <v>1.7097999999999999E-2</v>
      </c>
      <c r="AK79">
        <f t="shared" ref="AK79:AT79" si="57">AJ79*(1+$AU79)</f>
        <v>1.736510864270864E-2</v>
      </c>
      <c r="AL79">
        <f t="shared" si="57"/>
        <v>1.7636390114228236E-2</v>
      </c>
      <c r="AM79">
        <f t="shared" si="57"/>
        <v>1.7911909603390223E-2</v>
      </c>
      <c r="AN79">
        <f t="shared" si="57"/>
        <v>1.8191733317420022E-2</v>
      </c>
      <c r="AO79">
        <f t="shared" si="57"/>
        <v>1.8475928497846603E-2</v>
      </c>
      <c r="AP79">
        <f t="shared" si="57"/>
        <v>1.8764563436660602E-2</v>
      </c>
      <c r="AQ79">
        <f t="shared" si="57"/>
        <v>1.9057707492724858E-2</v>
      </c>
      <c r="AR79">
        <f t="shared" si="57"/>
        <v>1.9355431108441321E-2</v>
      </c>
      <c r="AS79">
        <f t="shared" si="57"/>
        <v>1.9657805826678334E-2</v>
      </c>
      <c r="AT79">
        <f t="shared" si="57"/>
        <v>1.9964904307962349E-2</v>
      </c>
      <c r="AU79" s="167">
        <f t="shared" si="55"/>
        <v>1.5622215622215663E-2</v>
      </c>
      <c r="AV79" s="140">
        <v>6.0000000000000001E-3</v>
      </c>
    </row>
    <row r="80" spans="1:48">
      <c r="A80" t="s">
        <v>430</v>
      </c>
      <c r="B80" t="s">
        <v>590</v>
      </c>
      <c r="C80" t="s">
        <v>591</v>
      </c>
      <c r="D80" t="s">
        <v>583</v>
      </c>
      <c r="F80">
        <v>18.332438</v>
      </c>
      <c r="G80">
        <v>21.103275</v>
      </c>
      <c r="H80">
        <v>23.533404999999998</v>
      </c>
      <c r="I80">
        <v>25.905663000000001</v>
      </c>
      <c r="J80">
        <v>28.23526</v>
      </c>
      <c r="K80">
        <v>30.585148</v>
      </c>
      <c r="L80">
        <v>32.989818999999997</v>
      </c>
      <c r="M80">
        <v>35.401511999999997</v>
      </c>
      <c r="N80">
        <v>37.837085999999999</v>
      </c>
      <c r="O80">
        <v>40.285285999999999</v>
      </c>
      <c r="P80">
        <v>42.789496999999997</v>
      </c>
      <c r="Q80">
        <v>45.349598</v>
      </c>
      <c r="R80">
        <v>47.966380999999998</v>
      </c>
      <c r="S80">
        <v>50.624012</v>
      </c>
      <c r="T80">
        <v>53.338504999999998</v>
      </c>
      <c r="U80">
        <v>56.086570999999999</v>
      </c>
      <c r="V80">
        <v>58.887123000000003</v>
      </c>
      <c r="W80">
        <v>61.729557</v>
      </c>
      <c r="X80">
        <v>64.634238999999994</v>
      </c>
      <c r="Y80">
        <v>67.586928999999998</v>
      </c>
      <c r="Z80">
        <v>70.610373999999993</v>
      </c>
      <c r="AA80">
        <v>73.693473999999995</v>
      </c>
      <c r="AB80">
        <v>76.845444000000001</v>
      </c>
      <c r="AC80">
        <v>80.084830999999994</v>
      </c>
      <c r="AD80">
        <v>83.401687999999993</v>
      </c>
      <c r="AE80">
        <v>86.824852000000007</v>
      </c>
      <c r="AF80">
        <v>90.324753000000001</v>
      </c>
      <c r="AG80">
        <v>93.900458999999998</v>
      </c>
      <c r="AH80">
        <v>97.586440999999994</v>
      </c>
      <c r="AI80">
        <v>101.356728</v>
      </c>
      <c r="AJ80">
        <v>105.213638</v>
      </c>
      <c r="AK80">
        <f t="shared" ref="AK80:AT80" si="58">AJ80*(1+$AU80)</f>
        <v>109.21731432761962</v>
      </c>
      <c r="AL80">
        <f t="shared" si="58"/>
        <v>113.37334185648123</v>
      </c>
      <c r="AM80">
        <f t="shared" si="58"/>
        <v>117.68751798043505</v>
      </c>
      <c r="AN80">
        <f t="shared" si="58"/>
        <v>122.16586070055442</v>
      </c>
      <c r="AO80">
        <f t="shared" si="58"/>
        <v>126.81461701986433</v>
      </c>
      <c r="AP80">
        <f t="shared" si="58"/>
        <v>131.6402716575129</v>
      </c>
      <c r="AQ80">
        <f t="shared" si="58"/>
        <v>136.64955609454185</v>
      </c>
      <c r="AR80">
        <f t="shared" si="58"/>
        <v>141.8494579638741</v>
      </c>
      <c r="AS80">
        <f t="shared" si="58"/>
        <v>147.24723079761677</v>
      </c>
      <c r="AT80">
        <f t="shared" si="58"/>
        <v>152.85040414527688</v>
      </c>
      <c r="AU80" s="167">
        <f t="shared" si="55"/>
        <v>3.8052826646100879E-2</v>
      </c>
      <c r="AV80" s="140">
        <v>0.06</v>
      </c>
    </row>
    <row r="81" spans="1:48">
      <c r="A81" t="s">
        <v>592</v>
      </c>
      <c r="C81" t="s">
        <v>593</v>
      </c>
      <c r="AU81" s="167"/>
    </row>
    <row r="82" spans="1:48">
      <c r="A82" t="s">
        <v>580</v>
      </c>
      <c r="B82" t="s">
        <v>594</v>
      </c>
      <c r="C82" t="s">
        <v>595</v>
      </c>
      <c r="D82" t="s">
        <v>596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1.4E-5</v>
      </c>
      <c r="V82">
        <v>3.0000000000000001E-5</v>
      </c>
      <c r="W82">
        <v>6.0000000000000002E-5</v>
      </c>
      <c r="X82">
        <v>1.17E-4</v>
      </c>
      <c r="Y82">
        <v>2.2000000000000001E-4</v>
      </c>
      <c r="Z82">
        <v>4.1199999999999999E-4</v>
      </c>
      <c r="AA82">
        <v>7.6199999999999998E-4</v>
      </c>
      <c r="AB82">
        <v>1.1130000000000001E-3</v>
      </c>
      <c r="AC82">
        <v>1.4660000000000001E-3</v>
      </c>
      <c r="AD82">
        <v>1.8220000000000001E-3</v>
      </c>
      <c r="AE82">
        <v>2.1789999999999999E-3</v>
      </c>
      <c r="AF82">
        <v>2.5400000000000002E-3</v>
      </c>
      <c r="AG82">
        <v>2.9020000000000001E-3</v>
      </c>
      <c r="AH82">
        <v>3.2650000000000001E-3</v>
      </c>
      <c r="AI82">
        <v>3.63E-3</v>
      </c>
      <c r="AJ82">
        <v>3.9979999999999998E-3</v>
      </c>
      <c r="AK82">
        <f t="shared" ref="AK82:AT82" si="59">AJ82*(1+$AU82)</f>
        <v>4.4033068870523414E-3</v>
      </c>
      <c r="AL82">
        <f t="shared" si="59"/>
        <v>4.8497027367590253E-3</v>
      </c>
      <c r="AM82">
        <f t="shared" si="59"/>
        <v>5.3413530417527784E-3</v>
      </c>
      <c r="AN82">
        <f t="shared" si="59"/>
        <v>5.8828455815227573E-3</v>
      </c>
      <c r="AO82">
        <f t="shared" si="59"/>
        <v>6.4792332327625306E-3</v>
      </c>
      <c r="AP82">
        <f t="shared" si="59"/>
        <v>7.1360811197202752E-3</v>
      </c>
      <c r="AQ82">
        <f t="shared" si="59"/>
        <v>7.8595185445293828E-3</v>
      </c>
      <c r="AR82">
        <f t="shared" si="59"/>
        <v>8.6562961821015083E-3</v>
      </c>
      <c r="AS82">
        <f t="shared" si="59"/>
        <v>9.5338490732897602E-3</v>
      </c>
      <c r="AT82">
        <f t="shared" si="59"/>
        <v>1.0500366004135665E-2</v>
      </c>
      <c r="AU82" s="167">
        <f t="shared" si="55"/>
        <v>0.10137741046831961</v>
      </c>
      <c r="AV82" t="s">
        <v>177</v>
      </c>
    </row>
    <row r="83" spans="1:48">
      <c r="A83" t="s">
        <v>584</v>
      </c>
      <c r="B83" t="s">
        <v>597</v>
      </c>
      <c r="C83" t="s">
        <v>598</v>
      </c>
      <c r="D83" t="s">
        <v>596</v>
      </c>
      <c r="F83">
        <v>27.109546999999999</v>
      </c>
      <c r="G83">
        <v>31.223125</v>
      </c>
      <c r="H83">
        <v>34.792332000000002</v>
      </c>
      <c r="I83">
        <v>38.271560999999998</v>
      </c>
      <c r="J83">
        <v>41.684376</v>
      </c>
      <c r="K83">
        <v>45.130352000000002</v>
      </c>
      <c r="L83">
        <v>48.664413000000003</v>
      </c>
      <c r="M83">
        <v>52.210365000000003</v>
      </c>
      <c r="N83">
        <v>55.795670000000001</v>
      </c>
      <c r="O83">
        <v>59.401932000000002</v>
      </c>
      <c r="P83">
        <v>63.098838999999998</v>
      </c>
      <c r="Q83">
        <v>66.885788000000005</v>
      </c>
      <c r="R83">
        <v>70.764770999999996</v>
      </c>
      <c r="S83">
        <v>74.710364999999996</v>
      </c>
      <c r="T83">
        <v>78.748069999999998</v>
      </c>
      <c r="U83">
        <v>82.841064000000003</v>
      </c>
      <c r="V83">
        <v>87.019829000000001</v>
      </c>
      <c r="W83">
        <v>91.267043999999999</v>
      </c>
      <c r="X83">
        <v>95.615386999999998</v>
      </c>
      <c r="Y83">
        <v>100.042053</v>
      </c>
      <c r="Z83">
        <v>104.58384700000001</v>
      </c>
      <c r="AA83">
        <v>109.22242</v>
      </c>
      <c r="AB83">
        <v>113.97292299999999</v>
      </c>
      <c r="AC83">
        <v>118.865509</v>
      </c>
      <c r="AD83">
        <v>123.883904</v>
      </c>
      <c r="AE83">
        <v>129.07486</v>
      </c>
      <c r="AF83">
        <v>134.390533</v>
      </c>
      <c r="AG83">
        <v>139.82929999999999</v>
      </c>
      <c r="AH83">
        <v>145.44683800000001</v>
      </c>
      <c r="AI83">
        <v>151.20100400000001</v>
      </c>
      <c r="AJ83">
        <v>157.09553500000001</v>
      </c>
      <c r="AK83">
        <f t="shared" ref="AK83:AT83" si="60">AJ83*(1+$AU83)</f>
        <v>163.21986272615112</v>
      </c>
      <c r="AL83">
        <f t="shared" si="60"/>
        <v>169.58294574281575</v>
      </c>
      <c r="AM83">
        <f t="shared" si="60"/>
        <v>176.19409186160968</v>
      </c>
      <c r="AN83">
        <f t="shared" si="60"/>
        <v>183.06297175671347</v>
      </c>
      <c r="AO83">
        <f t="shared" si="60"/>
        <v>190.1996331109732</v>
      </c>
      <c r="AP83">
        <f t="shared" si="60"/>
        <v>197.61451531348331</v>
      </c>
      <c r="AQ83">
        <f t="shared" si="60"/>
        <v>205.31846473015057</v>
      </c>
      <c r="AR83">
        <f t="shared" si="60"/>
        <v>213.32275056957712</v>
      </c>
      <c r="AS83">
        <f t="shared" si="60"/>
        <v>221.63908136747077</v>
      </c>
      <c r="AT83">
        <f t="shared" si="60"/>
        <v>230.27962211369544</v>
      </c>
      <c r="AU83" s="167">
        <f t="shared" si="55"/>
        <v>3.8984734519355468E-2</v>
      </c>
      <c r="AV83" s="140">
        <v>0.06</v>
      </c>
    </row>
    <row r="84" spans="1:48">
      <c r="A84" t="s">
        <v>587</v>
      </c>
      <c r="B84" t="s">
        <v>599</v>
      </c>
      <c r="C84" t="s">
        <v>600</v>
      </c>
      <c r="D84" t="s">
        <v>596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1.8550000000000001E-2</v>
      </c>
      <c r="U84">
        <v>1.8556E-2</v>
      </c>
      <c r="V84">
        <v>1.8568000000000001E-2</v>
      </c>
      <c r="W84">
        <v>1.8589999999999999E-2</v>
      </c>
      <c r="X84">
        <v>1.8631999999999999E-2</v>
      </c>
      <c r="Y84">
        <v>1.8707999999999999E-2</v>
      </c>
      <c r="Z84">
        <v>1.8849000000000001E-2</v>
      </c>
      <c r="AA84">
        <v>1.9106000000000001E-2</v>
      </c>
      <c r="AB84">
        <v>1.9363999999999999E-2</v>
      </c>
      <c r="AC84">
        <v>1.9623999999999999E-2</v>
      </c>
      <c r="AD84">
        <v>1.9885E-2</v>
      </c>
      <c r="AE84">
        <v>2.0147999999999999E-2</v>
      </c>
      <c r="AF84">
        <v>2.0413000000000001E-2</v>
      </c>
      <c r="AG84">
        <v>2.0677999999999998E-2</v>
      </c>
      <c r="AH84">
        <v>2.0944000000000001E-2</v>
      </c>
      <c r="AI84">
        <v>2.1211000000000001E-2</v>
      </c>
      <c r="AJ84">
        <v>2.1479999999999999E-2</v>
      </c>
      <c r="AK84">
        <f t="shared" ref="AK84:AT84" si="61">AJ84*(1+$AU84)</f>
        <v>2.1752411484607041E-2</v>
      </c>
      <c r="AL84">
        <f t="shared" si="61"/>
        <v>2.2028277718606347E-2</v>
      </c>
      <c r="AM84">
        <f t="shared" si="61"/>
        <v>2.2307642515471422E-2</v>
      </c>
      <c r="AN84">
        <f t="shared" si="61"/>
        <v>2.2590550244322573E-2</v>
      </c>
      <c r="AO84">
        <f t="shared" si="61"/>
        <v>2.2877045836973687E-2</v>
      </c>
      <c r="AP84">
        <f t="shared" si="61"/>
        <v>2.316717479506835E-2</v>
      </c>
      <c r="AQ84">
        <f t="shared" si="61"/>
        <v>2.3460983197306499E-2</v>
      </c>
      <c r="AR84">
        <f t="shared" si="61"/>
        <v>2.3758517706762697E-2</v>
      </c>
      <c r="AS84">
        <f t="shared" si="61"/>
        <v>2.4059825578297236E-2</v>
      </c>
      <c r="AT84">
        <f t="shared" si="61"/>
        <v>2.4364954666061225E-2</v>
      </c>
      <c r="AU84" s="167">
        <f t="shared" si="55"/>
        <v>1.2682098910942408E-2</v>
      </c>
      <c r="AV84" s="140">
        <v>5.0000000000000001E-3</v>
      </c>
    </row>
    <row r="85" spans="1:48">
      <c r="A85" t="s">
        <v>430</v>
      </c>
      <c r="B85" t="s">
        <v>601</v>
      </c>
      <c r="C85" t="s">
        <v>602</v>
      </c>
      <c r="D85" t="s">
        <v>596</v>
      </c>
      <c r="F85">
        <v>27.128091999999999</v>
      </c>
      <c r="G85">
        <v>31.241671</v>
      </c>
      <c r="H85">
        <v>34.810879</v>
      </c>
      <c r="I85">
        <v>38.290107999999996</v>
      </c>
      <c r="J85">
        <v>41.702922999999998</v>
      </c>
      <c r="K85">
        <v>45.148899</v>
      </c>
      <c r="L85">
        <v>48.682960999999999</v>
      </c>
      <c r="M85">
        <v>52.228912000000001</v>
      </c>
      <c r="N85">
        <v>55.814216999999999</v>
      </c>
      <c r="O85">
        <v>59.420479</v>
      </c>
      <c r="P85">
        <v>63.117386000000003</v>
      </c>
      <c r="Q85">
        <v>66.904335000000003</v>
      </c>
      <c r="R85">
        <v>70.783317999999994</v>
      </c>
      <c r="S85">
        <v>74.728911999999994</v>
      </c>
      <c r="T85">
        <v>78.766623999999993</v>
      </c>
      <c r="U85">
        <v>82.859634</v>
      </c>
      <c r="V85">
        <v>87.038428999999994</v>
      </c>
      <c r="W85">
        <v>91.285697999999996</v>
      </c>
      <c r="X85">
        <v>95.634131999999994</v>
      </c>
      <c r="Y85">
        <v>100.060982</v>
      </c>
      <c r="Z85">
        <v>104.603111</v>
      </c>
      <c r="AA85">
        <v>109.242287</v>
      </c>
      <c r="AB85">
        <v>113.99340100000001</v>
      </c>
      <c r="AC85">
        <v>118.88659699999999</v>
      </c>
      <c r="AD85">
        <v>123.905609</v>
      </c>
      <c r="AE85">
        <v>129.097183</v>
      </c>
      <c r="AF85">
        <v>134.41348300000001</v>
      </c>
      <c r="AG85">
        <v>139.85287500000001</v>
      </c>
      <c r="AH85">
        <v>145.47105400000001</v>
      </c>
      <c r="AI85">
        <v>151.22584499999999</v>
      </c>
      <c r="AJ85">
        <v>157.12101699999999</v>
      </c>
      <c r="AK85">
        <f t="shared" ref="AK85:AT85" si="62">AJ85*(1+$AU85)</f>
        <v>163.24599795170124</v>
      </c>
      <c r="AL85">
        <f t="shared" si="62"/>
        <v>169.60974639851554</v>
      </c>
      <c r="AM85">
        <f t="shared" si="62"/>
        <v>176.22157011089507</v>
      </c>
      <c r="AN85">
        <f t="shared" si="62"/>
        <v>183.0911397000998</v>
      </c>
      <c r="AO85">
        <f t="shared" si="62"/>
        <v>190.22850276266439</v>
      </c>
      <c r="AP85">
        <f t="shared" si="62"/>
        <v>197.6440985762529</v>
      </c>
      <c r="AQ85">
        <f t="shared" si="62"/>
        <v>205.34877336839554</v>
      </c>
      <c r="AR85">
        <f t="shared" si="62"/>
        <v>213.3537961804401</v>
      </c>
      <c r="AS85">
        <f t="shared" si="62"/>
        <v>221.67087534992095</v>
      </c>
      <c r="AT85">
        <f t="shared" si="62"/>
        <v>230.31217563545314</v>
      </c>
      <c r="AU85" s="167">
        <f t="shared" si="55"/>
        <v>3.8982569414639512E-2</v>
      </c>
      <c r="AV85" s="140">
        <v>0.06</v>
      </c>
    </row>
    <row r="86" spans="1:48">
      <c r="A86" t="s">
        <v>603</v>
      </c>
      <c r="C86" t="s">
        <v>604</v>
      </c>
      <c r="AU86" s="167"/>
    </row>
    <row r="87" spans="1:48">
      <c r="A87" t="s">
        <v>605</v>
      </c>
      <c r="B87" t="s">
        <v>606</v>
      </c>
      <c r="C87" t="s">
        <v>607</v>
      </c>
      <c r="D87" t="s">
        <v>596</v>
      </c>
      <c r="F87">
        <v>4.2282419999999998</v>
      </c>
      <c r="G87">
        <v>5.0223880000000003</v>
      </c>
      <c r="H87">
        <v>5.7922330000000004</v>
      </c>
      <c r="I87">
        <v>6.5548120000000001</v>
      </c>
      <c r="J87">
        <v>7.3008740000000003</v>
      </c>
      <c r="K87">
        <v>8.0653229999999994</v>
      </c>
      <c r="L87">
        <v>8.8625340000000001</v>
      </c>
      <c r="M87">
        <v>9.6627559999999999</v>
      </c>
      <c r="N87">
        <v>10.482135</v>
      </c>
      <c r="O87">
        <v>11.304470999999999</v>
      </c>
      <c r="P87">
        <v>12.159818</v>
      </c>
      <c r="Q87">
        <v>13.037743000000001</v>
      </c>
      <c r="R87">
        <v>13.949456</v>
      </c>
      <c r="S87">
        <v>14.875851000000001</v>
      </c>
      <c r="T87">
        <v>15.834056</v>
      </c>
      <c r="U87">
        <v>16.800795000000001</v>
      </c>
      <c r="V87">
        <v>17.796278000000001</v>
      </c>
      <c r="W87">
        <v>18.802970999999999</v>
      </c>
      <c r="X87">
        <v>19.842371</v>
      </c>
      <c r="Y87">
        <v>20.894855</v>
      </c>
      <c r="Z87">
        <v>21.984423</v>
      </c>
      <c r="AA87">
        <v>23.092849999999999</v>
      </c>
      <c r="AB87">
        <v>24.223326</v>
      </c>
      <c r="AC87">
        <v>25.398026000000002</v>
      </c>
      <c r="AD87">
        <v>26.597134</v>
      </c>
      <c r="AE87">
        <v>27.848693999999998</v>
      </c>
      <c r="AF87">
        <v>29.122913</v>
      </c>
      <c r="AG87">
        <v>30.419253999999999</v>
      </c>
      <c r="AH87">
        <v>31.768239999999999</v>
      </c>
      <c r="AI87">
        <v>33.140976000000002</v>
      </c>
      <c r="AJ87">
        <v>34.537109000000001</v>
      </c>
      <c r="AK87">
        <f t="shared" ref="AK87:AT87" si="63">AJ87*(1+$AU87)</f>
        <v>35.992057025655519</v>
      </c>
      <c r="AL87">
        <f t="shared" si="63"/>
        <v>37.508297783061074</v>
      </c>
      <c r="AM87">
        <f t="shared" si="63"/>
        <v>39.088413356867903</v>
      </c>
      <c r="AN87">
        <f t="shared" si="63"/>
        <v>40.735094607449177</v>
      </c>
      <c r="AO87">
        <f t="shared" si="63"/>
        <v>42.451145753305042</v>
      </c>
      <c r="AP87">
        <f t="shared" si="63"/>
        <v>44.239489146511048</v>
      </c>
      <c r="AQ87">
        <f t="shared" si="63"/>
        <v>46.103170249342348</v>
      </c>
      <c r="AR87">
        <f t="shared" si="63"/>
        <v>48.045362820548604</v>
      </c>
      <c r="AS87">
        <f t="shared" si="63"/>
        <v>50.069374320111585</v>
      </c>
      <c r="AT87">
        <f t="shared" si="63"/>
        <v>52.17865154168949</v>
      </c>
      <c r="AU87" s="167">
        <f t="shared" si="55"/>
        <v>4.2127093661936676E-2</v>
      </c>
      <c r="AV87" s="140">
        <v>7.2999999999999995E-2</v>
      </c>
    </row>
    <row r="88" spans="1:48">
      <c r="A88" t="s">
        <v>608</v>
      </c>
      <c r="B88" t="s">
        <v>609</v>
      </c>
      <c r="C88" t="s">
        <v>610</v>
      </c>
      <c r="D88" t="s">
        <v>596</v>
      </c>
      <c r="F88">
        <v>22.899849</v>
      </c>
      <c r="G88">
        <v>26.219282</v>
      </c>
      <c r="H88">
        <v>29.018643999999998</v>
      </c>
      <c r="I88">
        <v>31.735296000000002</v>
      </c>
      <c r="J88">
        <v>34.402045999999999</v>
      </c>
      <c r="K88">
        <v>37.083571999999997</v>
      </c>
      <c r="L88">
        <v>39.820427000000002</v>
      </c>
      <c r="M88">
        <v>42.566153999999997</v>
      </c>
      <c r="N88">
        <v>45.332076999999998</v>
      </c>
      <c r="O88">
        <v>48.116008999999998</v>
      </c>
      <c r="P88">
        <v>50.957565000000002</v>
      </c>
      <c r="Q88">
        <v>53.866591999999997</v>
      </c>
      <c r="R88">
        <v>56.833857999999999</v>
      </c>
      <c r="S88">
        <v>59.853062000000001</v>
      </c>
      <c r="T88">
        <v>62.932571000000003</v>
      </c>
      <c r="U88">
        <v>66.058837999999994</v>
      </c>
      <c r="V88">
        <v>69.242148999999998</v>
      </c>
      <c r="W88">
        <v>72.482726999999997</v>
      </c>
      <c r="X88">
        <v>75.791763000000003</v>
      </c>
      <c r="Y88">
        <v>79.166122000000001</v>
      </c>
      <c r="Z88">
        <v>82.618690000000001</v>
      </c>
      <c r="AA88">
        <v>86.149437000000006</v>
      </c>
      <c r="AB88">
        <v>89.770072999999996</v>
      </c>
      <c r="AC88">
        <v>93.488570999999993</v>
      </c>
      <c r="AD88">
        <v>97.308487</v>
      </c>
      <c r="AE88">
        <v>101.24848900000001</v>
      </c>
      <c r="AF88">
        <v>105.290581</v>
      </c>
      <c r="AG88">
        <v>109.433632</v>
      </c>
      <c r="AH88">
        <v>113.70281199999999</v>
      </c>
      <c r="AI88">
        <v>118.084869</v>
      </c>
      <c r="AJ88">
        <v>122.58390799999999</v>
      </c>
      <c r="AK88">
        <f t="shared" ref="AK88:AT88" si="64">AJ88*(1+$AU88)</f>
        <v>127.25436059511115</v>
      </c>
      <c r="AL88">
        <f t="shared" si="64"/>
        <v>132.10275765127815</v>
      </c>
      <c r="AM88">
        <f t="shared" si="64"/>
        <v>137.13587886074188</v>
      </c>
      <c r="AN88">
        <f t="shared" si="64"/>
        <v>142.36076222233288</v>
      </c>
      <c r="AO88">
        <f t="shared" si="64"/>
        <v>147.78471388296435</v>
      </c>
      <c r="AP88">
        <f t="shared" si="64"/>
        <v>153.41531835408671</v>
      </c>
      <c r="AQ88">
        <f t="shared" si="64"/>
        <v>159.26044911738924</v>
      </c>
      <c r="AR88">
        <f t="shared" si="64"/>
        <v>165.32827963457979</v>
      </c>
      <c r="AS88">
        <f t="shared" si="64"/>
        <v>171.62729477663731</v>
      </c>
      <c r="AT88">
        <f t="shared" si="64"/>
        <v>178.16630268851964</v>
      </c>
      <c r="AU88" s="167">
        <f t="shared" si="55"/>
        <v>3.8100046501300611E-2</v>
      </c>
      <c r="AV88" s="140">
        <v>5.8000000000000003E-2</v>
      </c>
    </row>
    <row r="89" spans="1:48">
      <c r="A89" t="s">
        <v>611</v>
      </c>
      <c r="C89" t="s">
        <v>612</v>
      </c>
      <c r="AU89" s="167"/>
    </row>
    <row r="90" spans="1:48">
      <c r="A90" t="s">
        <v>580</v>
      </c>
      <c r="B90" t="s">
        <v>613</v>
      </c>
      <c r="C90" t="s">
        <v>614</v>
      </c>
      <c r="D90" t="s">
        <v>615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4.1999999999999998E-5</v>
      </c>
      <c r="U90">
        <v>1.0399999999999999E-4</v>
      </c>
      <c r="V90">
        <v>2.2800000000000001E-4</v>
      </c>
      <c r="W90">
        <v>4.5800000000000002E-4</v>
      </c>
      <c r="X90">
        <v>8.92E-4</v>
      </c>
      <c r="Y90">
        <v>1.6770000000000001E-3</v>
      </c>
      <c r="Z90">
        <v>3.1310000000000001E-3</v>
      </c>
      <c r="AA90">
        <v>5.7780000000000001E-3</v>
      </c>
      <c r="AB90">
        <v>8.4279999999999997E-3</v>
      </c>
      <c r="AC90">
        <v>1.1089E-2</v>
      </c>
      <c r="AD90">
        <v>1.376E-2</v>
      </c>
      <c r="AE90">
        <v>1.6442999999999999E-2</v>
      </c>
      <c r="AF90">
        <v>1.9143E-2</v>
      </c>
      <c r="AG90">
        <v>2.1843000000000001E-2</v>
      </c>
      <c r="AH90">
        <v>2.4548E-2</v>
      </c>
      <c r="AI90">
        <v>2.7264E-2</v>
      </c>
      <c r="AJ90">
        <v>2.9988999999999998E-2</v>
      </c>
      <c r="AK90">
        <f t="shared" ref="AK90:AT90" si="65">AJ90*(1+$AU90)</f>
        <v>3.2986360071889667E-2</v>
      </c>
      <c r="AL90">
        <f t="shared" si="65"/>
        <v>3.6283302237232216E-2</v>
      </c>
      <c r="AM90">
        <f t="shared" si="65"/>
        <v>3.9909769321902759E-2</v>
      </c>
      <c r="AN90">
        <f t="shared" si="65"/>
        <v>4.3898696896806845E-2</v>
      </c>
      <c r="AO90">
        <f t="shared" si="65"/>
        <v>4.8286312398706732E-2</v>
      </c>
      <c r="AP90">
        <f t="shared" si="65"/>
        <v>5.3112464147770544E-2</v>
      </c>
      <c r="AQ90">
        <f t="shared" si="65"/>
        <v>5.8420983249981323E-2</v>
      </c>
      <c r="AR90">
        <f t="shared" si="65"/>
        <v>6.4260081671203409E-2</v>
      </c>
      <c r="AS90">
        <f t="shared" si="65"/>
        <v>7.068279009821446E-2</v>
      </c>
      <c r="AT90">
        <f t="shared" si="65"/>
        <v>7.7747439563356571E-2</v>
      </c>
      <c r="AU90" s="167">
        <f t="shared" si="55"/>
        <v>9.9948650234741754E-2</v>
      </c>
      <c r="AV90" t="s">
        <v>177</v>
      </c>
    </row>
    <row r="91" spans="1:48">
      <c r="A91" t="s">
        <v>584</v>
      </c>
      <c r="B91" t="s">
        <v>616</v>
      </c>
      <c r="C91" t="s">
        <v>617</v>
      </c>
      <c r="D91" t="s">
        <v>615</v>
      </c>
      <c r="F91">
        <v>225.07347100000001</v>
      </c>
      <c r="G91">
        <v>259.676849</v>
      </c>
      <c r="H91">
        <v>288.64123499999999</v>
      </c>
      <c r="I91">
        <v>312.46148699999998</v>
      </c>
      <c r="J91">
        <v>337.01806599999998</v>
      </c>
      <c r="K91">
        <v>359.23889200000002</v>
      </c>
      <c r="L91">
        <v>383.72302200000001</v>
      </c>
      <c r="M91">
        <v>409.68618800000002</v>
      </c>
      <c r="N91">
        <v>436.77734400000003</v>
      </c>
      <c r="O91">
        <v>463.25958300000002</v>
      </c>
      <c r="P91">
        <v>495.99993899999998</v>
      </c>
      <c r="Q91">
        <v>523.72180200000003</v>
      </c>
      <c r="R91">
        <v>551.19030799999996</v>
      </c>
      <c r="S91">
        <v>579.76513699999998</v>
      </c>
      <c r="T91">
        <v>609.98492399999998</v>
      </c>
      <c r="U91">
        <v>640.00781199999994</v>
      </c>
      <c r="V91">
        <v>669.85528599999998</v>
      </c>
      <c r="W91">
        <v>700.87676999999996</v>
      </c>
      <c r="X91">
        <v>731.64880400000004</v>
      </c>
      <c r="Y91">
        <v>764.556152</v>
      </c>
      <c r="Z91">
        <v>797.29492200000004</v>
      </c>
      <c r="AA91">
        <v>831.85314900000003</v>
      </c>
      <c r="AB91">
        <v>867.64453100000003</v>
      </c>
      <c r="AC91">
        <v>903.49523899999997</v>
      </c>
      <c r="AD91">
        <v>940.94726600000001</v>
      </c>
      <c r="AE91">
        <v>980.27062999999998</v>
      </c>
      <c r="AF91">
        <v>1018.873047</v>
      </c>
      <c r="AG91">
        <v>1055.0437010000001</v>
      </c>
      <c r="AH91">
        <v>1093.460693</v>
      </c>
      <c r="AI91">
        <v>1133.643311</v>
      </c>
      <c r="AJ91">
        <v>1168.607544</v>
      </c>
      <c r="AK91">
        <f t="shared" ref="AK91:AT91" si="66">AJ91*(1+$AU91)</f>
        <v>1204.650156396249</v>
      </c>
      <c r="AL91">
        <f t="shared" si="66"/>
        <v>1241.8044079522965</v>
      </c>
      <c r="AM91">
        <f t="shared" si="66"/>
        <v>1280.1045842412307</v>
      </c>
      <c r="AN91">
        <f t="shared" si="66"/>
        <v>1319.5860282840636</v>
      </c>
      <c r="AO91">
        <f t="shared" si="66"/>
        <v>1360.2851731639194</v>
      </c>
      <c r="AP91">
        <f t="shared" si="66"/>
        <v>1402.2395756461199</v>
      </c>
      <c r="AQ91">
        <f t="shared" si="66"/>
        <v>1445.4879508351937</v>
      </c>
      <c r="AR91">
        <f t="shared" si="66"/>
        <v>1490.0702079007885</v>
      </c>
      <c r="AS91">
        <f t="shared" si="66"/>
        <v>1536.0274869054554</v>
      </c>
      <c r="AT91">
        <f t="shared" si="66"/>
        <v>1583.4021967682884</v>
      </c>
      <c r="AU91" s="167">
        <f t="shared" si="55"/>
        <v>3.0842358139225867E-2</v>
      </c>
      <c r="AV91" s="140">
        <v>5.6000000000000001E-2</v>
      </c>
    </row>
    <row r="92" spans="1:48">
      <c r="A92" t="s">
        <v>587</v>
      </c>
      <c r="B92" t="s">
        <v>618</v>
      </c>
      <c r="C92" t="s">
        <v>619</v>
      </c>
      <c r="D92" t="s">
        <v>615</v>
      </c>
      <c r="F92">
        <v>0.172512</v>
      </c>
      <c r="G92">
        <v>0.17376</v>
      </c>
      <c r="H92">
        <v>0.17288300000000001</v>
      </c>
      <c r="I92">
        <v>0.16903000000000001</v>
      </c>
      <c r="J92">
        <v>0.16723399999999999</v>
      </c>
      <c r="K92">
        <v>0.16223499999999999</v>
      </c>
      <c r="L92">
        <v>0.16012399999999999</v>
      </c>
      <c r="M92">
        <v>0.15875500000000001</v>
      </c>
      <c r="N92">
        <v>0.158329</v>
      </c>
      <c r="O92">
        <v>0.15795600000000001</v>
      </c>
      <c r="P92">
        <v>0.15823699999999999</v>
      </c>
      <c r="Q92">
        <v>0.157662</v>
      </c>
      <c r="R92">
        <v>0.157162</v>
      </c>
      <c r="S92">
        <v>0.15693799999999999</v>
      </c>
      <c r="T92">
        <v>0.15659600000000001</v>
      </c>
      <c r="U92">
        <v>0.15606300000000001</v>
      </c>
      <c r="V92">
        <v>0.15559600000000001</v>
      </c>
      <c r="W92">
        <v>0.155527</v>
      </c>
      <c r="X92">
        <v>0.155225</v>
      </c>
      <c r="Y92">
        <v>0.15549199999999999</v>
      </c>
      <c r="Z92">
        <v>0.15628900000000001</v>
      </c>
      <c r="AA92">
        <v>0.15790599999999999</v>
      </c>
      <c r="AB92">
        <v>0.159605</v>
      </c>
      <c r="AC92">
        <v>0.16131100000000001</v>
      </c>
      <c r="AD92">
        <v>0.16289300000000001</v>
      </c>
      <c r="AE92">
        <v>0.16459299999999999</v>
      </c>
      <c r="AF92">
        <v>0.16605500000000001</v>
      </c>
      <c r="AG92">
        <v>0.16764299999999999</v>
      </c>
      <c r="AH92">
        <v>0.16903899999999999</v>
      </c>
      <c r="AI92">
        <v>0.17111299999999999</v>
      </c>
      <c r="AJ92">
        <v>0.172595</v>
      </c>
      <c r="AK92">
        <f t="shared" ref="AK92:AT92" si="67">AJ92*(1+$AU92)</f>
        <v>0.17408983551804949</v>
      </c>
      <c r="AL92">
        <f t="shared" si="67"/>
        <v>0.17559761772184318</v>
      </c>
      <c r="AM92">
        <f t="shared" si="67"/>
        <v>0.17711845874189294</v>
      </c>
      <c r="AN92">
        <f t="shared" si="67"/>
        <v>0.17865247167986659</v>
      </c>
      <c r="AO92">
        <f t="shared" si="67"/>
        <v>0.18019977061699916</v>
      </c>
      <c r="AP92">
        <f t="shared" si="67"/>
        <v>0.18176047062257672</v>
      </c>
      <c r="AQ92">
        <f t="shared" si="67"/>
        <v>0.18333468776249395</v>
      </c>
      <c r="AR92">
        <f t="shared" si="67"/>
        <v>0.1849225391078857</v>
      </c>
      <c r="AS92">
        <f t="shared" si="67"/>
        <v>0.18652414274383322</v>
      </c>
      <c r="AT92">
        <f t="shared" si="67"/>
        <v>0.188139617778146</v>
      </c>
      <c r="AU92" s="167">
        <f t="shared" si="55"/>
        <v>8.6609433532227609E-3</v>
      </c>
      <c r="AV92" s="140">
        <v>0</v>
      </c>
    </row>
    <row r="93" spans="1:48">
      <c r="A93" t="s">
        <v>430</v>
      </c>
      <c r="B93" t="s">
        <v>620</v>
      </c>
      <c r="C93" t="s">
        <v>621</v>
      </c>
      <c r="D93" t="s">
        <v>615</v>
      </c>
      <c r="F93">
        <v>225.24598700000001</v>
      </c>
      <c r="G93">
        <v>259.850616</v>
      </c>
      <c r="H93">
        <v>288.81411700000001</v>
      </c>
      <c r="I93">
        <v>312.63052399999998</v>
      </c>
      <c r="J93">
        <v>337.18530299999998</v>
      </c>
      <c r="K93">
        <v>359.40112299999998</v>
      </c>
      <c r="L93">
        <v>383.88314800000001</v>
      </c>
      <c r="M93">
        <v>409.84494000000001</v>
      </c>
      <c r="N93">
        <v>436.93566900000002</v>
      </c>
      <c r="O93">
        <v>463.41754200000003</v>
      </c>
      <c r="P93">
        <v>496.15817299999998</v>
      </c>
      <c r="Q93">
        <v>523.879456</v>
      </c>
      <c r="R93">
        <v>551.34747300000004</v>
      </c>
      <c r="S93">
        <v>579.92205799999999</v>
      </c>
      <c r="T93">
        <v>610.14160200000003</v>
      </c>
      <c r="U93">
        <v>640.16400099999998</v>
      </c>
      <c r="V93">
        <v>670.01110800000004</v>
      </c>
      <c r="W93">
        <v>701.03271500000005</v>
      </c>
      <c r="X93">
        <v>731.80493200000001</v>
      </c>
      <c r="Y93">
        <v>764.71331799999996</v>
      </c>
      <c r="Z93">
        <v>797.45434599999999</v>
      </c>
      <c r="AA93">
        <v>832.01684599999999</v>
      </c>
      <c r="AB93">
        <v>867.81256099999996</v>
      </c>
      <c r="AC93">
        <v>903.66766399999995</v>
      </c>
      <c r="AD93">
        <v>941.12390100000005</v>
      </c>
      <c r="AE93">
        <v>980.45165999999995</v>
      </c>
      <c r="AF93">
        <v>1019.0582889999999</v>
      </c>
      <c r="AG93">
        <v>1055.233154</v>
      </c>
      <c r="AH93">
        <v>1093.654297</v>
      </c>
      <c r="AI93">
        <v>1133.8416749999999</v>
      </c>
      <c r="AJ93">
        <v>1168.8101810000001</v>
      </c>
      <c r="AK93">
        <f t="shared" ref="AK93:AT93" si="68">AJ93*(1+$AU93)</f>
        <v>1204.8571412840802</v>
      </c>
      <c r="AL93">
        <f t="shared" si="68"/>
        <v>1242.0158161706206</v>
      </c>
      <c r="AM93">
        <f t="shared" si="68"/>
        <v>1280.3204917505313</v>
      </c>
      <c r="AN93">
        <f t="shared" si="68"/>
        <v>1319.806511522826</v>
      </c>
      <c r="AO93">
        <f t="shared" si="68"/>
        <v>1360.510309005861</v>
      </c>
      <c r="AP93">
        <f t="shared" si="68"/>
        <v>1402.4694413543291</v>
      </c>
      <c r="AQ93">
        <f t="shared" si="68"/>
        <v>1445.7226240130242</v>
      </c>
      <c r="AR93">
        <f t="shared" si="68"/>
        <v>1490.3097664393558</v>
      </c>
      <c r="AS93">
        <f t="shared" si="68"/>
        <v>1536.2720089275706</v>
      </c>
      <c r="AT93">
        <f t="shared" si="68"/>
        <v>1583.6517605686595</v>
      </c>
      <c r="AU93" s="167">
        <f t="shared" si="55"/>
        <v>3.0840730915981052E-2</v>
      </c>
      <c r="AV93" s="140">
        <v>5.6000000000000001E-2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topLeftCell="A19" workbookViewId="0">
      <selection activeCell="D29" sqref="D29"/>
    </sheetView>
  </sheetViews>
  <sheetFormatPr defaultRowHeight="14.5"/>
  <cols>
    <col min="2" max="2" width="23.7265625" customWidth="1"/>
    <col min="3" max="3" width="20.81640625" bestFit="1" customWidth="1"/>
    <col min="4" max="4" width="22.7265625" bestFit="1" customWidth="1"/>
    <col min="5" max="5" width="14.54296875" bestFit="1" customWidth="1"/>
  </cols>
  <sheetData>
    <row r="1" spans="1:5">
      <c r="A1" s="1" t="s">
        <v>230</v>
      </c>
    </row>
    <row r="2" spans="1:5">
      <c r="A2" s="1" t="s">
        <v>225</v>
      </c>
      <c r="B2" t="s">
        <v>231</v>
      </c>
    </row>
    <row r="4" spans="1:5" s="1" customFormat="1">
      <c r="A4" s="1" t="s">
        <v>232</v>
      </c>
      <c r="B4" s="1" t="s">
        <v>226</v>
      </c>
      <c r="C4" s="1" t="s">
        <v>233</v>
      </c>
      <c r="D4" s="1" t="s">
        <v>234</v>
      </c>
      <c r="E4" s="1" t="s">
        <v>235</v>
      </c>
    </row>
    <row r="5" spans="1:5">
      <c r="A5">
        <v>2015</v>
      </c>
      <c r="B5" t="s">
        <v>227</v>
      </c>
      <c r="C5" t="s">
        <v>236</v>
      </c>
      <c r="D5" s="90">
        <v>96</v>
      </c>
      <c r="E5">
        <v>3.3</v>
      </c>
    </row>
    <row r="6" spans="1:5">
      <c r="A6">
        <v>2015</v>
      </c>
      <c r="B6" t="s">
        <v>227</v>
      </c>
      <c r="C6" t="s">
        <v>237</v>
      </c>
      <c r="D6" s="90">
        <v>96</v>
      </c>
      <c r="E6">
        <v>3.3</v>
      </c>
    </row>
    <row r="7" spans="1:5">
      <c r="A7">
        <v>2015</v>
      </c>
      <c r="B7" t="s">
        <v>227</v>
      </c>
      <c r="C7" t="s">
        <v>238</v>
      </c>
      <c r="D7" s="90">
        <v>96</v>
      </c>
      <c r="E7">
        <v>3.3</v>
      </c>
    </row>
    <row r="8" spans="1:5">
      <c r="A8">
        <v>2015</v>
      </c>
      <c r="B8" t="s">
        <v>228</v>
      </c>
      <c r="C8" t="s">
        <v>236</v>
      </c>
      <c r="D8" s="90">
        <v>96</v>
      </c>
      <c r="E8">
        <v>1.5</v>
      </c>
    </row>
    <row r="9" spans="1:5">
      <c r="A9">
        <v>2015</v>
      </c>
      <c r="B9" t="s">
        <v>228</v>
      </c>
      <c r="C9" t="s">
        <v>237</v>
      </c>
      <c r="D9" s="90">
        <v>96</v>
      </c>
      <c r="E9">
        <v>1.5</v>
      </c>
    </row>
    <row r="10" spans="1:5">
      <c r="A10">
        <v>2015</v>
      </c>
      <c r="B10" t="s">
        <v>228</v>
      </c>
      <c r="C10" t="s">
        <v>238</v>
      </c>
      <c r="D10" s="90">
        <v>96</v>
      </c>
      <c r="E10">
        <v>1.5</v>
      </c>
    </row>
    <row r="11" spans="1:5">
      <c r="A11">
        <v>2020</v>
      </c>
      <c r="B11" t="s">
        <v>227</v>
      </c>
      <c r="C11" t="s">
        <v>236</v>
      </c>
      <c r="D11" s="90">
        <v>85</v>
      </c>
      <c r="E11">
        <v>3.75</v>
      </c>
    </row>
    <row r="12" spans="1:5">
      <c r="A12">
        <v>2020</v>
      </c>
      <c r="B12" t="s">
        <v>227</v>
      </c>
      <c r="C12" t="s">
        <v>237</v>
      </c>
      <c r="D12" s="90">
        <v>80</v>
      </c>
      <c r="E12">
        <v>4</v>
      </c>
    </row>
    <row r="13" spans="1:5">
      <c r="A13">
        <v>2020</v>
      </c>
      <c r="B13" t="s">
        <v>227</v>
      </c>
      <c r="C13" t="s">
        <v>238</v>
      </c>
      <c r="D13" s="90">
        <v>92.873542513425079</v>
      </c>
      <c r="E13">
        <v>3.4</v>
      </c>
    </row>
    <row r="14" spans="1:5">
      <c r="A14">
        <v>2020</v>
      </c>
      <c r="B14" t="s">
        <v>228</v>
      </c>
      <c r="C14" t="s">
        <v>236</v>
      </c>
      <c r="D14" s="90">
        <v>85</v>
      </c>
      <c r="E14">
        <v>2</v>
      </c>
    </row>
    <row r="15" spans="1:5">
      <c r="A15">
        <v>2020</v>
      </c>
      <c r="B15" t="s">
        <v>228</v>
      </c>
      <c r="C15" t="s">
        <v>237</v>
      </c>
      <c r="D15" s="90">
        <v>80</v>
      </c>
      <c r="E15">
        <v>2.5</v>
      </c>
    </row>
    <row r="16" spans="1:5">
      <c r="A16">
        <v>2020</v>
      </c>
      <c r="B16" t="s">
        <v>228</v>
      </c>
      <c r="C16" t="s">
        <v>238</v>
      </c>
      <c r="D16" s="90">
        <v>92.873542513425079</v>
      </c>
      <c r="E16">
        <v>1.75</v>
      </c>
    </row>
    <row r="17" spans="1:5">
      <c r="A17">
        <v>2030</v>
      </c>
      <c r="B17" t="s">
        <v>227</v>
      </c>
      <c r="C17" t="s">
        <v>236</v>
      </c>
      <c r="D17" s="90">
        <v>73</v>
      </c>
      <c r="E17">
        <v>4</v>
      </c>
    </row>
    <row r="18" spans="1:5">
      <c r="A18">
        <v>2030</v>
      </c>
      <c r="B18" t="s">
        <v>227</v>
      </c>
      <c r="C18" t="s">
        <v>237</v>
      </c>
      <c r="D18" s="90">
        <v>65</v>
      </c>
      <c r="E18">
        <v>4.5</v>
      </c>
    </row>
    <row r="19" spans="1:5">
      <c r="A19">
        <v>2030</v>
      </c>
      <c r="B19" t="s">
        <v>227</v>
      </c>
      <c r="C19" t="s">
        <v>238</v>
      </c>
      <c r="D19" s="90">
        <v>86.922772048714748</v>
      </c>
      <c r="E19">
        <v>3.5</v>
      </c>
    </row>
    <row r="20" spans="1:5">
      <c r="A20">
        <v>2030</v>
      </c>
      <c r="B20" t="s">
        <v>228</v>
      </c>
      <c r="C20" t="s">
        <v>236</v>
      </c>
      <c r="D20" s="90">
        <v>73</v>
      </c>
      <c r="E20">
        <v>2.5</v>
      </c>
    </row>
    <row r="21" spans="1:5">
      <c r="A21">
        <v>2030</v>
      </c>
      <c r="B21" t="s">
        <v>228</v>
      </c>
      <c r="C21" t="s">
        <v>237</v>
      </c>
      <c r="D21" s="90">
        <v>65</v>
      </c>
      <c r="E21">
        <v>3</v>
      </c>
    </row>
    <row r="22" spans="1:5">
      <c r="A22">
        <v>2030</v>
      </c>
      <c r="B22" t="s">
        <v>228</v>
      </c>
      <c r="C22" t="s">
        <v>238</v>
      </c>
      <c r="D22" s="90">
        <v>86.922772048714748</v>
      </c>
      <c r="E22">
        <v>2.1</v>
      </c>
    </row>
    <row r="23" spans="1:5">
      <c r="A23">
        <v>2040</v>
      </c>
      <c r="B23" t="s">
        <v>227</v>
      </c>
      <c r="C23" t="s">
        <v>236</v>
      </c>
      <c r="D23" s="90">
        <v>65</v>
      </c>
      <c r="E23">
        <v>4.1500000000000004</v>
      </c>
    </row>
    <row r="24" spans="1:5">
      <c r="A24">
        <v>2040</v>
      </c>
      <c r="B24" t="s">
        <v>227</v>
      </c>
      <c r="C24" t="s">
        <v>237</v>
      </c>
      <c r="D24" s="90">
        <v>60</v>
      </c>
      <c r="E24">
        <v>4.75</v>
      </c>
    </row>
    <row r="25" spans="1:5">
      <c r="A25">
        <v>2040</v>
      </c>
      <c r="B25" t="s">
        <v>227</v>
      </c>
      <c r="C25" t="s">
        <v>238</v>
      </c>
      <c r="D25" s="90">
        <v>81.353290680611792</v>
      </c>
      <c r="E25">
        <v>3.6</v>
      </c>
    </row>
    <row r="26" spans="1:5">
      <c r="A26">
        <v>2040</v>
      </c>
      <c r="B26" t="s">
        <v>228</v>
      </c>
      <c r="C26" t="s">
        <v>236</v>
      </c>
      <c r="D26" s="90">
        <v>65</v>
      </c>
      <c r="E26">
        <v>3</v>
      </c>
    </row>
    <row r="27" spans="1:5">
      <c r="A27">
        <v>2040</v>
      </c>
      <c r="B27" t="s">
        <v>228</v>
      </c>
      <c r="C27" t="s">
        <v>237</v>
      </c>
      <c r="D27" s="90">
        <v>60</v>
      </c>
      <c r="E27">
        <v>3</v>
      </c>
    </row>
    <row r="28" spans="1:5">
      <c r="A28">
        <v>2040</v>
      </c>
      <c r="B28" t="s">
        <v>228</v>
      </c>
      <c r="C28" t="s">
        <v>238</v>
      </c>
      <c r="D28" s="90">
        <v>81.353290680611792</v>
      </c>
      <c r="E28">
        <v>2.5</v>
      </c>
    </row>
    <row r="29" spans="1:5">
      <c r="A29">
        <v>2050</v>
      </c>
      <c r="B29" t="s">
        <v>227</v>
      </c>
      <c r="C29" t="s">
        <v>236</v>
      </c>
      <c r="D29" s="90">
        <v>60.296369222717402</v>
      </c>
      <c r="E29">
        <v>4.25</v>
      </c>
    </row>
    <row r="30" spans="1:5">
      <c r="A30">
        <v>2050</v>
      </c>
      <c r="B30" t="s">
        <v>227</v>
      </c>
      <c r="C30" t="s">
        <v>237</v>
      </c>
      <c r="D30" s="90">
        <v>57.599999999999994</v>
      </c>
      <c r="E30">
        <v>5</v>
      </c>
    </row>
    <row r="31" spans="1:5">
      <c r="A31">
        <v>2050</v>
      </c>
      <c r="B31" t="s">
        <v>227</v>
      </c>
      <c r="C31" t="s">
        <v>238</v>
      </c>
      <c r="D31" s="90">
        <v>76.140667728071804</v>
      </c>
      <c r="E31">
        <v>3.7</v>
      </c>
    </row>
    <row r="32" spans="1:5">
      <c r="A32">
        <v>2050</v>
      </c>
      <c r="B32" t="s">
        <v>228</v>
      </c>
      <c r="C32" t="s">
        <v>236</v>
      </c>
      <c r="D32" s="90">
        <v>60.296369222717402</v>
      </c>
      <c r="E32">
        <v>3</v>
      </c>
    </row>
    <row r="33" spans="1:7">
      <c r="A33">
        <v>2050</v>
      </c>
      <c r="B33" t="s">
        <v>228</v>
      </c>
      <c r="C33" t="s">
        <v>237</v>
      </c>
      <c r="D33" s="90">
        <v>57.599999999999994</v>
      </c>
      <c r="E33">
        <v>3</v>
      </c>
    </row>
    <row r="34" spans="1:7">
      <c r="A34">
        <v>2050</v>
      </c>
      <c r="B34" t="s">
        <v>228</v>
      </c>
      <c r="C34" t="s">
        <v>238</v>
      </c>
      <c r="D34" s="90">
        <v>76.140667728071804</v>
      </c>
      <c r="E34">
        <v>2.75</v>
      </c>
    </row>
    <row r="35" spans="1:7">
      <c r="A35" s="57">
        <v>2060</v>
      </c>
      <c r="B35" t="s">
        <v>227</v>
      </c>
      <c r="C35" t="s">
        <v>236</v>
      </c>
      <c r="D35" s="176">
        <v>60.296369222717402</v>
      </c>
      <c r="E35" s="57">
        <v>4.25</v>
      </c>
      <c r="G35" t="s">
        <v>625</v>
      </c>
    </row>
    <row r="36" spans="1:7">
      <c r="A36" s="57">
        <v>2060</v>
      </c>
      <c r="B36" t="s">
        <v>227</v>
      </c>
      <c r="C36" t="s">
        <v>237</v>
      </c>
      <c r="D36" s="176">
        <v>57.599999999999994</v>
      </c>
      <c r="E36" s="57">
        <v>5</v>
      </c>
    </row>
    <row r="37" spans="1:7">
      <c r="A37" s="57">
        <v>2060</v>
      </c>
      <c r="B37" t="s">
        <v>227</v>
      </c>
      <c r="C37" t="s">
        <v>238</v>
      </c>
      <c r="D37" s="176">
        <v>76.140667728071804</v>
      </c>
      <c r="E37" s="57">
        <v>3.7</v>
      </c>
    </row>
    <row r="38" spans="1:7">
      <c r="A38" s="57">
        <v>2060</v>
      </c>
      <c r="B38" t="s">
        <v>228</v>
      </c>
      <c r="C38" t="s">
        <v>236</v>
      </c>
      <c r="D38" s="176">
        <v>60.296369222717402</v>
      </c>
      <c r="E38" s="57">
        <v>3</v>
      </c>
    </row>
    <row r="39" spans="1:7">
      <c r="A39" s="57">
        <v>2060</v>
      </c>
      <c r="B39" t="s">
        <v>228</v>
      </c>
      <c r="C39" t="s">
        <v>237</v>
      </c>
      <c r="D39" s="176">
        <v>57.599999999999994</v>
      </c>
      <c r="E39" s="57">
        <v>3</v>
      </c>
    </row>
    <row r="40" spans="1:7">
      <c r="A40" s="57">
        <v>2060</v>
      </c>
      <c r="B40" t="s">
        <v>228</v>
      </c>
      <c r="C40" t="s">
        <v>238</v>
      </c>
      <c r="D40" s="176">
        <v>76.140667728071804</v>
      </c>
      <c r="E40" s="57">
        <v>2.75</v>
      </c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topLeftCell="A10" workbookViewId="0">
      <selection activeCell="D20" sqref="D20"/>
    </sheetView>
  </sheetViews>
  <sheetFormatPr defaultRowHeight="14.5"/>
  <cols>
    <col min="2" max="2" width="17.26953125" customWidth="1"/>
    <col min="3" max="3" width="22.81640625" bestFit="1" customWidth="1"/>
    <col min="4" max="4" width="23.81640625" bestFit="1" customWidth="1"/>
    <col min="5" max="5" width="17.26953125" customWidth="1"/>
  </cols>
  <sheetData>
    <row r="1" spans="1:5">
      <c r="A1" s="1" t="s">
        <v>239</v>
      </c>
    </row>
    <row r="2" spans="1:5">
      <c r="A2" s="1" t="s">
        <v>225</v>
      </c>
      <c r="B2" t="s">
        <v>240</v>
      </c>
    </row>
    <row r="4" spans="1:5">
      <c r="A4" s="1" t="s">
        <v>232</v>
      </c>
      <c r="B4" s="1" t="s">
        <v>226</v>
      </c>
      <c r="C4" s="1" t="s">
        <v>233</v>
      </c>
      <c r="D4" s="1" t="s">
        <v>234</v>
      </c>
      <c r="E4" s="1" t="s">
        <v>235</v>
      </c>
    </row>
    <row r="5" spans="1:5">
      <c r="A5">
        <v>2015</v>
      </c>
      <c r="B5" t="s">
        <v>229</v>
      </c>
      <c r="C5" t="s">
        <v>236</v>
      </c>
      <c r="D5" s="90">
        <v>310</v>
      </c>
      <c r="E5">
        <v>2.4500000000000002</v>
      </c>
    </row>
    <row r="6" spans="1:5">
      <c r="A6">
        <v>2015</v>
      </c>
      <c r="B6" t="s">
        <v>229</v>
      </c>
      <c r="C6" t="s">
        <v>237</v>
      </c>
      <c r="D6" s="90">
        <v>310</v>
      </c>
      <c r="E6">
        <v>2.4500000000000002</v>
      </c>
    </row>
    <row r="7" spans="1:5">
      <c r="A7">
        <v>2015</v>
      </c>
      <c r="B7" t="s">
        <v>229</v>
      </c>
      <c r="C7" t="s">
        <v>238</v>
      </c>
      <c r="D7" s="90">
        <v>310</v>
      </c>
      <c r="E7">
        <v>2.4500000000000002</v>
      </c>
    </row>
    <row r="8" spans="1:5">
      <c r="A8">
        <v>2020</v>
      </c>
      <c r="B8" t="s">
        <v>229</v>
      </c>
      <c r="C8" t="s">
        <v>236</v>
      </c>
      <c r="D8" s="90">
        <v>287.51781145613165</v>
      </c>
      <c r="E8">
        <v>3</v>
      </c>
    </row>
    <row r="9" spans="1:5">
      <c r="A9">
        <v>2020</v>
      </c>
      <c r="B9" t="s">
        <v>229</v>
      </c>
      <c r="C9" t="s">
        <v>237</v>
      </c>
      <c r="D9" s="90">
        <v>281.0389027686914</v>
      </c>
      <c r="E9">
        <v>3</v>
      </c>
    </row>
    <row r="10" spans="1:5">
      <c r="A10">
        <v>2020</v>
      </c>
      <c r="B10" t="s">
        <v>229</v>
      </c>
      <c r="C10" t="s">
        <v>238</v>
      </c>
      <c r="D10" s="90">
        <v>302.85282908362865</v>
      </c>
      <c r="E10">
        <v>3</v>
      </c>
    </row>
    <row r="11" spans="1:5">
      <c r="A11">
        <v>2030</v>
      </c>
      <c r="B11" t="s">
        <v>229</v>
      </c>
      <c r="C11" t="s">
        <v>236</v>
      </c>
      <c r="D11" s="90">
        <v>247.326626775699</v>
      </c>
      <c r="E11">
        <v>3.25</v>
      </c>
    </row>
    <row r="12" spans="1:5">
      <c r="A12">
        <v>2030</v>
      </c>
      <c r="B12" t="s">
        <v>229</v>
      </c>
      <c r="C12" t="s">
        <v>237</v>
      </c>
      <c r="D12" s="90">
        <v>219.56945138434571</v>
      </c>
      <c r="E12">
        <v>3.6</v>
      </c>
    </row>
    <row r="13" spans="1:5">
      <c r="A13">
        <v>2030</v>
      </c>
      <c r="B13" t="s">
        <v>229</v>
      </c>
      <c r="C13" t="s">
        <v>238</v>
      </c>
      <c r="D13" s="90">
        <v>289.04903060471639</v>
      </c>
      <c r="E13">
        <v>3</v>
      </c>
    </row>
    <row r="14" spans="1:5">
      <c r="A14">
        <v>2040</v>
      </c>
      <c r="B14" t="s">
        <v>229</v>
      </c>
      <c r="C14" t="s">
        <v>236</v>
      </c>
      <c r="D14" s="90">
        <v>212.75363777446901</v>
      </c>
      <c r="E14">
        <v>3.35</v>
      </c>
    </row>
    <row r="15" spans="1:5">
      <c r="A15">
        <v>2040</v>
      </c>
      <c r="B15" t="s">
        <v>229</v>
      </c>
      <c r="C15" t="s">
        <v>237</v>
      </c>
      <c r="D15" s="90">
        <v>180</v>
      </c>
      <c r="E15">
        <v>3.85</v>
      </c>
    </row>
    <row r="16" spans="1:5">
      <c r="A16">
        <v>2040</v>
      </c>
      <c r="B16" t="s">
        <v>229</v>
      </c>
      <c r="C16" t="s">
        <v>238</v>
      </c>
      <c r="D16" s="90">
        <v>275.87439861905744</v>
      </c>
      <c r="E16">
        <v>3</v>
      </c>
    </row>
    <row r="17" spans="1:7">
      <c r="A17">
        <v>2050</v>
      </c>
      <c r="B17" t="s">
        <v>229</v>
      </c>
      <c r="C17" t="s">
        <v>236</v>
      </c>
      <c r="D17" s="90">
        <v>184.45</v>
      </c>
      <c r="E17">
        <v>3.43</v>
      </c>
    </row>
    <row r="18" spans="1:7">
      <c r="A18">
        <v>2050</v>
      </c>
      <c r="B18" t="s">
        <v>229</v>
      </c>
      <c r="C18" t="s">
        <v>237</v>
      </c>
      <c r="D18" s="90">
        <v>158.1</v>
      </c>
      <c r="E18">
        <v>3.9200000000000004</v>
      </c>
    </row>
    <row r="19" spans="1:7">
      <c r="A19">
        <v>2050</v>
      </c>
      <c r="B19" t="s">
        <v>229</v>
      </c>
      <c r="C19" t="s">
        <v>238</v>
      </c>
      <c r="D19" s="90">
        <v>263.5</v>
      </c>
      <c r="E19">
        <v>3</v>
      </c>
    </row>
    <row r="20" spans="1:7">
      <c r="A20" s="57">
        <v>2060</v>
      </c>
      <c r="B20" t="s">
        <v>229</v>
      </c>
      <c r="C20" t="s">
        <v>236</v>
      </c>
      <c r="D20" s="176">
        <v>184.45</v>
      </c>
      <c r="E20" s="57">
        <v>3.43</v>
      </c>
      <c r="G20" t="s">
        <v>625</v>
      </c>
    </row>
    <row r="21" spans="1:7">
      <c r="A21" s="57">
        <v>2060</v>
      </c>
      <c r="B21" t="s">
        <v>229</v>
      </c>
      <c r="C21" t="s">
        <v>237</v>
      </c>
      <c r="D21" s="176">
        <v>158.1</v>
      </c>
      <c r="E21" s="57">
        <v>3.9200000000000004</v>
      </c>
    </row>
    <row r="22" spans="1:7">
      <c r="A22" s="57">
        <v>2060</v>
      </c>
      <c r="B22" t="s">
        <v>229</v>
      </c>
      <c r="C22" t="s">
        <v>238</v>
      </c>
      <c r="D22" s="176">
        <v>263.5</v>
      </c>
      <c r="E22" s="57">
        <v>3</v>
      </c>
    </row>
  </sheetData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79"/>
  <sheetViews>
    <sheetView topLeftCell="A27" zoomScale="85" zoomScaleNormal="85" workbookViewId="0">
      <selection activeCell="H28" sqref="H28"/>
    </sheetView>
  </sheetViews>
  <sheetFormatPr defaultRowHeight="14.5"/>
  <cols>
    <col min="1" max="1" width="59.7265625" bestFit="1" customWidth="1"/>
    <col min="2" max="2" width="12" bestFit="1" customWidth="1"/>
    <col min="34" max="34" width="9.90625" customWidth="1"/>
  </cols>
  <sheetData>
    <row r="1" spans="1:45">
      <c r="A1" s="7" t="s">
        <v>12</v>
      </c>
      <c r="B1" s="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45">
      <c r="A2" s="56" t="s">
        <v>213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</row>
    <row r="3" spans="1:45">
      <c r="A3" s="8" t="s">
        <v>178</v>
      </c>
      <c r="B3">
        <v>2019</v>
      </c>
      <c r="C3">
        <v>2020</v>
      </c>
      <c r="D3">
        <v>2021</v>
      </c>
      <c r="E3">
        <v>2022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P3">
        <v>2033</v>
      </c>
      <c r="Q3">
        <v>2034</v>
      </c>
      <c r="R3">
        <v>2035</v>
      </c>
      <c r="S3">
        <v>2036</v>
      </c>
      <c r="T3">
        <v>2037</v>
      </c>
      <c r="U3">
        <v>2038</v>
      </c>
      <c r="V3">
        <v>2039</v>
      </c>
      <c r="W3">
        <v>2040</v>
      </c>
      <c r="X3">
        <v>2041</v>
      </c>
      <c r="Y3">
        <v>2042</v>
      </c>
      <c r="Z3">
        <v>2043</v>
      </c>
      <c r="AA3">
        <v>2044</v>
      </c>
      <c r="AB3">
        <v>2045</v>
      </c>
      <c r="AC3">
        <v>2046</v>
      </c>
      <c r="AD3">
        <v>2047</v>
      </c>
      <c r="AE3">
        <v>2048</v>
      </c>
      <c r="AF3">
        <v>2049</v>
      </c>
      <c r="AG3">
        <v>2050</v>
      </c>
      <c r="AH3" s="164">
        <v>2051</v>
      </c>
      <c r="AI3" s="164">
        <v>2052</v>
      </c>
      <c r="AJ3" s="164">
        <v>2053</v>
      </c>
      <c r="AK3" s="164">
        <v>2054</v>
      </c>
      <c r="AL3" s="164">
        <v>2055</v>
      </c>
      <c r="AM3" s="164">
        <v>2056</v>
      </c>
      <c r="AN3" s="164">
        <v>2057</v>
      </c>
      <c r="AO3" s="164">
        <v>2058</v>
      </c>
      <c r="AP3" s="164">
        <v>2059</v>
      </c>
      <c r="AQ3" s="164">
        <v>2060</v>
      </c>
      <c r="AS3" t="s">
        <v>628</v>
      </c>
    </row>
    <row r="4" spans="1:45">
      <c r="A4" t="s">
        <v>13</v>
      </c>
      <c r="B4" s="40"/>
      <c r="C4" s="40">
        <f>'EIA AEO Table 4'!C53/SUM('EIA AEO Table 21'!F10:F11)*10^15/10^6</f>
        <v>57012743.580627657</v>
      </c>
      <c r="D4" s="40">
        <f>'EIA AEO Table 4'!D53/SUM('EIA AEO Table 21'!G10:G11)*10^15/10^6</f>
        <v>54412983.894089483</v>
      </c>
      <c r="E4" s="40">
        <f>'EIA AEO Table 4'!E53/SUM('EIA AEO Table 21'!H10:H11)*10^15/10^6</f>
        <v>55846719.728993997</v>
      </c>
      <c r="F4" s="40">
        <f>'EIA AEO Table 4'!F53/SUM('EIA AEO Table 21'!I10:I11)*10^15/10^6</f>
        <v>55162964.920627303</v>
      </c>
      <c r="G4" s="40">
        <f>'EIA AEO Table 4'!G53/SUM('EIA AEO Table 21'!J10:J11)*10^15/10^6</f>
        <v>54590776.753342718</v>
      </c>
      <c r="H4" s="40">
        <f>'EIA AEO Table 4'!H53/SUM('EIA AEO Table 21'!K10:K11)*10^15/10^6</f>
        <v>53880600.438014641</v>
      </c>
      <c r="I4" s="40">
        <f>'EIA AEO Table 4'!I53/SUM('EIA AEO Table 21'!L10:L11)*10^15/10^6</f>
        <v>53059978.400639735</v>
      </c>
      <c r="J4" s="40">
        <f>'EIA AEO Table 4'!J53/SUM('EIA AEO Table 21'!M10:M11)*10^15/10^6</f>
        <v>52213032.595341004</v>
      </c>
      <c r="K4" s="40">
        <f>'EIA AEO Table 4'!K53/SUM('EIA AEO Table 21'!N10:N11)*10^15/10^6</f>
        <v>51415546.19390063</v>
      </c>
      <c r="L4" s="40">
        <f>'EIA AEO Table 4'!L53/SUM('EIA AEO Table 21'!O10:O11)*10^15/10^6</f>
        <v>50628792.951151013</v>
      </c>
      <c r="M4" s="40">
        <f>'EIA AEO Table 4'!M53/SUM('EIA AEO Table 21'!P10:P11)*10^15/10^6</f>
        <v>49825020.691959128</v>
      </c>
      <c r="N4" s="40">
        <f>'EIA AEO Table 4'!N53/SUM('EIA AEO Table 21'!Q10:Q11)*10^15/10^6</f>
        <v>49088898.475131154</v>
      </c>
      <c r="O4" s="40">
        <f>'EIA AEO Table 4'!O53/SUM('EIA AEO Table 21'!R10:R11)*10^15/10^6</f>
        <v>48412466.12433815</v>
      </c>
      <c r="P4" s="40">
        <f>'EIA AEO Table 4'!P53/SUM('EIA AEO Table 21'!S10:S11)*10^15/10^6</f>
        <v>47776905.042016536</v>
      </c>
      <c r="Q4" s="40">
        <f>'EIA AEO Table 4'!Q53/SUM('EIA AEO Table 21'!T10:T11)*10^15/10^6</f>
        <v>47178683.265251592</v>
      </c>
      <c r="R4" s="40">
        <f>'EIA AEO Table 4'!R53/SUM('EIA AEO Table 21'!U10:U11)*10^15/10^6</f>
        <v>46624929.529030658</v>
      </c>
      <c r="S4" s="40">
        <f>'EIA AEO Table 4'!S53/SUM('EIA AEO Table 21'!V10:V11)*10^15/10^6</f>
        <v>46097252.565662228</v>
      </c>
      <c r="T4" s="40">
        <f>'EIA AEO Table 4'!T53/SUM('EIA AEO Table 21'!W10:W11)*10^15/10^6</f>
        <v>45587314.864003479</v>
      </c>
      <c r="U4" s="40">
        <f>'EIA AEO Table 4'!U53/SUM('EIA AEO Table 21'!X10:X11)*10^15/10^6</f>
        <v>45107902.428382352</v>
      </c>
      <c r="V4" s="40">
        <f>'EIA AEO Table 4'!V53/SUM('EIA AEO Table 21'!Y10:Y11)*10^15/10^6</f>
        <v>44651129.610868752</v>
      </c>
      <c r="W4" s="40">
        <f>'EIA AEO Table 4'!W53/SUM('EIA AEO Table 21'!Z10:Z11)*10^15/10^6</f>
        <v>44217424.301617801</v>
      </c>
      <c r="X4" s="40">
        <f>'EIA AEO Table 4'!X53/SUM('EIA AEO Table 21'!AA10:AA11)*10^15/10^6</f>
        <v>43783744.36698588</v>
      </c>
      <c r="Y4" s="40">
        <f>'EIA AEO Table 4'!Y53/SUM('EIA AEO Table 21'!AB10:AB11)*10^15/10^6</f>
        <v>43348627.826524526</v>
      </c>
      <c r="Z4" s="40">
        <f>'EIA AEO Table 4'!Z53/SUM('EIA AEO Table 21'!AC10:AC11)*10^15/10^6</f>
        <v>42915063.740329355</v>
      </c>
      <c r="AA4" s="40">
        <f>'EIA AEO Table 4'!AA53/SUM('EIA AEO Table 21'!AD10:AD11)*10^15/10^6</f>
        <v>42486853.40931078</v>
      </c>
      <c r="AB4" s="40">
        <f>'EIA AEO Table 4'!AB53/SUM('EIA AEO Table 21'!AE10:AE11)*10^15/10^6</f>
        <v>42063075.644421682</v>
      </c>
      <c r="AC4" s="40">
        <f>'EIA AEO Table 4'!AC53/SUM('EIA AEO Table 21'!AF10:AF11)*10^15/10^6</f>
        <v>41651245.008284606</v>
      </c>
      <c r="AD4" s="40">
        <f>'EIA AEO Table 4'!AD53/SUM('EIA AEO Table 21'!AG10:AG11)*10^15/10^6</f>
        <v>41245907.831980065</v>
      </c>
      <c r="AE4" s="40">
        <f>'EIA AEO Table 4'!AE53/SUM('EIA AEO Table 21'!AH10:AH11)*10^15/10^6</f>
        <v>40855734.207762554</v>
      </c>
      <c r="AF4" s="40">
        <f>'EIA AEO Table 4'!AF53/SUM('EIA AEO Table 21'!AI10:AI11)*10^15/10^6</f>
        <v>40464124.633675084</v>
      </c>
      <c r="AG4" s="40">
        <f>'EIA AEO Table 4'!AG53/SUM('EIA AEO Table 21'!AJ10:AJ11)*10^15/10^6</f>
        <v>40071282.668660283</v>
      </c>
      <c r="AH4" s="40">
        <f>'EIA AEO Table 4'!AH53/SUM('EIA AEO Table 21'!AK10:AK11)*10^15/10^6</f>
        <v>39679617.486910626</v>
      </c>
      <c r="AI4" s="40">
        <f>'EIA AEO Table 4'!AI53/SUM('EIA AEO Table 21'!AL10:AL11)*10^15/10^6</f>
        <v>39291737.599101141</v>
      </c>
      <c r="AJ4" s="40">
        <f>'EIA AEO Table 4'!AJ53/SUM('EIA AEO Table 21'!AM10:AM11)*10^15/10^6</f>
        <v>38907607.194198728</v>
      </c>
      <c r="AK4" s="40">
        <f>'EIA AEO Table 4'!AK53/SUM('EIA AEO Table 21'!AN10:AN11)*10^15/10^6</f>
        <v>38527190.786086544</v>
      </c>
      <c r="AL4" s="40">
        <f>'EIA AEO Table 4'!AL53/SUM('EIA AEO Table 21'!AO10:AO11)*10^15/10^6</f>
        <v>38150453.210865989</v>
      </c>
      <c r="AM4" s="40">
        <f>'EIA AEO Table 4'!AM53/SUM('EIA AEO Table 21'!AP10:AP11)*10^15/10^6</f>
        <v>37777359.624176562</v>
      </c>
      <c r="AN4" s="40">
        <f>'EIA AEO Table 4'!AN53/SUM('EIA AEO Table 21'!AQ10:AQ11)*10^15/10^6</f>
        <v>37407875.498533458</v>
      </c>
      <c r="AO4" s="40">
        <f>'EIA AEO Table 4'!AO53/SUM('EIA AEO Table 21'!AR10:AR11)*10^15/10^6</f>
        <v>37041966.620682985</v>
      </c>
      <c r="AP4" s="40">
        <f>'EIA AEO Table 4'!AP53/SUM('EIA AEO Table 21'!AS10:AS11)*10^15/10^6</f>
        <v>36679599.088975661</v>
      </c>
      <c r="AQ4" s="40">
        <f>'EIA AEO Table 4'!AQ53/SUM('EIA AEO Table 21'!AT10:AT11)*10^15/10^6</f>
        <v>36320739.310757071</v>
      </c>
    </row>
    <row r="5" spans="1:45">
      <c r="A5" t="s">
        <v>14</v>
      </c>
      <c r="B5" s="40"/>
      <c r="C5" s="40">
        <f>'EIA AEO Table 4'!C62/'EIA AEO Table 21'!F12*10^15/10^6</f>
        <v>67169262.164407387</v>
      </c>
      <c r="D5" s="40">
        <f>'EIA AEO Table 4'!D62/'EIA AEO Table 21'!G12*10^15/10^6</f>
        <v>72770016.689861685</v>
      </c>
      <c r="E5" s="40">
        <f>'EIA AEO Table 4'!E62/'EIA AEO Table 21'!H12*10^15/10^6</f>
        <v>73400210.272114143</v>
      </c>
      <c r="F5" s="40">
        <f>'EIA AEO Table 4'!F62/'EIA AEO Table 21'!I12*10^15/10^6</f>
        <v>72148766.763783544</v>
      </c>
      <c r="G5" s="40">
        <f>'EIA AEO Table 4'!G62/'EIA AEO Table 21'!J12*10^15/10^6</f>
        <v>70980274.144670233</v>
      </c>
      <c r="H5" s="40">
        <f>'EIA AEO Table 4'!H62/'EIA AEO Table 21'!K12*10^15/10^6</f>
        <v>70064502.101753876</v>
      </c>
      <c r="I5" s="40">
        <f>'EIA AEO Table 4'!I62/'EIA AEO Table 21'!L12*10^15/10^6</f>
        <v>69174503.25922893</v>
      </c>
      <c r="J5" s="40">
        <f>'EIA AEO Table 4'!J62/'EIA AEO Table 21'!M12*10^15/10^6</f>
        <v>68378077.001935616</v>
      </c>
      <c r="K5" s="40">
        <f>'EIA AEO Table 4'!K62/'EIA AEO Table 21'!N12*10^15/10^6</f>
        <v>67683600.116524428</v>
      </c>
      <c r="L5" s="40">
        <f>'EIA AEO Table 4'!L62/'EIA AEO Table 21'!O12*10^15/10^6</f>
        <v>67034448.632895052</v>
      </c>
      <c r="M5" s="40">
        <f>'EIA AEO Table 4'!M62/'EIA AEO Table 21'!P12*10^15/10^6</f>
        <v>66388025.974685974</v>
      </c>
      <c r="N5" s="40">
        <f>'EIA AEO Table 4'!N62/'EIA AEO Table 21'!Q12*10^15/10^6</f>
        <v>65791038.069062486</v>
      </c>
      <c r="O5" s="40">
        <f>'EIA AEO Table 4'!O62/'EIA AEO Table 21'!R12*10^15/10^6</f>
        <v>65198434.669694789</v>
      </c>
      <c r="P5" s="40">
        <f>'EIA AEO Table 4'!P62/'EIA AEO Table 21'!S12*10^15/10^6</f>
        <v>64627836.864078254</v>
      </c>
      <c r="Q5" s="40">
        <f>'EIA AEO Table 4'!Q62/'EIA AEO Table 21'!T12*10^15/10^6</f>
        <v>64066667.072282828</v>
      </c>
      <c r="R5" s="40">
        <f>'EIA AEO Table 4'!R62/'EIA AEO Table 21'!U12*10^15/10^6</f>
        <v>63583192.978042491</v>
      </c>
      <c r="S5" s="40">
        <f>'EIA AEO Table 4'!S62/'EIA AEO Table 21'!V12*10^15/10^6</f>
        <v>63135221.85904333</v>
      </c>
      <c r="T5" s="40">
        <f>'EIA AEO Table 4'!T62/'EIA AEO Table 21'!W12*10^15/10^6</f>
        <v>62653076.089628622</v>
      </c>
      <c r="U5" s="40">
        <f>'EIA AEO Table 4'!U62/'EIA AEO Table 21'!X12*10^15/10^6</f>
        <v>62131918.004851639</v>
      </c>
      <c r="V5" s="40">
        <f>'EIA AEO Table 4'!V62/'EIA AEO Table 21'!Y12*10^15/10^6</f>
        <v>61664444.875625111</v>
      </c>
      <c r="W5" s="40">
        <f>'EIA AEO Table 4'!W62/'EIA AEO Table 21'!Z12*10^15/10^6</f>
        <v>61143727.254693255</v>
      </c>
      <c r="X5" s="40">
        <f>'EIA AEO Table 4'!X62/'EIA AEO Table 21'!AA12*10^15/10^6</f>
        <v>60620875.143509001</v>
      </c>
      <c r="Y5" s="40">
        <f>'EIA AEO Table 4'!Y62/'EIA AEO Table 21'!AB12*10^15/10^6</f>
        <v>60113796.824319355</v>
      </c>
      <c r="Z5" s="40">
        <f>'EIA AEO Table 4'!Z62/'EIA AEO Table 21'!AC12*10^15/10^6</f>
        <v>59622680.112821154</v>
      </c>
      <c r="AA5" s="40">
        <f>'EIA AEO Table 4'!AA62/'EIA AEO Table 21'!AD12*10^15/10^6</f>
        <v>59131017.859972067</v>
      </c>
      <c r="AB5" s="40">
        <f>'EIA AEO Table 4'!AB62/'EIA AEO Table 21'!AE12*10^15/10^6</f>
        <v>58625151.946275063</v>
      </c>
      <c r="AC5" s="40">
        <f>'EIA AEO Table 4'!AC62/'EIA AEO Table 21'!AF12*10^15/10^6</f>
        <v>58139399.487793617</v>
      </c>
      <c r="AD5" s="40">
        <f>'EIA AEO Table 4'!AD62/'EIA AEO Table 21'!AG12*10^15/10^6</f>
        <v>57672449.206695445</v>
      </c>
      <c r="AE5" s="40">
        <f>'EIA AEO Table 4'!AE62/'EIA AEO Table 21'!AH12*10^15/10^6</f>
        <v>57234226.837547943</v>
      </c>
      <c r="AF5" s="40">
        <f>'EIA AEO Table 4'!AF62/'EIA AEO Table 21'!AI12*10^15/10^6</f>
        <v>56780929.296423048</v>
      </c>
      <c r="AG5" s="40">
        <f>'EIA AEO Table 4'!AG62/'EIA AEO Table 21'!AJ12*10^15/10^6</f>
        <v>56317673.623997077</v>
      </c>
      <c r="AH5" s="40">
        <f>'EIA AEO Table 4'!AH62/'EIA AEO Table 21'!AK12*10^15/10^6</f>
        <v>56036147.456488714</v>
      </c>
      <c r="AI5" s="40">
        <f>'EIA AEO Table 4'!AI62/'EIA AEO Table 21'!AL12*10^15/10^6</f>
        <v>55756028.608883508</v>
      </c>
      <c r="AJ5" s="40">
        <f>'EIA AEO Table 4'!AJ62/'EIA AEO Table 21'!AM12*10^15/10^6</f>
        <v>55477310.04613629</v>
      </c>
      <c r="AK5" s="40">
        <f>'EIA AEO Table 4'!AK62/'EIA AEO Table 21'!AN12*10^15/10^6</f>
        <v>55199984.768369354</v>
      </c>
      <c r="AL5" s="40">
        <f>'EIA AEO Table 4'!AL62/'EIA AEO Table 21'!AO12*10^15/10^6</f>
        <v>54924045.810696602</v>
      </c>
      <c r="AM5" s="40">
        <f>'EIA AEO Table 4'!AM62/'EIA AEO Table 21'!AP12*10^15/10^6</f>
        <v>54649486.243048698</v>
      </c>
      <c r="AN5" s="40">
        <f>'EIA AEO Table 4'!AN62/'EIA AEO Table 21'!AQ12*10^15/10^6</f>
        <v>54376299.169999011</v>
      </c>
      <c r="AO5" s="40">
        <f>'EIA AEO Table 4'!AO62/'EIA AEO Table 21'!AR12*10^15/10^6</f>
        <v>54104477.730590396</v>
      </c>
      <c r="AP5" s="40">
        <f>'EIA AEO Table 4'!AP62/'EIA AEO Table 21'!AS12*10^15/10^6</f>
        <v>53834015.098162957</v>
      </c>
      <c r="AQ5" s="40">
        <f>'EIA AEO Table 4'!AQ62/'EIA AEO Table 21'!AT12*10^15/10^6</f>
        <v>53564904.480182521</v>
      </c>
    </row>
    <row r="6" spans="1:45">
      <c r="A6" t="s">
        <v>207</v>
      </c>
      <c r="B6" s="40"/>
      <c r="C6" s="40">
        <f>'EIA AEO Table 4'!C74/'EIA AEO Table 21'!F15*10^15/10^6</f>
        <v>136778744.32010639</v>
      </c>
      <c r="D6" s="40">
        <f>'EIA AEO Table 4'!D74/'EIA AEO Table 21'!G15*10^15/10^6</f>
        <v>136852202.32080743</v>
      </c>
      <c r="E6" s="40">
        <f>'EIA AEO Table 4'!E74/'EIA AEO Table 21'!H15*10^15/10^6</f>
        <v>134374021.07318306</v>
      </c>
      <c r="F6" s="40">
        <f>'EIA AEO Table 4'!F74/'EIA AEO Table 21'!I15*10^15/10^6</f>
        <v>135829814.92262757</v>
      </c>
      <c r="G6" s="40">
        <f>'EIA AEO Table 4'!G74/'EIA AEO Table 21'!J15*10^15/10^6</f>
        <v>137222355.3272855</v>
      </c>
      <c r="H6" s="40">
        <f>'EIA AEO Table 4'!H74/'EIA AEO Table 21'!K15*10^15/10^6</f>
        <v>137259360.08020088</v>
      </c>
      <c r="I6" s="40">
        <f>'EIA AEO Table 4'!I74/'EIA AEO Table 21'!L15*10^15/10^6</f>
        <v>137222118.76513061</v>
      </c>
      <c r="J6" s="40">
        <f>'EIA AEO Table 4'!J74/'EIA AEO Table 21'!M15*10^15/10^6</f>
        <v>137165765.46970838</v>
      </c>
      <c r="K6" s="40">
        <f>'EIA AEO Table 4'!K74/'EIA AEO Table 21'!N15*10^15/10^6</f>
        <v>136904106.8345966</v>
      </c>
      <c r="L6" s="40">
        <f>'EIA AEO Table 4'!L74/'EIA AEO Table 21'!O15*10^15/10^6</f>
        <v>136512506.5641923</v>
      </c>
      <c r="M6" s="40">
        <f>'EIA AEO Table 4'!M74/'EIA AEO Table 21'!P15*10^15/10^6</f>
        <v>136097147.30166793</v>
      </c>
      <c r="N6" s="40">
        <f>'EIA AEO Table 4'!N74/'EIA AEO Table 21'!Q15*10^15/10^6</f>
        <v>135393105.47378832</v>
      </c>
      <c r="O6" s="40">
        <f>'EIA AEO Table 4'!O74/'EIA AEO Table 21'!R15*10^15/10^6</f>
        <v>134672961.39139369</v>
      </c>
      <c r="P6" s="40">
        <f>'EIA AEO Table 4'!P74/'EIA AEO Table 21'!S15*10^15/10^6</f>
        <v>133847594.62092435</v>
      </c>
      <c r="Q6" s="40">
        <f>'EIA AEO Table 4'!Q74/'EIA AEO Table 21'!T15*10^15/10^6</f>
        <v>132911508.60479049</v>
      </c>
      <c r="R6" s="40">
        <f>'EIA AEO Table 4'!R74/'EIA AEO Table 21'!U15*10^15/10^6</f>
        <v>131668837.36733109</v>
      </c>
      <c r="S6" s="40">
        <f>'EIA AEO Table 4'!S74/'EIA AEO Table 21'!V15*10^15/10^6</f>
        <v>130169621.25478463</v>
      </c>
      <c r="T6" s="40">
        <f>'EIA AEO Table 4'!T74/'EIA AEO Table 21'!W15*10^15/10^6</f>
        <v>128998736.63477191</v>
      </c>
      <c r="U6" s="40">
        <f>'EIA AEO Table 4'!U74/'EIA AEO Table 21'!X15*10^15/10^6</f>
        <v>128218909.07929392</v>
      </c>
      <c r="V6" s="40">
        <f>'EIA AEO Table 4'!V74/'EIA AEO Table 21'!Y15*10^15/10^6</f>
        <v>127170893.67536321</v>
      </c>
      <c r="W6" s="40">
        <f>'EIA AEO Table 4'!W74/'EIA AEO Table 21'!Z15*10^15/10^6</f>
        <v>126657786.69312969</v>
      </c>
      <c r="X6" s="40">
        <f>'EIA AEO Table 4'!X74/'EIA AEO Table 21'!AA15*10^15/10^6</f>
        <v>126210434.62117912</v>
      </c>
      <c r="Y6" s="40">
        <f>'EIA AEO Table 4'!Y74/'EIA AEO Table 21'!AB15*10^15/10^6</f>
        <v>125721210.5497244</v>
      </c>
      <c r="Z6" s="40">
        <f>'EIA AEO Table 4'!Z74/'EIA AEO Table 21'!AC15*10^15/10^6</f>
        <v>125202681.6254331</v>
      </c>
      <c r="AA6" s="40">
        <f>'EIA AEO Table 4'!AA74/'EIA AEO Table 21'!AD15*10^15/10^6</f>
        <v>124849606.01993199</v>
      </c>
      <c r="AB6" s="40">
        <f>'EIA AEO Table 4'!AB74/'EIA AEO Table 21'!AE15*10^15/10^6</f>
        <v>124739181.71096799</v>
      </c>
      <c r="AC6" s="40">
        <f>'EIA AEO Table 4'!AC74/'EIA AEO Table 21'!AF15*10^15/10^6</f>
        <v>124593661.01905157</v>
      </c>
      <c r="AD6" s="40">
        <f>'EIA AEO Table 4'!AD74/'EIA AEO Table 21'!AG15*10^15/10^6</f>
        <v>124283187.3368925</v>
      </c>
      <c r="AE6" s="40">
        <f>'EIA AEO Table 4'!AE74/'EIA AEO Table 21'!AH15*10^15/10^6</f>
        <v>123796850.17476214</v>
      </c>
      <c r="AF6" s="40">
        <f>'EIA AEO Table 4'!AF74/'EIA AEO Table 21'!AI15*10^15/10^6</f>
        <v>123478143.37382002</v>
      </c>
      <c r="AG6" s="40">
        <f>'EIA AEO Table 4'!AG74/'EIA AEO Table 21'!AJ15*10^15/10^6</f>
        <v>123207684.33293828</v>
      </c>
      <c r="AH6" s="40">
        <f>'EIA AEO Table 4'!AH74/'EIA AEO Table 21'!AK15*10^15/10^6</f>
        <v>122693753.36023003</v>
      </c>
      <c r="AI6" s="40">
        <f>'EIA AEO Table 4'!AI74/'EIA AEO Table 21'!AL15*10^15/10^6</f>
        <v>122181966.12592688</v>
      </c>
      <c r="AJ6" s="40">
        <f>'EIA AEO Table 4'!AJ74/'EIA AEO Table 21'!AM15*10^15/10^6</f>
        <v>121672313.68794399</v>
      </c>
      <c r="AK6" s="40">
        <f>'EIA AEO Table 4'!AK74/'EIA AEO Table 21'!AN15*10^15/10^6</f>
        <v>121164787.14149633</v>
      </c>
      <c r="AL6" s="40">
        <f>'EIA AEO Table 4'!AL74/'EIA AEO Table 21'!AO15*10^15/10^6</f>
        <v>120659377.61894292</v>
      </c>
      <c r="AM6" s="40">
        <f>'EIA AEO Table 4'!AM74/'EIA AEO Table 21'!AP15*10^15/10^6</f>
        <v>120156076.28963208</v>
      </c>
      <c r="AN6" s="40">
        <f>'EIA AEO Table 4'!AN74/'EIA AEO Table 21'!AQ15*10^15/10^6</f>
        <v>119654874.35974702</v>
      </c>
      <c r="AO6" s="40">
        <f>'EIA AEO Table 4'!AO74/'EIA AEO Table 21'!AR15*10^15/10^6</f>
        <v>119155763.07215218</v>
      </c>
      <c r="AP6" s="40">
        <f>'EIA AEO Table 4'!AP74/'EIA AEO Table 21'!AS15*10^15/10^6</f>
        <v>118658733.70624036</v>
      </c>
      <c r="AQ6" s="40">
        <f>'EIA AEO Table 4'!AQ74/'EIA AEO Table 21'!AT15*10^15/10^6</f>
        <v>118163777.57778016</v>
      </c>
    </row>
    <row r="8" spans="1:45">
      <c r="A8" s="8" t="s">
        <v>179</v>
      </c>
      <c r="B8">
        <v>2017</v>
      </c>
      <c r="C8">
        <v>2020</v>
      </c>
      <c r="D8">
        <v>2030</v>
      </c>
      <c r="E8">
        <v>2040</v>
      </c>
      <c r="F8">
        <v>2050</v>
      </c>
      <c r="G8" s="164">
        <v>2060</v>
      </c>
    </row>
    <row r="9" spans="1:45">
      <c r="A9" t="s">
        <v>260</v>
      </c>
      <c r="B9">
        <f>'EIA Costs'!E48-'EIA Costs'!E10</f>
        <v>3050</v>
      </c>
      <c r="C9">
        <f>'EIA Costs'!H48-'EIA Costs'!H10</f>
        <v>2860</v>
      </c>
      <c r="D9">
        <f>'EIA Costs'!J48-'EIA Costs'!J10</f>
        <v>2910</v>
      </c>
      <c r="E9">
        <f>'EIA Costs'!L48-'EIA Costs'!L10</f>
        <v>2910</v>
      </c>
      <c r="F9">
        <f>'EIA Costs'!N48-'EIA Costs'!N10</f>
        <v>2910</v>
      </c>
      <c r="G9">
        <f>'EIA Costs'!P48-'EIA Costs'!P10</f>
        <v>2910</v>
      </c>
    </row>
    <row r="10" spans="1:45">
      <c r="A10" t="s">
        <v>261</v>
      </c>
      <c r="B10">
        <f>'EIA Costs'!E48-AVERAGE('EIA Costs'!E23:E24)</f>
        <v>975</v>
      </c>
      <c r="C10">
        <f>'EIA Costs'!H48-AVERAGE('EIA Costs'!H23:H24)</f>
        <v>975</v>
      </c>
      <c r="D10">
        <f>'EIA Costs'!J48-AVERAGE('EIA Costs'!J23:J24)</f>
        <v>925</v>
      </c>
      <c r="E10">
        <f>'EIA Costs'!L48-AVERAGE('EIA Costs'!L23:L24)</f>
        <v>925</v>
      </c>
      <c r="F10">
        <f>'EIA Costs'!N48-AVERAGE('EIA Costs'!N23:N24)</f>
        <v>925</v>
      </c>
      <c r="G10">
        <f>'EIA Costs'!P48-AVERAGE('EIA Costs'!P23:P24)</f>
        <v>925</v>
      </c>
    </row>
    <row r="11" spans="1:45">
      <c r="A11" t="s">
        <v>273</v>
      </c>
      <c r="B11">
        <f>'EIA Costs'!E48-'EIA Costs'!D36</f>
        <v>400</v>
      </c>
      <c r="C11">
        <f>'EIA Costs'!H48-'EIA Costs'!F36</f>
        <v>400</v>
      </c>
      <c r="D11">
        <f>'EIA Costs'!J48-'EIA Costs'!H36</f>
        <v>350</v>
      </c>
      <c r="E11">
        <f>'EIA Costs'!L48-'EIA Costs'!J36</f>
        <v>250</v>
      </c>
      <c r="F11">
        <f>'EIA Costs'!N48-'EIA Costs'!L36</f>
        <v>150</v>
      </c>
      <c r="G11">
        <f>'EIA Costs'!P48-'EIA Costs'!N36</f>
        <v>150</v>
      </c>
    </row>
    <row r="13" spans="1:45">
      <c r="A13" s="8" t="s">
        <v>206</v>
      </c>
      <c r="B13">
        <v>2019</v>
      </c>
      <c r="C13">
        <v>2020</v>
      </c>
      <c r="D13">
        <v>2021</v>
      </c>
      <c r="E13">
        <v>2022</v>
      </c>
      <c r="F13">
        <v>2023</v>
      </c>
      <c r="G13">
        <v>2024</v>
      </c>
      <c r="H13">
        <v>2025</v>
      </c>
      <c r="I13">
        <v>2026</v>
      </c>
      <c r="J13">
        <v>2027</v>
      </c>
      <c r="K13">
        <v>2028</v>
      </c>
      <c r="L13">
        <v>2029</v>
      </c>
      <c r="M13">
        <v>2030</v>
      </c>
      <c r="N13">
        <v>2031</v>
      </c>
      <c r="O13">
        <v>2032</v>
      </c>
      <c r="P13">
        <v>2033</v>
      </c>
      <c r="Q13">
        <v>2034</v>
      </c>
      <c r="R13">
        <v>2035</v>
      </c>
      <c r="S13">
        <v>2036</v>
      </c>
      <c r="T13">
        <v>2037</v>
      </c>
      <c r="U13">
        <v>2038</v>
      </c>
      <c r="V13">
        <v>2039</v>
      </c>
      <c r="W13">
        <v>2040</v>
      </c>
      <c r="X13">
        <v>2041</v>
      </c>
      <c r="Y13">
        <v>2042</v>
      </c>
      <c r="Z13">
        <v>2043</v>
      </c>
      <c r="AA13">
        <v>2044</v>
      </c>
      <c r="AB13">
        <v>2045</v>
      </c>
      <c r="AC13">
        <v>2046</v>
      </c>
      <c r="AD13">
        <v>2047</v>
      </c>
      <c r="AE13">
        <v>2048</v>
      </c>
      <c r="AF13">
        <v>2049</v>
      </c>
      <c r="AG13">
        <v>2050</v>
      </c>
      <c r="AH13" s="164">
        <v>2051</v>
      </c>
      <c r="AI13" s="164">
        <v>2052</v>
      </c>
      <c r="AJ13" s="164">
        <v>2053</v>
      </c>
      <c r="AK13" s="164">
        <v>2054</v>
      </c>
      <c r="AL13" s="164">
        <v>2055</v>
      </c>
      <c r="AM13" s="164">
        <v>2056</v>
      </c>
      <c r="AN13" s="164">
        <v>2057</v>
      </c>
      <c r="AO13" s="164">
        <v>2058</v>
      </c>
      <c r="AP13" s="164">
        <v>2059</v>
      </c>
      <c r="AQ13" s="164">
        <v>2060</v>
      </c>
    </row>
    <row r="14" spans="1:45">
      <c r="A14" t="s">
        <v>264</v>
      </c>
      <c r="B14">
        <f>(TREND($B$9:$C$9,$B$8:$C$8,B$13))*(About!$A$53)</f>
        <v>2738.1682169277724</v>
      </c>
      <c r="C14">
        <f>(TREND($B$9:$C$9,$B$8:$C$8,C$13))*(About!$A$53)</f>
        <v>2678.8464425587467</v>
      </c>
      <c r="D14">
        <f>(TREND($C$9:$D$9,$C$8:$D$8,D$13))*(About!$A$53)</f>
        <v>2683.529740535248</v>
      </c>
      <c r="E14">
        <f>(TREND($C$9:$D$9,$C$8:$D$8,E$13))*(About!$A$53)</f>
        <v>2688.2130385117493</v>
      </c>
      <c r="F14">
        <f>(TREND($C$9:$D$9,$C$8:$D$8,F$13))*(About!$A$53)</f>
        <v>2692.8963364882507</v>
      </c>
      <c r="G14">
        <f>(TREND($C$9:$D$9,$C$8:$D$8,G$13))*(About!$A$53)</f>
        <v>2697.579634464752</v>
      </c>
      <c r="H14">
        <f>(TREND($C$9:$D$9,$C$8:$D$8,H$13))*(About!$A$53)</f>
        <v>2702.2629324412533</v>
      </c>
      <c r="I14">
        <f>(TREND($C$9:$D$9,$C$8:$D$8,I$13))*(About!$A$53)</f>
        <v>2706.9462304177546</v>
      </c>
      <c r="J14">
        <f>(TREND($C$9:$D$9,$C$8:$D$8,J$13))*(About!$A$53)</f>
        <v>2711.6295283942559</v>
      </c>
      <c r="K14">
        <f>(TREND($C$9:$D$9,$C$8:$D$8,K$13))*(About!$A$53)</f>
        <v>2716.3128263707572</v>
      </c>
      <c r="L14">
        <f>(TREND($C$9:$D$9,$C$8:$D$8,L$13))*(About!$A$53)</f>
        <v>2720.9961243472585</v>
      </c>
      <c r="M14">
        <f>(TREND($C$9:$D$9,$C$8:$D$8,M$13))*(About!$A$53)</f>
        <v>2725.6794223237598</v>
      </c>
      <c r="N14">
        <f>(TREND($D$9:$F$9,$D$8:$F$8,N$13))*(About!$A$53)</f>
        <v>2725.6794223237598</v>
      </c>
      <c r="O14">
        <f>(TREND($D$9:$F$9,$D$8:$F$8,O$13))*(About!$A$53)</f>
        <v>2725.6794223237598</v>
      </c>
      <c r="P14">
        <f>(TREND($D$9:$F$9,$D$8:$F$8,P$13))*(About!$A$53)</f>
        <v>2725.6794223237598</v>
      </c>
      <c r="Q14">
        <f>(TREND($D$9:$F$9,$D$8:$F$8,Q$13))*(About!$A$53)</f>
        <v>2725.6794223237598</v>
      </c>
      <c r="R14">
        <f>(TREND($D$9:$F$9,$D$8:$F$8,R$13))*(About!$A$53)</f>
        <v>2725.6794223237598</v>
      </c>
      <c r="S14">
        <f>(TREND($D$9:$F$9,$D$8:$F$8,S$13))*(About!$A$53)</f>
        <v>2725.6794223237598</v>
      </c>
      <c r="T14">
        <f>(TREND($D$9:$F$9,$D$8:$F$8,T$13))*(About!$A$53)</f>
        <v>2725.6794223237598</v>
      </c>
      <c r="U14">
        <f>(TREND($D$9:$F$9,$D$8:$F$8,U$13))*(About!$A$53)</f>
        <v>2725.6794223237598</v>
      </c>
      <c r="V14">
        <f>(TREND($D$9:$F$9,$D$8:$F$8,V$13))*(About!$A$53)</f>
        <v>2725.6794223237598</v>
      </c>
      <c r="W14">
        <f>(TREND($D$9:$F$9,$D$8:$F$8,W$13))*(About!$A$53)</f>
        <v>2725.6794223237598</v>
      </c>
      <c r="X14">
        <f>(TREND($D$9:$F$9,$D$8:$F$8,X$13))*(About!$A$53)</f>
        <v>2725.6794223237598</v>
      </c>
      <c r="Y14">
        <f>(TREND($D$9:$F$9,$D$8:$F$8,Y$13))*(About!$A$53)</f>
        <v>2725.6794223237598</v>
      </c>
      <c r="Z14">
        <f>(TREND($D$9:$F$9,$D$8:$F$8,Z$13))*(About!$A$53)</f>
        <v>2725.6794223237598</v>
      </c>
      <c r="AA14">
        <f>(TREND($D$9:$F$9,$D$8:$F$8,AA$13))*(About!$A$53)</f>
        <v>2725.6794223237598</v>
      </c>
      <c r="AB14">
        <f>(TREND($D$9:$F$9,$D$8:$F$8,AB$13))*(About!$A$53)</f>
        <v>2725.6794223237598</v>
      </c>
      <c r="AC14">
        <f>(TREND($D$9:$F$9,$D$8:$F$8,AC$13))*(About!$A$53)</f>
        <v>2725.6794223237598</v>
      </c>
      <c r="AD14">
        <f>(TREND($D$9:$F$9,$D$8:$F$8,AD$13))*(About!$A$53)</f>
        <v>2725.6794223237598</v>
      </c>
      <c r="AE14">
        <f>(TREND($D$9:$F$9,$D$8:$F$8,AE$13))*(About!$A$53)</f>
        <v>2725.6794223237598</v>
      </c>
      <c r="AF14">
        <f>(TREND($D$9:$F$9,$D$8:$F$8,AF$13))*(About!$A$53)</f>
        <v>2725.6794223237598</v>
      </c>
      <c r="AG14">
        <f>(TREND($D$9:$F$9,$D$8:$F$8,AG$13))*(About!$A$53)</f>
        <v>2725.6794223237598</v>
      </c>
      <c r="AH14">
        <f>(TREND($D$9:$F$9,$D$8:$F$8,AH$13))*(About!$A$53)</f>
        <v>2725.6794223237598</v>
      </c>
      <c r="AI14">
        <f>(TREND($D$9:$F$9,$D$8:$F$8,AI$13))*(About!$A$53)</f>
        <v>2725.6794223237598</v>
      </c>
      <c r="AJ14">
        <f>(TREND($D$9:$F$9,$D$8:$F$8,AJ$13))*(About!$A$53)</f>
        <v>2725.6794223237598</v>
      </c>
      <c r="AK14">
        <f>(TREND($D$9:$F$9,$D$8:$F$8,AK$13))*(About!$A$53)</f>
        <v>2725.6794223237598</v>
      </c>
      <c r="AL14">
        <f>(TREND($D$9:$F$9,$D$8:$F$8,AL$13))*(About!$A$53)</f>
        <v>2725.6794223237598</v>
      </c>
      <c r="AM14">
        <f>(TREND($D$9:$F$9,$D$8:$F$8,AM$13))*(About!$A$53)</f>
        <v>2725.6794223237598</v>
      </c>
      <c r="AN14">
        <f>(TREND($D$9:$F$9,$D$8:$F$8,AN$13))*(About!$A$53)</f>
        <v>2725.6794223237598</v>
      </c>
      <c r="AO14">
        <f>(TREND($D$9:$F$9,$D$8:$F$8,AO$13))*(About!$A$53)</f>
        <v>2725.6794223237598</v>
      </c>
      <c r="AP14">
        <f>(TREND($D$9:$F$9,$D$8:$F$8,AP$13))*(About!$A$53)</f>
        <v>2725.6794223237598</v>
      </c>
      <c r="AQ14">
        <f>(TREND($D$9:$F$9,$D$8:$F$8,AQ$13))*(About!$A$53)</f>
        <v>2725.6794223237598</v>
      </c>
    </row>
    <row r="15" spans="1:45">
      <c r="A15" t="s">
        <v>265</v>
      </c>
      <c r="B15">
        <f>(TREND($B$10:$C$10,$B$8:$C$8,B$13))*(About!$A$53)</f>
        <v>913.24310541775458</v>
      </c>
      <c r="C15">
        <f>(TREND($B$10:$C$10,$B$8:$C$8,C$13))*(About!$A$53)</f>
        <v>913.24310541775458</v>
      </c>
      <c r="D15">
        <f>(TREND($C$10:$D$10,$C$8:$D$8,D$13))*(About!$A$53)</f>
        <v>908.55980744125327</v>
      </c>
      <c r="E15">
        <f>(TREND($C$10:$D$10,$C$8:$D$8,E$13))*(About!$A$53)</f>
        <v>903.87650946475196</v>
      </c>
      <c r="F15">
        <f>(TREND($C$10:$D$10,$C$8:$D$8,F$13))*(About!$A$53)</f>
        <v>899.19321148825065</v>
      </c>
      <c r="G15">
        <f>(TREND($C$10:$D$10,$C$8:$D$8,G$13))*(About!$A$53)</f>
        <v>894.50991351174935</v>
      </c>
      <c r="H15">
        <f>(TREND($C$10:$D$10,$C$8:$D$8,H$13))*(About!$A$53)</f>
        <v>889.82661553524804</v>
      </c>
      <c r="I15">
        <f>(TREND($C$10:$D$10,$C$8:$D$8,I$13))*(About!$A$53)</f>
        <v>885.14331755874673</v>
      </c>
      <c r="J15">
        <f>(TREND($C$10:$D$10,$C$8:$D$8,J$13))*(About!$A$53)</f>
        <v>880.46001958224542</v>
      </c>
      <c r="K15">
        <f>(TREND($C$10:$D$10,$C$8:$D$8,K$13))*(About!$A$53)</f>
        <v>875.77672160574411</v>
      </c>
      <c r="L15">
        <f>(TREND($C$10:$D$10,$C$8:$D$8,L$13))*(About!$A$53)</f>
        <v>871.09342362924281</v>
      </c>
      <c r="M15">
        <f>(TREND($C$10:$D$10,$C$8:$D$8,M$13))*(About!$A$53)</f>
        <v>866.4101256527415</v>
      </c>
      <c r="N15">
        <f>(TREND($D$10:$F$10,$D$8:$F$8,N$13))*(About!$A$53)</f>
        <v>866.4101256527415</v>
      </c>
      <c r="O15">
        <f>(TREND($D$10:$F$10,$D$8:$F$8,O$13))*(About!$A$53)</f>
        <v>866.4101256527415</v>
      </c>
      <c r="P15">
        <f>(TREND($D$10:$F$10,$D$8:$F$8,P$13))*(About!$A$53)</f>
        <v>866.4101256527415</v>
      </c>
      <c r="Q15">
        <f>(TREND($D$10:$F$10,$D$8:$F$8,Q$13))*(About!$A$53)</f>
        <v>866.4101256527415</v>
      </c>
      <c r="R15">
        <f>(TREND($D$10:$F$10,$D$8:$F$8,R$13))*(About!$A$53)</f>
        <v>866.4101256527415</v>
      </c>
      <c r="S15">
        <f>(TREND($D$10:$F$10,$D$8:$F$8,S$13))*(About!$A$53)</f>
        <v>866.4101256527415</v>
      </c>
      <c r="T15">
        <f>(TREND($D$10:$F$10,$D$8:$F$8,T$13))*(About!$A$53)</f>
        <v>866.4101256527415</v>
      </c>
      <c r="U15">
        <f>(TREND($D$10:$F$10,$D$8:$F$8,U$13))*(About!$A$53)</f>
        <v>866.4101256527415</v>
      </c>
      <c r="V15">
        <f>(TREND($D$10:$F$10,$D$8:$F$8,V$13))*(About!$A$53)</f>
        <v>866.4101256527415</v>
      </c>
      <c r="W15">
        <f>(TREND($D$10:$F$10,$D$8:$F$8,W$13))*(About!$A$53)</f>
        <v>866.4101256527415</v>
      </c>
      <c r="X15">
        <f>(TREND($D$10:$F$10,$D$8:$F$8,X$13))*(About!$A$53)</f>
        <v>866.4101256527415</v>
      </c>
      <c r="Y15">
        <f>(TREND($D$10:$F$10,$D$8:$F$8,Y$13))*(About!$A$53)</f>
        <v>866.4101256527415</v>
      </c>
      <c r="Z15">
        <f>(TREND($D$10:$F$10,$D$8:$F$8,Z$13))*(About!$A$53)</f>
        <v>866.4101256527415</v>
      </c>
      <c r="AA15">
        <f>(TREND($D$10:$F$10,$D$8:$F$8,AA$13))*(About!$A$53)</f>
        <v>866.4101256527415</v>
      </c>
      <c r="AB15">
        <f>(TREND($D$10:$F$10,$D$8:$F$8,AB$13))*(About!$A$53)</f>
        <v>866.4101256527415</v>
      </c>
      <c r="AC15">
        <f>(TREND($D$10:$F$10,$D$8:$F$8,AC$13))*(About!$A$53)</f>
        <v>866.4101256527415</v>
      </c>
      <c r="AD15">
        <f>(TREND($D$10:$F$10,$D$8:$F$8,AD$13))*(About!$A$53)</f>
        <v>866.4101256527415</v>
      </c>
      <c r="AE15">
        <f>(TREND($D$10:$F$10,$D$8:$F$8,AE$13))*(About!$A$53)</f>
        <v>866.4101256527415</v>
      </c>
      <c r="AF15">
        <f>(TREND($D$10:$F$10,$D$8:$F$8,AF$13))*(About!$A$53)</f>
        <v>866.4101256527415</v>
      </c>
      <c r="AG15">
        <f>(TREND($D$10:$F$10,$D$8:$F$8,AG$13))*(About!$A$53)</f>
        <v>866.4101256527415</v>
      </c>
      <c r="AH15">
        <f>(TREND($D$10:$F$10,$D$8:$F$8,AH$13))*(About!$A$53)</f>
        <v>866.4101256527415</v>
      </c>
      <c r="AI15">
        <f>(TREND($D$10:$F$10,$D$8:$F$8,AI$13))*(About!$A$53)</f>
        <v>866.4101256527415</v>
      </c>
      <c r="AJ15">
        <f>(TREND($D$10:$F$10,$D$8:$F$8,AJ$13))*(About!$A$53)</f>
        <v>866.4101256527415</v>
      </c>
      <c r="AK15">
        <f>(TREND($D$10:$F$10,$D$8:$F$8,AK$13))*(About!$A$53)</f>
        <v>866.4101256527415</v>
      </c>
      <c r="AL15">
        <f>(TREND($D$10:$F$10,$D$8:$F$8,AL$13))*(About!$A$53)</f>
        <v>866.4101256527415</v>
      </c>
      <c r="AM15">
        <f>(TREND($D$10:$F$10,$D$8:$F$8,AM$13))*(About!$A$53)</f>
        <v>866.4101256527415</v>
      </c>
      <c r="AN15">
        <f>(TREND($D$10:$F$10,$D$8:$F$8,AN$13))*(About!$A$53)</f>
        <v>866.4101256527415</v>
      </c>
      <c r="AO15">
        <f>(TREND($D$10:$F$10,$D$8:$F$8,AO$13))*(About!$A$53)</f>
        <v>866.4101256527415</v>
      </c>
      <c r="AP15">
        <f>(TREND($D$10:$F$10,$D$8:$F$8,AP$13))*(About!$A$53)</f>
        <v>866.4101256527415</v>
      </c>
      <c r="AQ15">
        <f>(TREND($D$10:$F$10,$D$8:$F$8,AQ$13))*(About!$A$53)</f>
        <v>866.4101256527415</v>
      </c>
    </row>
    <row r="16" spans="1:45">
      <c r="A16" t="s">
        <v>274</v>
      </c>
      <c r="B16">
        <f>(TREND($B$11:$C$11,$B$8:$C$8,B$13))*(About!$A$53)</f>
        <v>374.66383812010446</v>
      </c>
      <c r="C16">
        <f>(TREND($B$11:$C$11,$B$8:$C$8,C$13))*(About!$A$53)</f>
        <v>374.66383812010446</v>
      </c>
      <c r="D16">
        <f>(TREND($C$11:$D$11,$C$8:$D$8,D$13))*(About!$A$53)</f>
        <v>369.98054014360315</v>
      </c>
      <c r="E16">
        <f>(TREND($C$11:$D$11,$C$8:$D$8,E$13))*(About!$A$53)</f>
        <v>365.29724216710184</v>
      </c>
      <c r="F16">
        <f>(TREND($C$11:$D$11,$C$8:$D$8,F$13))*(About!$A$53)</f>
        <v>360.61394419060053</v>
      </c>
      <c r="G16">
        <f>(TREND($C$11:$D$11,$C$8:$D$8,G$13))*(About!$A$53)</f>
        <v>355.93064621409923</v>
      </c>
      <c r="H16">
        <f>(TREND($C$11:$D$11,$C$8:$D$8,H$13))*(About!$A$53)</f>
        <v>351.24734823759792</v>
      </c>
      <c r="I16">
        <f>(TREND($C$11:$D$11,$C$8:$D$8,I$13))*(About!$A$53)</f>
        <v>346.56405026109661</v>
      </c>
      <c r="J16">
        <f>(TREND($C$11:$D$11,$C$8:$D$8,J$13))*(About!$A$53)</f>
        <v>341.8807522845953</v>
      </c>
      <c r="K16">
        <f>(TREND($C$11:$D$11,$C$8:$D$8,K$13))*(About!$A$53)</f>
        <v>337.197454308094</v>
      </c>
      <c r="L16">
        <f>(TREND($C$11:$D$11,$C$8:$D$8,L$13))*(About!$A$53)</f>
        <v>332.51415633159269</v>
      </c>
      <c r="M16">
        <f>(TREND($C$11:$D$11,$C$8:$D$8,M$13))*(About!$A$53)</f>
        <v>327.83085835509138</v>
      </c>
      <c r="N16">
        <f>(TREND($D$11:$F$11,$D$8:$F$8,N$13))*(About!$A$53)</f>
        <v>318.46426240208876</v>
      </c>
      <c r="O16">
        <f>(TREND($D$11:$F$11,$D$8:$F$8,O$13))*(About!$A$53)</f>
        <v>309.09766644908615</v>
      </c>
      <c r="P16">
        <f>(TREND($D$11:$F$11,$D$8:$F$8,P$13))*(About!$A$53)</f>
        <v>299.73107049608353</v>
      </c>
      <c r="Q16">
        <f>(TREND($D$11:$F$11,$D$8:$F$8,Q$13))*(About!$A$53)</f>
        <v>290.36447454308092</v>
      </c>
      <c r="R16">
        <f>(TREND($D$11:$F$11,$D$8:$F$8,R$13))*(About!$A$53)</f>
        <v>280.99787859007836</v>
      </c>
      <c r="S16">
        <f>(TREND($D$11:$F$11,$D$8:$F$8,S$13))*(About!$A$53)</f>
        <v>271.63128263707574</v>
      </c>
      <c r="T16">
        <f>(TREND($D$11:$F$11,$D$8:$F$8,T$13))*(About!$A$53)</f>
        <v>262.26468668407313</v>
      </c>
      <c r="U16">
        <f>(TREND($D$11:$F$11,$D$8:$F$8,U$13))*(About!$A$53)</f>
        <v>252.89809073107051</v>
      </c>
      <c r="V16">
        <f>(TREND($D$11:$F$11,$D$8:$F$8,V$13))*(About!$A$53)</f>
        <v>243.53149477806789</v>
      </c>
      <c r="W16">
        <f>(TREND($D$11:$F$11,$D$8:$F$8,W$13))*(About!$A$53)</f>
        <v>234.16489882506528</v>
      </c>
      <c r="X16">
        <f>(TREND($D$11:$F$11,$D$8:$F$8,X$13))*(About!$A$53)</f>
        <v>224.79830287206266</v>
      </c>
      <c r="Y16">
        <f>(TREND($D$11:$F$11,$D$8:$F$8,Y$13))*(About!$A$53)</f>
        <v>215.43170691906005</v>
      </c>
      <c r="Z16">
        <f>(TREND($D$11:$F$11,$D$8:$F$8,Z$13))*(About!$A$53)</f>
        <v>206.06511096605743</v>
      </c>
      <c r="AA16">
        <f>(TREND($D$11:$F$11,$D$8:$F$8,AA$13))*(About!$A$53)</f>
        <v>196.69851501305484</v>
      </c>
      <c r="AB16">
        <f>(TREND($D$11:$F$11,$D$8:$F$8,AB$13))*(About!$A$53)</f>
        <v>187.33191906005223</v>
      </c>
      <c r="AC16">
        <f>(TREND($D$11:$F$11,$D$8:$F$8,AC$13))*(About!$A$53)</f>
        <v>177.96532310704961</v>
      </c>
      <c r="AD16">
        <f>(TREND($D$11:$F$11,$D$8:$F$8,AD$13))*(About!$A$53)</f>
        <v>168.598727154047</v>
      </c>
      <c r="AE16">
        <f>(TREND($D$11:$F$11,$D$8:$F$8,AE$13))*(About!$A$53)</f>
        <v>159.23213120104438</v>
      </c>
      <c r="AF16">
        <f>(TREND($D$11:$F$11,$D$8:$F$8,AF$13))*(About!$A$53)</f>
        <v>149.86553524804177</v>
      </c>
      <c r="AG16">
        <f>(TREND($D$11:$F$11,$D$8:$F$8,AG$13))*(About!$A$53)</f>
        <v>140.49893929503918</v>
      </c>
      <c r="AH16">
        <f>(TREND($D$11:$F$11,$D$8:$F$8,AH$13))*(About!$A$53)</f>
        <v>131.13234334203656</v>
      </c>
      <c r="AI16">
        <f>(TREND($D$11:$F$11,$D$8:$F$8,AI$13))*(About!$A$53)</f>
        <v>121.76574738903395</v>
      </c>
      <c r="AJ16">
        <f>(TREND($D$11:$F$11,$D$8:$F$8,AJ$13))*(About!$A$53)</f>
        <v>112.39915143603133</v>
      </c>
      <c r="AK16">
        <f>(TREND($D$11:$F$11,$D$8:$F$8,AK$13))*(About!$A$53)</f>
        <v>103.03255548302872</v>
      </c>
      <c r="AL16">
        <f>(TREND($D$11:$F$11,$D$8:$F$8,AL$13))*(About!$A$53)</f>
        <v>93.665959530026115</v>
      </c>
      <c r="AM16">
        <f>(TREND($D$11:$F$11,$D$8:$F$8,AM$13))*(About!$A$53)</f>
        <v>84.299363577023499</v>
      </c>
      <c r="AN16">
        <f>(TREND($D$11:$F$11,$D$8:$F$8,AN$13))*(About!$A$53)</f>
        <v>74.932767624020883</v>
      </c>
      <c r="AO16">
        <f>(TREND($D$11:$F$11,$D$8:$F$8,AO$13))*(About!$A$53)</f>
        <v>65.566171671018282</v>
      </c>
      <c r="AP16">
        <f>(TREND($D$11:$F$11,$D$8:$F$8,AP$13))*(About!$A$53)</f>
        <v>56.199575718015666</v>
      </c>
      <c r="AQ16">
        <f>(TREND($D$11:$F$11,$D$8:$F$8,AQ$13))*(About!$A$53)</f>
        <v>46.832979765013057</v>
      </c>
    </row>
    <row r="18" spans="1:43">
      <c r="A18" s="8" t="s">
        <v>212</v>
      </c>
      <c r="B18">
        <v>2019</v>
      </c>
      <c r="C18">
        <v>2020</v>
      </c>
      <c r="D18">
        <v>2021</v>
      </c>
      <c r="E18">
        <v>2022</v>
      </c>
      <c r="F18">
        <v>2023</v>
      </c>
      <c r="G18">
        <v>2024</v>
      </c>
      <c r="H18">
        <v>2025</v>
      </c>
      <c r="I18">
        <v>2026</v>
      </c>
      <c r="J18">
        <v>2027</v>
      </c>
      <c r="K18">
        <v>2028</v>
      </c>
      <c r="L18">
        <v>2029</v>
      </c>
      <c r="M18">
        <v>2030</v>
      </c>
      <c r="N18">
        <v>2031</v>
      </c>
      <c r="O18">
        <v>2032</v>
      </c>
      <c r="P18">
        <v>2033</v>
      </c>
      <c r="Q18">
        <v>2034</v>
      </c>
      <c r="R18">
        <v>2035</v>
      </c>
      <c r="S18">
        <v>2036</v>
      </c>
      <c r="T18">
        <v>2037</v>
      </c>
      <c r="U18">
        <v>2038</v>
      </c>
      <c r="V18">
        <v>2039</v>
      </c>
      <c r="W18">
        <v>2040</v>
      </c>
      <c r="X18">
        <v>2041</v>
      </c>
      <c r="Y18">
        <v>2042</v>
      </c>
      <c r="Z18">
        <v>2043</v>
      </c>
      <c r="AA18">
        <v>2044</v>
      </c>
      <c r="AB18">
        <v>2045</v>
      </c>
      <c r="AC18">
        <v>2046</v>
      </c>
      <c r="AD18">
        <v>2047</v>
      </c>
      <c r="AE18">
        <v>2048</v>
      </c>
      <c r="AF18">
        <v>2049</v>
      </c>
      <c r="AG18">
        <v>2050</v>
      </c>
      <c r="AH18" s="164">
        <v>2051</v>
      </c>
      <c r="AI18" s="164">
        <v>2052</v>
      </c>
      <c r="AJ18" s="164">
        <v>2053</v>
      </c>
      <c r="AK18" s="164">
        <v>2054</v>
      </c>
      <c r="AL18" s="164">
        <v>2055</v>
      </c>
      <c r="AM18" s="164">
        <v>2056</v>
      </c>
      <c r="AN18" s="164">
        <v>2057</v>
      </c>
      <c r="AO18" s="164">
        <v>2058</v>
      </c>
      <c r="AP18" s="164">
        <v>2059</v>
      </c>
      <c r="AQ18" s="164">
        <v>2060</v>
      </c>
    </row>
    <row r="19" spans="1:43">
      <c r="A19" t="s">
        <v>13</v>
      </c>
      <c r="B19" s="40"/>
      <c r="C19" s="40">
        <f t="shared" ref="C19:AF19" si="0">C14/C4</f>
        <v>4.6986801095974462E-5</v>
      </c>
      <c r="D19" s="40">
        <f t="shared" si="0"/>
        <v>4.9317819911485171E-5</v>
      </c>
      <c r="E19" s="40">
        <f t="shared" si="0"/>
        <v>4.8135558391912264E-5</v>
      </c>
      <c r="F19" s="40">
        <f t="shared" si="0"/>
        <v>4.8817106556237436E-5</v>
      </c>
      <c r="G19" s="40">
        <f t="shared" si="0"/>
        <v>4.9414567714491681E-5</v>
      </c>
      <c r="H19" s="40">
        <f t="shared" si="0"/>
        <v>5.0152799160989165E-5</v>
      </c>
      <c r="I19" s="40">
        <f t="shared" si="0"/>
        <v>5.1016723187831479E-5</v>
      </c>
      <c r="J19" s="40">
        <f t="shared" si="0"/>
        <v>5.1933959657348385E-5</v>
      </c>
      <c r="K19" s="40">
        <f t="shared" si="0"/>
        <v>5.283057416383122E-5</v>
      </c>
      <c r="L19" s="40">
        <f t="shared" si="0"/>
        <v>5.3744044954273362E-5</v>
      </c>
      <c r="M19" s="40">
        <f t="shared" si="0"/>
        <v>5.4705033424374188E-5</v>
      </c>
      <c r="N19" s="40">
        <f t="shared" si="0"/>
        <v>5.5525373495691936E-5</v>
      </c>
      <c r="O19" s="40">
        <f t="shared" si="0"/>
        <v>5.6301189353241666E-5</v>
      </c>
      <c r="P19" s="40">
        <f t="shared" si="0"/>
        <v>5.705014629823155E-5</v>
      </c>
      <c r="Q19" s="40">
        <f t="shared" si="0"/>
        <v>5.7773537404578185E-5</v>
      </c>
      <c r="R19" s="40">
        <f t="shared" si="0"/>
        <v>5.8459700633469831E-5</v>
      </c>
      <c r="S19" s="40">
        <f t="shared" si="0"/>
        <v>5.9128890999332881E-5</v>
      </c>
      <c r="T19" s="40">
        <f t="shared" si="0"/>
        <v>5.9790304176831497E-5</v>
      </c>
      <c r="U19" s="40">
        <f t="shared" si="0"/>
        <v>6.0425763016830828E-5</v>
      </c>
      <c r="V19" s="40">
        <f t="shared" si="0"/>
        <v>6.1043907423571401E-5</v>
      </c>
      <c r="W19" s="40">
        <f t="shared" si="0"/>
        <v>6.1642654798959741E-5</v>
      </c>
      <c r="X19" s="40">
        <f t="shared" si="0"/>
        <v>6.2253228035448599E-5</v>
      </c>
      <c r="Y19" s="40">
        <f t="shared" si="0"/>
        <v>6.2878101545256934E-5</v>
      </c>
      <c r="Z19" s="40">
        <f t="shared" si="0"/>
        <v>6.3513349037911543E-5</v>
      </c>
      <c r="AA19" s="40">
        <f t="shared" si="0"/>
        <v>6.4153478160998407E-5</v>
      </c>
      <c r="AB19" s="40">
        <f t="shared" si="0"/>
        <v>6.4799812675734136E-5</v>
      </c>
      <c r="AC19" s="40">
        <f t="shared" si="0"/>
        <v>6.5440526970601023E-5</v>
      </c>
      <c r="AD19" s="40">
        <f t="shared" si="0"/>
        <v>6.6083632670351869E-5</v>
      </c>
      <c r="AE19" s="40">
        <f t="shared" si="0"/>
        <v>6.6714733566234217E-5</v>
      </c>
      <c r="AF19" s="40">
        <f t="shared" si="0"/>
        <v>6.7360395090701968E-5</v>
      </c>
      <c r="AG19" s="40">
        <f>AG14/AG4</f>
        <v>6.8020768011389649E-5</v>
      </c>
      <c r="AH19" s="40">
        <f t="shared" ref="AH19:AQ19" si="1">AH14/AH4</f>
        <v>6.8692179888651839E-5</v>
      </c>
      <c r="AI19" s="40">
        <f t="shared" si="1"/>
        <v>6.9370294847589386E-5</v>
      </c>
      <c r="AJ19" s="40">
        <f t="shared" si="1"/>
        <v>7.0055179921991428E-5</v>
      </c>
      <c r="AK19" s="40">
        <f t="shared" si="1"/>
        <v>7.0746902816181802E-5</v>
      </c>
      <c r="AL19" s="40">
        <f t="shared" si="1"/>
        <v>7.1445531911726637E-5</v>
      </c>
      <c r="AM19" s="40">
        <f t="shared" si="1"/>
        <v>7.2151136274208885E-5</v>
      </c>
      <c r="AN19" s="40">
        <f t="shared" si="1"/>
        <v>7.2863785660070906E-5</v>
      </c>
      <c r="AO19" s="40">
        <f t="shared" si="1"/>
        <v>7.3583550523525181E-5</v>
      </c>
      <c r="AP19" s="40">
        <f t="shared" si="1"/>
        <v>7.431050202353449E-5</v>
      </c>
      <c r="AQ19" s="40">
        <f t="shared" si="1"/>
        <v>7.5044712030861621E-5</v>
      </c>
    </row>
    <row r="20" spans="1:43">
      <c r="A20" t="s">
        <v>14</v>
      </c>
      <c r="B20" s="40"/>
      <c r="C20" s="40">
        <f t="shared" ref="C20:AF20" si="2">C15/C5</f>
        <v>1.3596146153614844E-5</v>
      </c>
      <c r="D20" s="40">
        <f t="shared" si="2"/>
        <v>1.248535933849571E-5</v>
      </c>
      <c r="E20" s="40">
        <f t="shared" si="2"/>
        <v>1.2314358584448748E-5</v>
      </c>
      <c r="F20" s="40">
        <f t="shared" si="2"/>
        <v>1.2463043400758694E-5</v>
      </c>
      <c r="G20" s="40">
        <f t="shared" si="2"/>
        <v>1.2602232441207277E-5</v>
      </c>
      <c r="H20" s="40">
        <f t="shared" si="2"/>
        <v>1.2700106171352834E-5</v>
      </c>
      <c r="I20" s="40">
        <f t="shared" si="2"/>
        <v>1.2795803017792617E-5</v>
      </c>
      <c r="J20" s="40">
        <f t="shared" si="2"/>
        <v>1.287634952877253E-5</v>
      </c>
      <c r="K20" s="40">
        <f t="shared" si="2"/>
        <v>1.293927509910824E-5</v>
      </c>
      <c r="L20" s="40">
        <f t="shared" si="2"/>
        <v>1.2994713037764601E-5</v>
      </c>
      <c r="M20" s="40">
        <f t="shared" si="2"/>
        <v>1.3050698720626326E-5</v>
      </c>
      <c r="N20" s="40">
        <f t="shared" si="2"/>
        <v>1.3169120766011463E-5</v>
      </c>
      <c r="O20" s="40">
        <f t="shared" si="2"/>
        <v>1.3288817899419017E-5</v>
      </c>
      <c r="P20" s="40">
        <f t="shared" si="2"/>
        <v>1.3406144591763579E-5</v>
      </c>
      <c r="Q20" s="40">
        <f t="shared" si="2"/>
        <v>1.3523571074412527E-5</v>
      </c>
      <c r="R20" s="40">
        <f t="shared" si="2"/>
        <v>1.3626401649126733E-5</v>
      </c>
      <c r="S20" s="40">
        <f t="shared" si="2"/>
        <v>1.3723086735754284E-5</v>
      </c>
      <c r="T20" s="40">
        <f t="shared" si="2"/>
        <v>1.3828692535595457E-5</v>
      </c>
      <c r="U20" s="40">
        <f t="shared" si="2"/>
        <v>1.3944686619606478E-5</v>
      </c>
      <c r="V20" s="40">
        <f t="shared" si="2"/>
        <v>1.4050400151988045E-5</v>
      </c>
      <c r="W20" s="40">
        <f t="shared" si="2"/>
        <v>1.4170057413145971E-5</v>
      </c>
      <c r="X20" s="40">
        <f t="shared" si="2"/>
        <v>1.4292273471830811E-5</v>
      </c>
      <c r="Y20" s="40">
        <f t="shared" si="2"/>
        <v>1.4412833183450337E-5</v>
      </c>
      <c r="Z20" s="40">
        <f t="shared" si="2"/>
        <v>1.4531552825422725E-5</v>
      </c>
      <c r="AA20" s="40">
        <f t="shared" si="2"/>
        <v>1.4652379698663127E-5</v>
      </c>
      <c r="AB20" s="40">
        <f t="shared" si="2"/>
        <v>1.4778812453172526E-5</v>
      </c>
      <c r="AC20" s="40">
        <f t="shared" si="2"/>
        <v>1.4902288865825739E-5</v>
      </c>
      <c r="AD20" s="40">
        <f t="shared" si="2"/>
        <v>1.5022946616114167E-5</v>
      </c>
      <c r="AE20" s="40">
        <f t="shared" si="2"/>
        <v>1.513797204095962E-5</v>
      </c>
      <c r="AF20" s="40">
        <f t="shared" si="2"/>
        <v>1.5258822572798604E-5</v>
      </c>
      <c r="AG20" s="40">
        <f>AG15/AG5</f>
        <v>1.538433798663804E-5</v>
      </c>
      <c r="AH20" s="40">
        <f t="shared" ref="AH20:AQ20" si="3">AH15/AH5</f>
        <v>1.5461629055164739E-5</v>
      </c>
      <c r="AI20" s="40">
        <f t="shared" si="3"/>
        <v>1.5539308434795836E-5</v>
      </c>
      <c r="AJ20" s="40">
        <f t="shared" si="3"/>
        <v>1.5617378076410223E-5</v>
      </c>
      <c r="AK20" s="40">
        <f t="shared" si="3"/>
        <v>1.5695839940688011E-5</v>
      </c>
      <c r="AL20" s="40">
        <f t="shared" si="3"/>
        <v>1.5774695998159806E-5</v>
      </c>
      <c r="AM20" s="40">
        <f t="shared" si="3"/>
        <v>1.5853948229256174E-5</v>
      </c>
      <c r="AN20" s="40">
        <f t="shared" si="3"/>
        <v>1.5933598624357378E-5</v>
      </c>
      <c r="AO20" s="40">
        <f t="shared" si="3"/>
        <v>1.6013649183843384E-5</v>
      </c>
      <c r="AP20" s="40">
        <f t="shared" si="3"/>
        <v>1.6094101918144075E-5</v>
      </c>
      <c r="AQ20" s="40">
        <f t="shared" si="3"/>
        <v>1.6174958847789756E-5</v>
      </c>
    </row>
    <row r="21" spans="1:43">
      <c r="A21" t="s">
        <v>207</v>
      </c>
      <c r="B21" s="40"/>
      <c r="C21" s="40">
        <f t="shared" ref="C21:AF21" si="4">C16/C6</f>
        <v>2.7391963567326677E-6</v>
      </c>
      <c r="D21" s="40">
        <f t="shared" si="4"/>
        <v>2.7035044659076721E-6</v>
      </c>
      <c r="E21" s="40">
        <f t="shared" si="4"/>
        <v>2.7185109089513134E-6</v>
      </c>
      <c r="F21" s="40">
        <f t="shared" si="4"/>
        <v>2.6548953511864552E-6</v>
      </c>
      <c r="G21" s="40">
        <f t="shared" si="4"/>
        <v>2.5938240556006943E-6</v>
      </c>
      <c r="H21" s="40">
        <f t="shared" si="4"/>
        <v>2.5590047049058328E-6</v>
      </c>
      <c r="I21" s="40">
        <f t="shared" si="4"/>
        <v>2.5255698817351428E-6</v>
      </c>
      <c r="J21" s="40">
        <f t="shared" si="4"/>
        <v>2.4924641444887069E-6</v>
      </c>
      <c r="K21" s="40">
        <f t="shared" si="4"/>
        <v>2.4630192775406348E-6</v>
      </c>
      <c r="L21" s="40">
        <f t="shared" si="4"/>
        <v>2.4357779715606827E-6</v>
      </c>
      <c r="M21" s="40">
        <f t="shared" si="4"/>
        <v>2.4088003669058073E-6</v>
      </c>
      <c r="N21" s="40">
        <f t="shared" si="4"/>
        <v>2.3521453421698969E-6</v>
      </c>
      <c r="O21" s="40">
        <f t="shared" si="4"/>
        <v>2.2951724180978702E-6</v>
      </c>
      <c r="P21" s="40">
        <f t="shared" si="4"/>
        <v>2.239345961688479E-6</v>
      </c>
      <c r="Q21" s="40">
        <f t="shared" si="4"/>
        <v>2.1846450889852843E-6</v>
      </c>
      <c r="R21" s="40">
        <f t="shared" si="4"/>
        <v>2.1341259193027395E-6</v>
      </c>
      <c r="S21" s="40">
        <f t="shared" si="4"/>
        <v>2.0867486593158648E-6</v>
      </c>
      <c r="T21" s="40">
        <f t="shared" si="4"/>
        <v>2.0330794977210581E-6</v>
      </c>
      <c r="U21" s="40">
        <f t="shared" si="4"/>
        <v>1.9723930935543346E-6</v>
      </c>
      <c r="V21" s="40">
        <f t="shared" si="4"/>
        <v>1.9149939718104472E-6</v>
      </c>
      <c r="W21" s="40">
        <f t="shared" si="4"/>
        <v>1.8487998640968444E-6</v>
      </c>
      <c r="X21" s="40">
        <f t="shared" si="4"/>
        <v>1.7811388063656958E-6</v>
      </c>
      <c r="Y21" s="40">
        <f t="shared" si="4"/>
        <v>1.7135669150580916E-6</v>
      </c>
      <c r="Z21" s="40">
        <f t="shared" si="4"/>
        <v>1.6458522157100372E-6</v>
      </c>
      <c r="AA21" s="40">
        <f t="shared" si="4"/>
        <v>1.575483666177147E-6</v>
      </c>
      <c r="AB21" s="40">
        <f t="shared" si="4"/>
        <v>1.5017889045810586E-6</v>
      </c>
      <c r="AC21" s="40">
        <f t="shared" si="4"/>
        <v>1.4283657904541146E-6</v>
      </c>
      <c r="AD21" s="40">
        <f t="shared" si="4"/>
        <v>1.3565690643017471E-6</v>
      </c>
      <c r="AE21" s="40">
        <f t="shared" si="4"/>
        <v>1.286237339449742E-6</v>
      </c>
      <c r="AF21" s="40">
        <f t="shared" si="4"/>
        <v>1.2137009121876418E-6</v>
      </c>
      <c r="AG21" s="40">
        <f>AG16/AG6</f>
        <v>1.1403423419222421E-6</v>
      </c>
      <c r="AH21" s="40">
        <f t="shared" ref="AH21:AQ21" si="5">AH16/AH6</f>
        <v>1.068777665942216E-6</v>
      </c>
      <c r="AI21" s="40">
        <f t="shared" si="5"/>
        <v>9.9659345196275562E-7</v>
      </c>
      <c r="AJ21" s="40">
        <f t="shared" si="5"/>
        <v>9.2378576546431284E-7</v>
      </c>
      <c r="AK21" s="40">
        <f t="shared" si="5"/>
        <v>8.5035064983613773E-7</v>
      </c>
      <c r="AL21" s="40">
        <f t="shared" si="5"/>
        <v>7.7628412626024547E-7</v>
      </c>
      <c r="AM21" s="40">
        <f t="shared" si="5"/>
        <v>7.0158219359479403E-7</v>
      </c>
      <c r="AN21" s="40">
        <f t="shared" si="5"/>
        <v>6.2624082825687991E-7</v>
      </c>
      <c r="AO21" s="40">
        <f t="shared" si="5"/>
        <v>5.5025598410473948E-7</v>
      </c>
      <c r="AP21" s="40">
        <f t="shared" si="5"/>
        <v>4.7362359231935819E-7</v>
      </c>
      <c r="AQ21" s="40">
        <f t="shared" si="5"/>
        <v>3.9633956128548532E-7</v>
      </c>
    </row>
    <row r="23" spans="1:43">
      <c r="A23" s="56" t="s">
        <v>223</v>
      </c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spans="1:43">
      <c r="A24" s="8" t="s">
        <v>214</v>
      </c>
      <c r="B24">
        <v>2019</v>
      </c>
      <c r="C24">
        <v>2020</v>
      </c>
      <c r="D24">
        <v>2021</v>
      </c>
      <c r="E24">
        <v>2022</v>
      </c>
      <c r="F24">
        <v>2023</v>
      </c>
      <c r="G24">
        <v>2024</v>
      </c>
      <c r="H24">
        <v>2025</v>
      </c>
      <c r="I24">
        <v>2026</v>
      </c>
      <c r="J24">
        <v>2027</v>
      </c>
      <c r="K24">
        <v>2028</v>
      </c>
      <c r="L24">
        <v>2029</v>
      </c>
      <c r="M24">
        <v>2030</v>
      </c>
      <c r="N24">
        <v>2031</v>
      </c>
      <c r="O24">
        <v>2032</v>
      </c>
      <c r="P24">
        <v>2033</v>
      </c>
      <c r="Q24">
        <v>2034</v>
      </c>
      <c r="R24">
        <v>2035</v>
      </c>
      <c r="S24">
        <v>2036</v>
      </c>
      <c r="T24">
        <v>2037</v>
      </c>
      <c r="U24">
        <v>2038</v>
      </c>
      <c r="V24">
        <v>2039</v>
      </c>
      <c r="W24">
        <v>2040</v>
      </c>
      <c r="X24">
        <v>2041</v>
      </c>
      <c r="Y24">
        <v>2042</v>
      </c>
      <c r="Z24">
        <v>2043</v>
      </c>
      <c r="AA24">
        <v>2044</v>
      </c>
      <c r="AB24">
        <v>2045</v>
      </c>
      <c r="AC24">
        <v>2046</v>
      </c>
      <c r="AD24">
        <v>2047</v>
      </c>
      <c r="AE24">
        <v>2048</v>
      </c>
      <c r="AF24">
        <v>2049</v>
      </c>
      <c r="AG24">
        <v>2050</v>
      </c>
      <c r="AH24" s="164">
        <v>2051</v>
      </c>
      <c r="AI24" s="164">
        <v>2052</v>
      </c>
      <c r="AJ24" s="164">
        <v>2053</v>
      </c>
      <c r="AK24" s="164">
        <v>2054</v>
      </c>
      <c r="AL24" s="164">
        <v>2055</v>
      </c>
      <c r="AM24" s="164">
        <v>2056</v>
      </c>
      <c r="AN24" s="164">
        <v>2057</v>
      </c>
      <c r="AO24" s="164">
        <v>2058</v>
      </c>
      <c r="AP24" s="164">
        <v>2059</v>
      </c>
      <c r="AQ24" s="164">
        <v>2060</v>
      </c>
    </row>
    <row r="25" spans="1:43">
      <c r="A25" t="s">
        <v>13</v>
      </c>
      <c r="B25" s="40"/>
      <c r="C25" s="40">
        <f>'EIA AEO Table 4'!C55/'EIA AEO Table 21'!F27*10^15/10^6</f>
        <v>16769614.177456919</v>
      </c>
      <c r="D25" s="40">
        <f>'EIA AEO Table 4'!D55/'EIA AEO Table 21'!G27*10^15/10^6</f>
        <v>16553980.343808204</v>
      </c>
      <c r="E25" s="40">
        <f>'EIA AEO Table 4'!E55/'EIA AEO Table 21'!H27*10^15/10^6</f>
        <v>16431875.908243716</v>
      </c>
      <c r="F25" s="40">
        <f>'EIA AEO Table 4'!F55/'EIA AEO Table 21'!I27*10^15/10^6</f>
        <v>16366462.683778191</v>
      </c>
      <c r="G25" s="40">
        <f>'EIA AEO Table 4'!G55/'EIA AEO Table 21'!J27*10^15/10^6</f>
        <v>16341665.991210267</v>
      </c>
      <c r="H25" s="40">
        <f>'EIA AEO Table 4'!H55/'EIA AEO Table 21'!K27*10^15/10^6</f>
        <v>16299063.711357817</v>
      </c>
      <c r="I25" s="40">
        <f>'EIA AEO Table 4'!I55/'EIA AEO Table 21'!L27*10^15/10^6</f>
        <v>16240929.638761031</v>
      </c>
      <c r="J25" s="40">
        <f>'EIA AEO Table 4'!J55/'EIA AEO Table 21'!M27*10^15/10^6</f>
        <v>16175570.565279553</v>
      </c>
      <c r="K25" s="40">
        <f>'EIA AEO Table 4'!K55/'EIA AEO Table 21'!N27*10^15/10^6</f>
        <v>16122816.271004928</v>
      </c>
      <c r="L25" s="40">
        <f>'EIA AEO Table 4'!L55/'EIA AEO Table 21'!O27*10^15/10^6</f>
        <v>16076927.542389158</v>
      </c>
      <c r="M25" s="40">
        <f>'EIA AEO Table 4'!M55/'EIA AEO Table 21'!P27*10^15/10^6</f>
        <v>16005080.716043236</v>
      </c>
      <c r="N25" s="40">
        <f>'EIA AEO Table 4'!N55/'EIA AEO Table 21'!Q27*10^15/10^6</f>
        <v>15942783.976901038</v>
      </c>
      <c r="O25" s="40">
        <f>'EIA AEO Table 4'!O55/'EIA AEO Table 21'!R27*10^15/10^6</f>
        <v>15895608.228351805</v>
      </c>
      <c r="P25" s="40">
        <f>'EIA AEO Table 4'!P55/'EIA AEO Table 21'!S27*10^15/10^6</f>
        <v>15859149.709481839</v>
      </c>
      <c r="Q25" s="40">
        <f>'EIA AEO Table 4'!Q55/'EIA AEO Table 21'!T27*10^15/10^6</f>
        <v>15826045.967413621</v>
      </c>
      <c r="R25" s="40">
        <f>'EIA AEO Table 4'!R55/'EIA AEO Table 21'!U27*10^15/10^6</f>
        <v>15797670.807684854</v>
      </c>
      <c r="S25" s="40">
        <f>'EIA AEO Table 4'!S55/'EIA AEO Table 21'!V27*10^15/10^6</f>
        <v>15768868.236086374</v>
      </c>
      <c r="T25" s="40">
        <f>'EIA AEO Table 4'!T55/'EIA AEO Table 21'!W27*10^15/10^6</f>
        <v>15736887.770150771</v>
      </c>
      <c r="U25" s="40">
        <f>'EIA AEO Table 4'!U55/'EIA AEO Table 21'!X27*10^15/10^6</f>
        <v>15703601.911682099</v>
      </c>
      <c r="V25" s="40">
        <f>'EIA AEO Table 4'!V55/'EIA AEO Table 21'!Y27*10^15/10^6</f>
        <v>15669807.678547503</v>
      </c>
      <c r="W25" s="40">
        <f>'EIA AEO Table 4'!W55/'EIA AEO Table 21'!Z27*10^15/10^6</f>
        <v>15634804.932689793</v>
      </c>
      <c r="X25" s="40">
        <f>'EIA AEO Table 4'!X55/'EIA AEO Table 21'!AA27*10^15/10^6</f>
        <v>15596377.534870455</v>
      </c>
      <c r="Y25" s="40">
        <f>'EIA AEO Table 4'!Y55/'EIA AEO Table 21'!AB27*10^15/10^6</f>
        <v>15556944.033242313</v>
      </c>
      <c r="Z25" s="40">
        <f>'EIA AEO Table 4'!Z55/'EIA AEO Table 21'!AC27*10^15/10^6</f>
        <v>15520659.367686702</v>
      </c>
      <c r="AA25" s="40">
        <f>'EIA AEO Table 4'!AA55/'EIA AEO Table 21'!AD27*10^15/10^6</f>
        <v>15488342.912031617</v>
      </c>
      <c r="AB25" s="40">
        <f>'EIA AEO Table 4'!AB55/'EIA AEO Table 21'!AE27*10^15/10^6</f>
        <v>15461078.651720248</v>
      </c>
      <c r="AC25" s="40">
        <f>'EIA AEO Table 4'!AC55/'EIA AEO Table 21'!AF27*10^15/10^6</f>
        <v>15439995.510741184</v>
      </c>
      <c r="AD25" s="40">
        <f>'EIA AEO Table 4'!AD55/'EIA AEO Table 21'!AG27*10^15/10^6</f>
        <v>15423779.983717693</v>
      </c>
      <c r="AE25" s="40">
        <f>'EIA AEO Table 4'!AE55/'EIA AEO Table 21'!AH27*10^15/10^6</f>
        <v>15414074.785044335</v>
      </c>
      <c r="AF25" s="40">
        <f>'EIA AEO Table 4'!AF55/'EIA AEO Table 21'!AI27*10^15/10^6</f>
        <v>15406116.966340119</v>
      </c>
      <c r="AG25" s="40">
        <f>'EIA AEO Table 4'!AG55/'EIA AEO Table 21'!AJ27*10^15/10^6</f>
        <v>15396627.767764671</v>
      </c>
      <c r="AH25" s="40">
        <f>'EIA AEO Table 4'!AH55/'EIA AEO Table 21'!AK27*10^15/10^6</f>
        <v>15384569.040178811</v>
      </c>
      <c r="AI25" s="40">
        <f>'EIA AEO Table 4'!AI55/'EIA AEO Table 21'!AL27*10^15/10^6</f>
        <v>15372519.757057877</v>
      </c>
      <c r="AJ25" s="40">
        <f>'EIA AEO Table 4'!AJ55/'EIA AEO Table 21'!AM27*10^15/10^6</f>
        <v>15360479.911004916</v>
      </c>
      <c r="AK25" s="40">
        <f>'EIA AEO Table 4'!AK55/'EIA AEO Table 21'!AN27*10^15/10^6</f>
        <v>15348449.494628757</v>
      </c>
      <c r="AL25" s="40">
        <f>'EIA AEO Table 4'!AL55/'EIA AEO Table 21'!AO27*10^15/10^6</f>
        <v>15336428.500544025</v>
      </c>
      <c r="AM25" s="40">
        <f>'EIA AEO Table 4'!AM55/'EIA AEO Table 21'!AP27*10^15/10^6</f>
        <v>15324416.92137113</v>
      </c>
      <c r="AN25" s="40">
        <f>'EIA AEO Table 4'!AN55/'EIA AEO Table 21'!AQ27*10^15/10^6</f>
        <v>15312414.749736253</v>
      </c>
      <c r="AO25" s="40">
        <f>'EIA AEO Table 4'!AO55/'EIA AEO Table 21'!AR27*10^15/10^6</f>
        <v>15300421.978271363</v>
      </c>
      <c r="AP25" s="40">
        <f>'EIA AEO Table 4'!AP55/'EIA AEO Table 21'!AS27*10^15/10^6</f>
        <v>15288438.599614186</v>
      </c>
      <c r="AQ25" s="40">
        <f>'EIA AEO Table 4'!AQ55/'EIA AEO Table 21'!AT27*10^15/10^6</f>
        <v>15276464.606408225</v>
      </c>
    </row>
    <row r="26" spans="1:43">
      <c r="A26" t="s">
        <v>14</v>
      </c>
      <c r="B26" s="40"/>
      <c r="C26" s="40">
        <f>'EIA AEO Table 4'!C63/'EIA AEO Table 21'!F28*10^15/10^6</f>
        <v>18429610.74775257</v>
      </c>
      <c r="D26" s="40">
        <f>'EIA AEO Table 4'!D63/'EIA AEO Table 21'!G28*10^15/10^6</f>
        <v>18114371.870658431</v>
      </c>
      <c r="E26" s="40">
        <f>'EIA AEO Table 4'!E63/'EIA AEO Table 21'!H28*10^15/10^6</f>
        <v>17686974.803060926</v>
      </c>
      <c r="F26" s="40">
        <f>'EIA AEO Table 4'!F63/'EIA AEO Table 21'!I28*10^15/10^6</f>
        <v>17150887.065458875</v>
      </c>
      <c r="G26" s="40">
        <f>'EIA AEO Table 4'!G63/'EIA AEO Table 21'!J28*10^15/10^6</f>
        <v>16678497.539785106</v>
      </c>
      <c r="H26" s="40">
        <f>'EIA AEO Table 4'!H63/'EIA AEO Table 21'!K28*10^15/10^6</f>
        <v>16311996.44857518</v>
      </c>
      <c r="I26" s="40">
        <f>'EIA AEO Table 4'!I63/'EIA AEO Table 21'!L28*10^15/10^6</f>
        <v>16003973.906238148</v>
      </c>
      <c r="J26" s="40">
        <f>'EIA AEO Table 4'!J63/'EIA AEO Table 21'!M28*10^15/10^6</f>
        <v>15770241.384263134</v>
      </c>
      <c r="K26" s="40">
        <f>'EIA AEO Table 4'!K63/'EIA AEO Table 21'!N28*10^15/10^6</f>
        <v>15612226.433109982</v>
      </c>
      <c r="L26" s="40">
        <f>'EIA AEO Table 4'!L63/'EIA AEO Table 21'!O28*10^15/10^6</f>
        <v>15520642.11647795</v>
      </c>
      <c r="M26" s="40">
        <f>'EIA AEO Table 4'!M63/'EIA AEO Table 21'!P28*10^15/10^6</f>
        <v>15484466.778052915</v>
      </c>
      <c r="N26" s="40">
        <f>'EIA AEO Table 4'!N63/'EIA AEO Table 21'!Q28*10^15/10^6</f>
        <v>15449090.355861561</v>
      </c>
      <c r="O26" s="40">
        <f>'EIA AEO Table 4'!O63/'EIA AEO Table 21'!R28*10^15/10^6</f>
        <v>15412361.948274428</v>
      </c>
      <c r="P26" s="40">
        <f>'EIA AEO Table 4'!P63/'EIA AEO Table 21'!S28*10^15/10^6</f>
        <v>15376589.915264999</v>
      </c>
      <c r="Q26" s="40">
        <f>'EIA AEO Table 4'!Q63/'EIA AEO Table 21'!T28*10^15/10^6</f>
        <v>15339729.485525889</v>
      </c>
      <c r="R26" s="40">
        <f>'EIA AEO Table 4'!R63/'EIA AEO Table 21'!U28*10^15/10^6</f>
        <v>15312067.660706067</v>
      </c>
      <c r="S26" s="40">
        <f>'EIA AEO Table 4'!S63/'EIA AEO Table 21'!V28*10^15/10^6</f>
        <v>15288904.442573797</v>
      </c>
      <c r="T26" s="40">
        <f>'EIA AEO Table 4'!T63/'EIA AEO Table 21'!W28*10^15/10^6</f>
        <v>15253187.66102599</v>
      </c>
      <c r="U26" s="40">
        <f>'EIA AEO Table 4'!U63/'EIA AEO Table 21'!X28*10^15/10^6</f>
        <v>15202265.450900637</v>
      </c>
      <c r="V26" s="40">
        <f>'EIA AEO Table 4'!V63/'EIA AEO Table 21'!Y28*10^15/10^6</f>
        <v>15158190.98373314</v>
      </c>
      <c r="W26" s="40">
        <f>'EIA AEO Table 4'!W63/'EIA AEO Table 21'!Z28*10^15/10^6</f>
        <v>15096861.857910594</v>
      </c>
      <c r="X26" s="40">
        <f>'EIA AEO Table 4'!X63/'EIA AEO Table 21'!AA28*10^15/10^6</f>
        <v>15034070.599881934</v>
      </c>
      <c r="Y26" s="40">
        <f>'EIA AEO Table 4'!Y63/'EIA AEO Table 21'!AB28*10^15/10^6</f>
        <v>14974890.229881218</v>
      </c>
      <c r="Z26" s="40">
        <f>'EIA AEO Table 4'!Z63/'EIA AEO Table 21'!AC28*10^15/10^6</f>
        <v>14922684.062752549</v>
      </c>
      <c r="AA26" s="40">
        <f>'EIA AEO Table 4'!AA63/'EIA AEO Table 21'!AD28*10^15/10^6</f>
        <v>14873353.126494968</v>
      </c>
      <c r="AB26" s="40">
        <f>'EIA AEO Table 4'!AB63/'EIA AEO Table 21'!AE28*10^15/10^6</f>
        <v>14823781.298210675</v>
      </c>
      <c r="AC26" s="40">
        <f>'EIA AEO Table 4'!AC63/'EIA AEO Table 21'!AF28*10^15/10^6</f>
        <v>14784216.969338303</v>
      </c>
      <c r="AD26" s="40">
        <f>'EIA AEO Table 4'!AD63/'EIA AEO Table 21'!AG28*10^15/10^6</f>
        <v>14754093.870765422</v>
      </c>
      <c r="AE26" s="40">
        <f>'EIA AEO Table 4'!AE63/'EIA AEO Table 21'!AH28*10^15/10^6</f>
        <v>14733729.057793448</v>
      </c>
      <c r="AF26" s="40">
        <f>'EIA AEO Table 4'!AF63/'EIA AEO Table 21'!AI28*10^15/10^6</f>
        <v>14712044.060870141</v>
      </c>
      <c r="AG26" s="40">
        <f>'EIA AEO Table 4'!AG63/'EIA AEO Table 21'!AJ28*10^15/10^6</f>
        <v>14690609.362540511</v>
      </c>
      <c r="AH26" s="40">
        <f>'EIA AEO Table 4'!AH63/'EIA AEO Table 21'!AK28*10^15/10^6</f>
        <v>14564735.489322513</v>
      </c>
      <c r="AI26" s="40">
        <f>'EIA AEO Table 4'!AI63/'EIA AEO Table 21'!AL28*10^15/10^6</f>
        <v>14439940.143997259</v>
      </c>
      <c r="AJ26" s="40">
        <f>'EIA AEO Table 4'!AJ63/'EIA AEO Table 21'!AM28*10^15/10^6</f>
        <v>14316214.085390346</v>
      </c>
      <c r="AK26" s="40">
        <f>'EIA AEO Table 4'!AK63/'EIA AEO Table 21'!AN28*10^15/10^6</f>
        <v>14193548.151508722</v>
      </c>
      <c r="AL26" s="40">
        <f>'EIA AEO Table 4'!AL63/'EIA AEO Table 21'!AO28*10^15/10^6</f>
        <v>14071933.258862257</v>
      </c>
      <c r="AM26" s="40">
        <f>'EIA AEO Table 4'!AM63/'EIA AEO Table 21'!AP28*10^15/10^6</f>
        <v>13951360.401791079</v>
      </c>
      <c r="AN26" s="40">
        <f>'EIA AEO Table 4'!AN63/'EIA AEO Table 21'!AQ28*10^15/10^6</f>
        <v>13831820.651798708</v>
      </c>
      <c r="AO26" s="40">
        <f>'EIA AEO Table 4'!AO63/'EIA AEO Table 21'!AR28*10^15/10^6</f>
        <v>13713305.156890912</v>
      </c>
      <c r="AP26" s="40">
        <f>'EIA AEO Table 4'!AP63/'EIA AEO Table 21'!AS28*10^15/10^6</f>
        <v>13595805.140920186</v>
      </c>
      <c r="AQ26" s="40">
        <f>'EIA AEO Table 4'!AQ63/'EIA AEO Table 21'!AT28*10^15/10^6</f>
        <v>13479311.902935889</v>
      </c>
    </row>
    <row r="28" spans="1:43">
      <c r="A28" s="8" t="s">
        <v>179</v>
      </c>
      <c r="B28">
        <v>2017</v>
      </c>
      <c r="C28">
        <v>2020</v>
      </c>
      <c r="D28">
        <v>2030</v>
      </c>
      <c r="E28">
        <v>2040</v>
      </c>
      <c r="F28">
        <v>2050</v>
      </c>
      <c r="G28" s="164">
        <v>2060</v>
      </c>
    </row>
    <row r="29" spans="1:43">
      <c r="A29" t="s">
        <v>260</v>
      </c>
      <c r="B29">
        <f>AVERAGE('EIA Costs'!D88:D89)-AVERAGE('EIA Costs'!E61:E62)</f>
        <v>150</v>
      </c>
      <c r="C29">
        <f>AVERAGE('EIA Costs'!G88:G89)-AVERAGE('EIA Costs'!H61:H62)</f>
        <v>150</v>
      </c>
      <c r="D29">
        <f>AVERAGE('EIA Costs'!I88:I89)-AVERAGE('EIA Costs'!J61:J62)</f>
        <v>150</v>
      </c>
      <c r="E29">
        <f>AVERAGE('EIA Costs'!K88:K89)-AVERAGE('EIA Costs'!L61:L62)</f>
        <v>150</v>
      </c>
      <c r="F29">
        <f>AVERAGE('EIA Costs'!M88:M89)-AVERAGE('EIA Costs'!N61:N62)</f>
        <v>150</v>
      </c>
      <c r="G29">
        <f>AVERAGE('EIA Costs'!O88:O89)-AVERAGE('EIA Costs'!P61:P62)</f>
        <v>150</v>
      </c>
    </row>
    <row r="30" spans="1:43">
      <c r="A30" t="s">
        <v>261</v>
      </c>
      <c r="B30">
        <f>AVERAGE('EIA Costs'!D88:D89)-AVERAGE('EIA Costs'!E75:E76)</f>
        <v>-475</v>
      </c>
      <c r="C30">
        <f>AVERAGE('EIA Costs'!G88:G89)-AVERAGE('EIA Costs'!G75:G76)</f>
        <v>-475</v>
      </c>
      <c r="D30">
        <f>AVERAGE('EIA Costs'!I88:I89)-AVERAGE('EIA Costs'!I75:I76)</f>
        <v>-475</v>
      </c>
      <c r="E30">
        <f>AVERAGE('EIA Costs'!K88:K89)-AVERAGE('EIA Costs'!K75:K76)</f>
        <v>-475</v>
      </c>
      <c r="F30">
        <f>AVERAGE('EIA Costs'!M88:M89)-AVERAGE('EIA Costs'!M75:M76)</f>
        <v>-475</v>
      </c>
      <c r="G30">
        <f>AVERAGE('EIA Costs'!O88:O89)-AVERAGE('EIA Costs'!O75:O76)</f>
        <v>-475</v>
      </c>
    </row>
    <row r="32" spans="1:43">
      <c r="A32" s="8" t="s">
        <v>206</v>
      </c>
      <c r="B32">
        <v>2019</v>
      </c>
      <c r="C32">
        <v>2020</v>
      </c>
      <c r="D32">
        <v>2021</v>
      </c>
      <c r="E32">
        <v>2022</v>
      </c>
      <c r="F32">
        <v>2023</v>
      </c>
      <c r="G32">
        <v>2024</v>
      </c>
      <c r="H32">
        <v>2025</v>
      </c>
      <c r="I32">
        <v>2026</v>
      </c>
      <c r="J32">
        <v>2027</v>
      </c>
      <c r="K32">
        <v>2028</v>
      </c>
      <c r="L32">
        <v>2029</v>
      </c>
      <c r="M32">
        <v>2030</v>
      </c>
      <c r="N32">
        <v>2031</v>
      </c>
      <c r="O32">
        <v>2032</v>
      </c>
      <c r="P32">
        <v>2033</v>
      </c>
      <c r="Q32">
        <v>2034</v>
      </c>
      <c r="R32">
        <v>2035</v>
      </c>
      <c r="S32">
        <v>2036</v>
      </c>
      <c r="T32">
        <v>2037</v>
      </c>
      <c r="U32">
        <v>2038</v>
      </c>
      <c r="V32">
        <v>2039</v>
      </c>
      <c r="W32">
        <v>2040</v>
      </c>
      <c r="X32">
        <v>2041</v>
      </c>
      <c r="Y32">
        <v>2042</v>
      </c>
      <c r="Z32">
        <v>2043</v>
      </c>
      <c r="AA32">
        <v>2044</v>
      </c>
      <c r="AB32">
        <v>2045</v>
      </c>
      <c r="AC32">
        <v>2046</v>
      </c>
      <c r="AD32">
        <v>2047</v>
      </c>
      <c r="AE32">
        <v>2048</v>
      </c>
      <c r="AF32">
        <v>2049</v>
      </c>
      <c r="AG32">
        <v>2050</v>
      </c>
      <c r="AH32" s="164">
        <v>2051</v>
      </c>
      <c r="AI32" s="164">
        <v>2052</v>
      </c>
      <c r="AJ32" s="164">
        <v>2053</v>
      </c>
      <c r="AK32" s="164">
        <v>2054</v>
      </c>
      <c r="AL32" s="164">
        <v>2055</v>
      </c>
      <c r="AM32" s="164">
        <v>2056</v>
      </c>
      <c r="AN32" s="164">
        <v>2057</v>
      </c>
      <c r="AO32" s="164">
        <v>2058</v>
      </c>
      <c r="AP32" s="164">
        <v>2059</v>
      </c>
      <c r="AQ32" s="164">
        <v>2060</v>
      </c>
    </row>
    <row r="33" spans="1:43">
      <c r="A33" t="s">
        <v>264</v>
      </c>
      <c r="B33" s="6">
        <f>TREND($B$29:$C$29,$B$28:$C$28,B$32)</f>
        <v>150</v>
      </c>
      <c r="C33" s="6">
        <f>TREND($B$29:$C$29,$B$28:$C$28,C$32)</f>
        <v>150</v>
      </c>
      <c r="D33" s="6">
        <f t="shared" ref="D33:M33" si="6">TREND($C$29:$D$29,$C$28:$D$28,D$32)</f>
        <v>150</v>
      </c>
      <c r="E33" s="6">
        <f t="shared" si="6"/>
        <v>150</v>
      </c>
      <c r="F33" s="6">
        <f t="shared" si="6"/>
        <v>150</v>
      </c>
      <c r="G33" s="6">
        <f t="shared" si="6"/>
        <v>150</v>
      </c>
      <c r="H33" s="6">
        <f t="shared" si="6"/>
        <v>150</v>
      </c>
      <c r="I33" s="6">
        <f t="shared" si="6"/>
        <v>150</v>
      </c>
      <c r="J33" s="6">
        <f t="shared" si="6"/>
        <v>150</v>
      </c>
      <c r="K33" s="6">
        <f t="shared" si="6"/>
        <v>150</v>
      </c>
      <c r="L33" s="6">
        <f t="shared" si="6"/>
        <v>150</v>
      </c>
      <c r="M33" s="6">
        <f t="shared" si="6"/>
        <v>150</v>
      </c>
      <c r="N33" s="6">
        <f t="shared" ref="N33:AF33" si="7">TREND($D$29:$F$29,$D$28:$F$28,N$32)</f>
        <v>150</v>
      </c>
      <c r="O33" s="6">
        <f t="shared" si="7"/>
        <v>150</v>
      </c>
      <c r="P33" s="6">
        <f t="shared" si="7"/>
        <v>150</v>
      </c>
      <c r="Q33" s="6">
        <f t="shared" si="7"/>
        <v>150</v>
      </c>
      <c r="R33" s="6">
        <f t="shared" si="7"/>
        <v>150</v>
      </c>
      <c r="S33" s="6">
        <f t="shared" si="7"/>
        <v>150</v>
      </c>
      <c r="T33" s="6">
        <f t="shared" si="7"/>
        <v>150</v>
      </c>
      <c r="U33" s="6">
        <f t="shared" si="7"/>
        <v>150</v>
      </c>
      <c r="V33" s="6">
        <f t="shared" si="7"/>
        <v>150</v>
      </c>
      <c r="W33" s="6">
        <f t="shared" si="7"/>
        <v>150</v>
      </c>
      <c r="X33" s="6">
        <f t="shared" si="7"/>
        <v>150</v>
      </c>
      <c r="Y33" s="6">
        <f t="shared" si="7"/>
        <v>150</v>
      </c>
      <c r="Z33" s="6">
        <f t="shared" si="7"/>
        <v>150</v>
      </c>
      <c r="AA33" s="6">
        <f t="shared" si="7"/>
        <v>150</v>
      </c>
      <c r="AB33" s="6">
        <f t="shared" si="7"/>
        <v>150</v>
      </c>
      <c r="AC33" s="6">
        <f t="shared" si="7"/>
        <v>150</v>
      </c>
      <c r="AD33" s="6">
        <f t="shared" si="7"/>
        <v>150</v>
      </c>
      <c r="AE33" s="6">
        <f t="shared" si="7"/>
        <v>150</v>
      </c>
      <c r="AF33" s="6">
        <f t="shared" si="7"/>
        <v>150</v>
      </c>
      <c r="AG33" s="6">
        <f>TREND($D$29:$F$29,$D$28:$F$28,AG$32)</f>
        <v>150</v>
      </c>
      <c r="AH33" s="6">
        <f t="shared" ref="AH33:AQ33" si="8">TREND($D$29:$F$29,$D$28:$F$28,AH$32)</f>
        <v>150</v>
      </c>
      <c r="AI33" s="6">
        <f t="shared" si="8"/>
        <v>150</v>
      </c>
      <c r="AJ33" s="6">
        <f t="shared" si="8"/>
        <v>150</v>
      </c>
      <c r="AK33" s="6">
        <f t="shared" si="8"/>
        <v>150</v>
      </c>
      <c r="AL33" s="6">
        <f t="shared" si="8"/>
        <v>150</v>
      </c>
      <c r="AM33" s="6">
        <f t="shared" si="8"/>
        <v>150</v>
      </c>
      <c r="AN33" s="6">
        <f t="shared" si="8"/>
        <v>150</v>
      </c>
      <c r="AO33" s="6">
        <f t="shared" si="8"/>
        <v>150</v>
      </c>
      <c r="AP33" s="6">
        <f t="shared" si="8"/>
        <v>150</v>
      </c>
      <c r="AQ33" s="6">
        <f t="shared" si="8"/>
        <v>150</v>
      </c>
    </row>
    <row r="34" spans="1:43">
      <c r="A34" t="s">
        <v>265</v>
      </c>
      <c r="B34" s="6">
        <f>TREND($B$30:$C$30,$B$28:$C$28,B$32)</f>
        <v>-475</v>
      </c>
      <c r="C34" s="6">
        <f>TREND($B$30:$C$30,$B$28:$C$28,C$32)</f>
        <v>-475</v>
      </c>
      <c r="D34" s="6">
        <f t="shared" ref="D34:M34" si="9">TREND($C$30:$D$30,$C$28:$D$28,D$32)</f>
        <v>-475</v>
      </c>
      <c r="E34" s="6">
        <f t="shared" si="9"/>
        <v>-475</v>
      </c>
      <c r="F34" s="6">
        <f t="shared" si="9"/>
        <v>-475</v>
      </c>
      <c r="G34" s="6">
        <f t="shared" si="9"/>
        <v>-475</v>
      </c>
      <c r="H34" s="6">
        <f t="shared" si="9"/>
        <v>-475</v>
      </c>
      <c r="I34" s="6">
        <f t="shared" si="9"/>
        <v>-475</v>
      </c>
      <c r="J34" s="6">
        <f t="shared" si="9"/>
        <v>-475</v>
      </c>
      <c r="K34" s="6">
        <f t="shared" si="9"/>
        <v>-475</v>
      </c>
      <c r="L34" s="6">
        <f t="shared" si="9"/>
        <v>-475</v>
      </c>
      <c r="M34" s="6">
        <f t="shared" si="9"/>
        <v>-475</v>
      </c>
      <c r="N34" s="6">
        <f t="shared" ref="N34:AQ34" si="10">TREND($D$30:$F$30,$D$28:$F$28,N$32)</f>
        <v>-475</v>
      </c>
      <c r="O34" s="6">
        <f t="shared" si="10"/>
        <v>-475</v>
      </c>
      <c r="P34" s="6">
        <f t="shared" si="10"/>
        <v>-475</v>
      </c>
      <c r="Q34" s="6">
        <f t="shared" si="10"/>
        <v>-475</v>
      </c>
      <c r="R34" s="6">
        <f t="shared" si="10"/>
        <v>-475</v>
      </c>
      <c r="S34" s="6">
        <f t="shared" si="10"/>
        <v>-475</v>
      </c>
      <c r="T34" s="6">
        <f t="shared" si="10"/>
        <v>-475</v>
      </c>
      <c r="U34" s="6">
        <f t="shared" si="10"/>
        <v>-475</v>
      </c>
      <c r="V34" s="6">
        <f t="shared" si="10"/>
        <v>-475</v>
      </c>
      <c r="W34" s="6">
        <f t="shared" si="10"/>
        <v>-475</v>
      </c>
      <c r="X34" s="6">
        <f t="shared" si="10"/>
        <v>-475</v>
      </c>
      <c r="Y34" s="6">
        <f t="shared" si="10"/>
        <v>-475</v>
      </c>
      <c r="Z34" s="6">
        <f t="shared" si="10"/>
        <v>-475</v>
      </c>
      <c r="AA34" s="6">
        <f t="shared" si="10"/>
        <v>-475</v>
      </c>
      <c r="AB34" s="6">
        <f t="shared" si="10"/>
        <v>-475</v>
      </c>
      <c r="AC34" s="6">
        <f t="shared" si="10"/>
        <v>-475</v>
      </c>
      <c r="AD34" s="6">
        <f t="shared" si="10"/>
        <v>-475</v>
      </c>
      <c r="AE34" s="6">
        <f t="shared" si="10"/>
        <v>-475</v>
      </c>
      <c r="AF34" s="6">
        <f t="shared" si="10"/>
        <v>-475</v>
      </c>
      <c r="AG34" s="6">
        <f t="shared" si="10"/>
        <v>-475</v>
      </c>
      <c r="AH34" s="6">
        <f t="shared" si="10"/>
        <v>-475</v>
      </c>
      <c r="AI34" s="6">
        <f t="shared" si="10"/>
        <v>-475</v>
      </c>
      <c r="AJ34" s="6">
        <f t="shared" si="10"/>
        <v>-475</v>
      </c>
      <c r="AK34" s="6">
        <f t="shared" si="10"/>
        <v>-475</v>
      </c>
      <c r="AL34" s="6">
        <f t="shared" si="10"/>
        <v>-475</v>
      </c>
      <c r="AM34" s="6">
        <f t="shared" si="10"/>
        <v>-475</v>
      </c>
      <c r="AN34" s="6">
        <f t="shared" si="10"/>
        <v>-475</v>
      </c>
      <c r="AO34" s="6">
        <f t="shared" si="10"/>
        <v>-475</v>
      </c>
      <c r="AP34" s="6">
        <f t="shared" si="10"/>
        <v>-475</v>
      </c>
      <c r="AQ34" s="6">
        <f t="shared" si="10"/>
        <v>-475</v>
      </c>
    </row>
    <row r="36" spans="1:43">
      <c r="A36" s="8" t="s">
        <v>212</v>
      </c>
      <c r="B36">
        <v>2019</v>
      </c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  <c r="AH36" s="164">
        <v>2051</v>
      </c>
      <c r="AI36" s="164">
        <v>2052</v>
      </c>
      <c r="AJ36" s="164">
        <v>2053</v>
      </c>
      <c r="AK36" s="164">
        <v>2054</v>
      </c>
      <c r="AL36" s="164">
        <v>2055</v>
      </c>
      <c r="AM36" s="164">
        <v>2056</v>
      </c>
      <c r="AN36" s="164">
        <v>2057</v>
      </c>
      <c r="AO36" s="164">
        <v>2058</v>
      </c>
      <c r="AP36" s="164">
        <v>2059</v>
      </c>
      <c r="AQ36" s="164">
        <v>2060</v>
      </c>
    </row>
    <row r="37" spans="1:43">
      <c r="A37" t="s">
        <v>13</v>
      </c>
      <c r="B37" s="40"/>
      <c r="C37" s="40">
        <f t="shared" ref="C37:AG37" si="11">C33/C25</f>
        <v>8.9447496175339696E-6</v>
      </c>
      <c r="D37" s="40">
        <f t="shared" si="11"/>
        <v>9.0612648368949834E-6</v>
      </c>
      <c r="E37" s="40">
        <f t="shared" si="11"/>
        <v>9.1285986358226108E-6</v>
      </c>
      <c r="F37" s="40">
        <f t="shared" si="11"/>
        <v>9.1650836774078401E-6</v>
      </c>
      <c r="G37" s="40">
        <f t="shared" si="11"/>
        <v>9.1789906904645387E-6</v>
      </c>
      <c r="H37" s="40">
        <f t="shared" si="11"/>
        <v>9.20298261644773E-6</v>
      </c>
      <c r="I37" s="40">
        <f t="shared" si="11"/>
        <v>9.2359245028687306E-6</v>
      </c>
      <c r="J37" s="40">
        <f t="shared" si="11"/>
        <v>9.2732432154183887E-6</v>
      </c>
      <c r="K37" s="40">
        <f t="shared" si="11"/>
        <v>9.3035855199663933E-6</v>
      </c>
      <c r="L37" s="40">
        <f t="shared" si="11"/>
        <v>9.33014094916477E-6</v>
      </c>
      <c r="M37" s="40">
        <f t="shared" si="11"/>
        <v>9.3720239629683599E-6</v>
      </c>
      <c r="N37" s="40">
        <f t="shared" si="11"/>
        <v>9.4086453292806292E-6</v>
      </c>
      <c r="O37" s="40">
        <f t="shared" si="11"/>
        <v>9.436568758184178E-6</v>
      </c>
      <c r="P37" s="40">
        <f t="shared" si="11"/>
        <v>9.4582624382641574E-6</v>
      </c>
      <c r="Q37" s="40">
        <f t="shared" si="11"/>
        <v>9.4780465258887288E-6</v>
      </c>
      <c r="R37" s="40">
        <f t="shared" si="11"/>
        <v>9.4950706231346323E-6</v>
      </c>
      <c r="S37" s="40">
        <f t="shared" si="11"/>
        <v>9.5124138114574054E-6</v>
      </c>
      <c r="T37" s="40">
        <f t="shared" si="11"/>
        <v>9.5317449162035221E-6</v>
      </c>
      <c r="U37" s="40">
        <f t="shared" si="11"/>
        <v>9.5519487085579517E-6</v>
      </c>
      <c r="V37" s="40">
        <f t="shared" si="11"/>
        <v>9.5725488836314857E-6</v>
      </c>
      <c r="W37" s="40">
        <f t="shared" si="11"/>
        <v>9.593979627233775E-6</v>
      </c>
      <c r="X37" s="40">
        <f t="shared" si="11"/>
        <v>9.6176179157390412E-6</v>
      </c>
      <c r="Y37" s="40">
        <f t="shared" si="11"/>
        <v>9.641996505192648E-6</v>
      </c>
      <c r="Z37" s="40">
        <f t="shared" si="11"/>
        <v>9.6645378554143839E-6</v>
      </c>
      <c r="AA37" s="40">
        <f t="shared" si="11"/>
        <v>9.6847029312269019E-6</v>
      </c>
      <c r="AB37" s="40">
        <f t="shared" si="11"/>
        <v>9.7017810580318422E-6</v>
      </c>
      <c r="AC37" s="40">
        <f t="shared" si="11"/>
        <v>9.7150287314299474E-6</v>
      </c>
      <c r="AD37" s="40">
        <f t="shared" si="11"/>
        <v>9.7252424605608594E-6</v>
      </c>
      <c r="AE37" s="40">
        <f t="shared" si="11"/>
        <v>9.7313657869065903E-6</v>
      </c>
      <c r="AF37" s="40">
        <f t="shared" si="11"/>
        <v>9.7363923906150918E-6</v>
      </c>
      <c r="AG37" s="40">
        <f t="shared" si="11"/>
        <v>9.7423930916904569E-6</v>
      </c>
      <c r="AH37" s="40">
        <f t="shared" ref="AH37:AQ37" si="12">AH33/AH25</f>
        <v>9.7500293708751556E-6</v>
      </c>
      <c r="AI37" s="40">
        <f t="shared" si="12"/>
        <v>9.7576716355255648E-6</v>
      </c>
      <c r="AJ37" s="40">
        <f t="shared" si="12"/>
        <v>9.7653198903332103E-6</v>
      </c>
      <c r="AK37" s="40">
        <f t="shared" si="12"/>
        <v>9.7729741399932941E-6</v>
      </c>
      <c r="AL37" s="40">
        <f t="shared" si="12"/>
        <v>9.7806343892047026E-6</v>
      </c>
      <c r="AM37" s="40">
        <f t="shared" si="12"/>
        <v>9.7883006426699967E-6</v>
      </c>
      <c r="AN37" s="40">
        <f t="shared" si="12"/>
        <v>9.7959729050954337E-6</v>
      </c>
      <c r="AO37" s="40">
        <f t="shared" si="12"/>
        <v>9.8036511811909488E-6</v>
      </c>
      <c r="AP37" s="40">
        <f t="shared" si="12"/>
        <v>9.8113354756701805E-6</v>
      </c>
      <c r="AQ37" s="40">
        <f t="shared" si="12"/>
        <v>9.8190257932504535E-6</v>
      </c>
    </row>
    <row r="38" spans="1:43">
      <c r="A38" t="s">
        <v>14</v>
      </c>
      <c r="B38" s="40"/>
      <c r="C38" s="40">
        <f t="shared" ref="C38:AG38" si="13">C34/C26</f>
        <v>-2.5773740232572448E-5</v>
      </c>
      <c r="D38" s="40">
        <f t="shared" si="13"/>
        <v>-2.6222272756219751E-5</v>
      </c>
      <c r="E38" s="40">
        <f t="shared" si="13"/>
        <v>-2.6855921110816306E-5</v>
      </c>
      <c r="F38" s="40">
        <f t="shared" si="13"/>
        <v>-2.7695360489932262E-5</v>
      </c>
      <c r="G38" s="40">
        <f t="shared" si="13"/>
        <v>-2.8479783557657326E-5</v>
      </c>
      <c r="H38" s="40">
        <f t="shared" si="13"/>
        <v>-2.9119672843080487E-5</v>
      </c>
      <c r="I38" s="40">
        <f t="shared" si="13"/>
        <v>-2.9680128372044583E-5</v>
      </c>
      <c r="J38" s="40">
        <f t="shared" si="13"/>
        <v>-3.0120020894163024E-5</v>
      </c>
      <c r="K38" s="40">
        <f t="shared" si="13"/>
        <v>-3.0424872585285659E-5</v>
      </c>
      <c r="L38" s="40">
        <f t="shared" si="13"/>
        <v>-3.0604403892265655E-5</v>
      </c>
      <c r="M38" s="40">
        <f t="shared" si="13"/>
        <v>-3.0675902942505366E-5</v>
      </c>
      <c r="N38" s="40">
        <f t="shared" si="13"/>
        <v>-3.0746146799496163E-5</v>
      </c>
      <c r="O38" s="40">
        <f t="shared" si="13"/>
        <v>-3.0819416361629186E-5</v>
      </c>
      <c r="P38" s="40">
        <f t="shared" si="13"/>
        <v>-3.0891114520030685E-5</v>
      </c>
      <c r="Q38" s="40">
        <f t="shared" si="13"/>
        <v>-3.0965343974820143E-5</v>
      </c>
      <c r="R38" s="40">
        <f t="shared" si="13"/>
        <v>-3.1021284030696146E-5</v>
      </c>
      <c r="S38" s="40">
        <f t="shared" si="13"/>
        <v>-3.1068282347118689E-5</v>
      </c>
      <c r="T38" s="40">
        <f t="shared" si="13"/>
        <v>-3.1141031668658404E-5</v>
      </c>
      <c r="U38" s="40">
        <f t="shared" si="13"/>
        <v>-3.1245343105876321E-5</v>
      </c>
      <c r="V38" s="40">
        <f t="shared" si="13"/>
        <v>-3.1336193118937575E-5</v>
      </c>
      <c r="W38" s="40">
        <f t="shared" si="13"/>
        <v>-3.146349251060445E-5</v>
      </c>
      <c r="X38" s="40">
        <f t="shared" si="13"/>
        <v>-3.1594902847119152E-5</v>
      </c>
      <c r="Y38" s="40">
        <f t="shared" si="13"/>
        <v>-3.1719765067270732E-5</v>
      </c>
      <c r="Z38" s="40">
        <f t="shared" si="13"/>
        <v>-3.1830734873333794E-5</v>
      </c>
      <c r="AA38" s="40">
        <f t="shared" si="13"/>
        <v>-3.1936308911663536E-5</v>
      </c>
      <c r="AB38" s="40">
        <f t="shared" si="13"/>
        <v>-3.2043106306306312E-5</v>
      </c>
      <c r="AC38" s="40">
        <f t="shared" si="13"/>
        <v>-3.212885748261983E-5</v>
      </c>
      <c r="AD38" s="40">
        <f t="shared" si="13"/>
        <v>-3.2194454241692963E-5</v>
      </c>
      <c r="AE38" s="40">
        <f t="shared" si="13"/>
        <v>-3.223895309441349E-5</v>
      </c>
      <c r="AF38" s="40">
        <f t="shared" si="13"/>
        <v>-3.2286472092845694E-5</v>
      </c>
      <c r="AG38" s="40">
        <f t="shared" si="13"/>
        <v>-3.2333580471562971E-5</v>
      </c>
      <c r="AH38" s="40">
        <f t="shared" ref="AH38:AQ38" si="14">AH34/AH26</f>
        <v>-3.2613019326593678E-5</v>
      </c>
      <c r="AI38" s="40">
        <f t="shared" si="14"/>
        <v>-3.289487319637259E-5</v>
      </c>
      <c r="AJ38" s="40">
        <f t="shared" si="14"/>
        <v>-3.3179162952357359E-5</v>
      </c>
      <c r="AK38" s="40">
        <f t="shared" si="14"/>
        <v>-3.3465909646384597E-5</v>
      </c>
      <c r="AL38" s="40">
        <f t="shared" si="14"/>
        <v>-3.3755134512228685E-5</v>
      </c>
      <c r="AM38" s="40">
        <f t="shared" si="14"/>
        <v>-3.4046858967174223E-5</v>
      </c>
      <c r="AN38" s="40">
        <f t="shared" si="14"/>
        <v>-3.4341104613601997E-5</v>
      </c>
      <c r="AO38" s="40">
        <f t="shared" si="14"/>
        <v>-3.4637893240588565E-5</v>
      </c>
      <c r="AP38" s="40">
        <f t="shared" si="14"/>
        <v>-3.4937246825519836E-5</v>
      </c>
      <c r="AQ38" s="40">
        <f t="shared" si="14"/>
        <v>-3.5239187535718474E-5</v>
      </c>
    </row>
    <row r="40" spans="1:43">
      <c r="A40" s="7" t="s">
        <v>224</v>
      </c>
      <c r="B40" s="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1" spans="1:43">
      <c r="A41" s="56" t="s">
        <v>213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</row>
    <row r="42" spans="1:43">
      <c r="A42" s="8" t="s">
        <v>256</v>
      </c>
    </row>
    <row r="43" spans="1:43">
      <c r="A43" t="s">
        <v>254</v>
      </c>
      <c r="B43" s="104">
        <v>0.08</v>
      </c>
    </row>
    <row r="44" spans="1:43">
      <c r="A44" t="s">
        <v>255</v>
      </c>
      <c r="B44" s="104">
        <v>0.25</v>
      </c>
    </row>
    <row r="47" spans="1:43">
      <c r="A47" s="8" t="s">
        <v>257</v>
      </c>
      <c r="B47">
        <v>2015</v>
      </c>
      <c r="C47">
        <v>2017</v>
      </c>
      <c r="D47">
        <v>2020</v>
      </c>
      <c r="E47">
        <v>2030</v>
      </c>
      <c r="F47">
        <v>2040</v>
      </c>
      <c r="G47">
        <v>2050</v>
      </c>
      <c r="H47" s="164">
        <v>2060</v>
      </c>
    </row>
    <row r="48" spans="1:43">
      <c r="A48" t="s">
        <v>260</v>
      </c>
      <c r="C48">
        <f>'EIA Costs'!D100/'EIA Costs'!D96</f>
        <v>5.375</v>
      </c>
      <c r="D48">
        <f>'EIA Costs'!F100/'EIA Costs'!F96</f>
        <v>5.375</v>
      </c>
      <c r="E48">
        <f>'EIA Costs'!H100/'EIA Costs'!H96</f>
        <v>5.5</v>
      </c>
      <c r="F48">
        <f>'EIA Costs'!J100/'EIA Costs'!J96</f>
        <v>5.5</v>
      </c>
      <c r="G48">
        <f>'EIA Costs'!L100/'EIA Costs'!L96</f>
        <v>5.5</v>
      </c>
      <c r="H48">
        <f>'EIA Costs'!N100/'EIA Costs'!N96</f>
        <v>5.5</v>
      </c>
    </row>
    <row r="49" spans="1:43">
      <c r="A49" t="s">
        <v>261</v>
      </c>
      <c r="C49">
        <f>'EIA Costs'!D111/'EIA Costs'!D107</f>
        <v>16.5</v>
      </c>
      <c r="D49">
        <f>'EIA Costs'!F111/'EIA Costs'!F107</f>
        <v>16.5</v>
      </c>
      <c r="E49">
        <f>'EIA Costs'!G111/'EIA Costs'!G107</f>
        <v>16.5</v>
      </c>
      <c r="F49">
        <f>'EIA Costs'!H111/'EIA Costs'!H107</f>
        <v>16.5</v>
      </c>
      <c r="G49">
        <f>'EIA Costs'!I111/'EIA Costs'!I107</f>
        <v>16.5</v>
      </c>
      <c r="H49">
        <f>'EIA Costs'!J111/'EIA Costs'!J107</f>
        <v>16.5</v>
      </c>
    </row>
    <row r="50" spans="1:43">
      <c r="A50" t="s">
        <v>259</v>
      </c>
      <c r="B50" s="39">
        <f>'NREL EF Table 22'!D5</f>
        <v>96</v>
      </c>
      <c r="C50" s="105"/>
      <c r="D50" s="91">
        <f>'NREL EF Table 22'!D11</f>
        <v>85</v>
      </c>
      <c r="E50" s="91">
        <f>'NREL EF Table 22'!D17</f>
        <v>73</v>
      </c>
      <c r="F50" s="91">
        <f>'NREL EF Table 22'!D23</f>
        <v>65</v>
      </c>
      <c r="G50" s="91">
        <f>'NREL EF Table 22'!D29</f>
        <v>60.296369222717402</v>
      </c>
      <c r="H50" s="91">
        <f>'NREL EF Table 22'!D35</f>
        <v>60.296369222717402</v>
      </c>
    </row>
    <row r="52" spans="1:43">
      <c r="A52" s="8" t="s">
        <v>258</v>
      </c>
      <c r="B52">
        <v>2019</v>
      </c>
      <c r="C52">
        <v>2020</v>
      </c>
      <c r="D52">
        <v>2021</v>
      </c>
      <c r="E52">
        <v>2022</v>
      </c>
      <c r="F52">
        <v>2023</v>
      </c>
      <c r="G52">
        <v>2024</v>
      </c>
      <c r="H52">
        <v>2025</v>
      </c>
      <c r="I52">
        <v>2026</v>
      </c>
      <c r="J52">
        <v>2027</v>
      </c>
      <c r="K52">
        <v>2028</v>
      </c>
      <c r="L52">
        <v>2029</v>
      </c>
      <c r="M52">
        <v>2030</v>
      </c>
      <c r="N52">
        <v>2031</v>
      </c>
      <c r="O52">
        <v>2032</v>
      </c>
      <c r="P52">
        <v>2033</v>
      </c>
      <c r="Q52">
        <v>2034</v>
      </c>
      <c r="R52">
        <v>2035</v>
      </c>
      <c r="S52">
        <v>2036</v>
      </c>
      <c r="T52">
        <v>2037</v>
      </c>
      <c r="U52">
        <v>2038</v>
      </c>
      <c r="V52">
        <v>2039</v>
      </c>
      <c r="W52">
        <v>2040</v>
      </c>
      <c r="X52">
        <v>2041</v>
      </c>
      <c r="Y52">
        <v>2042</v>
      </c>
      <c r="Z52">
        <v>2043</v>
      </c>
      <c r="AA52">
        <v>2044</v>
      </c>
      <c r="AB52">
        <v>2045</v>
      </c>
      <c r="AC52">
        <v>2046</v>
      </c>
      <c r="AD52">
        <v>2047</v>
      </c>
      <c r="AE52">
        <v>2048</v>
      </c>
      <c r="AF52">
        <v>2049</v>
      </c>
      <c r="AG52">
        <v>2050</v>
      </c>
      <c r="AH52" s="164">
        <v>2051</v>
      </c>
      <c r="AI52" s="164">
        <v>2052</v>
      </c>
      <c r="AJ52" s="164">
        <v>2053</v>
      </c>
      <c r="AK52" s="164">
        <v>2054</v>
      </c>
      <c r="AL52" s="164">
        <v>2055</v>
      </c>
      <c r="AM52" s="164">
        <v>2056</v>
      </c>
      <c r="AN52" s="164">
        <v>2057</v>
      </c>
      <c r="AO52" s="164">
        <v>2058</v>
      </c>
      <c r="AP52" s="164">
        <v>2059</v>
      </c>
      <c r="AQ52" s="164">
        <v>2060</v>
      </c>
    </row>
    <row r="53" spans="1:43">
      <c r="A53" t="s">
        <v>264</v>
      </c>
      <c r="B53">
        <f>(TREND($C$48:$D$48,$C$47:$D$47,B$32))*(About!$A$53)</f>
        <v>5.0345453247389038</v>
      </c>
      <c r="C53">
        <f>(TREND($C$48:$D$48,$C$47:$D$47,C$32))*(About!$A$53)</f>
        <v>5.0345453247389038</v>
      </c>
      <c r="D53">
        <f>(TREND($D$48:$E$48,$D$47:$E$47,D$32))*(About!$A$53)</f>
        <v>5.0462535696801591</v>
      </c>
      <c r="E53">
        <f>(TREND($D$48:$E$48,$D$47:$E$47,E$32))*(About!$A$53)</f>
        <v>5.0579618146214118</v>
      </c>
      <c r="F53">
        <f>(TREND($D$48:$E$48,$D$47:$E$47,F$32))*(About!$A$53)</f>
        <v>5.0696700595626645</v>
      </c>
      <c r="G53">
        <f>(TREND($D$48:$E$48,$D$47:$E$47,G$32))*(About!$A$53)</f>
        <v>5.0813783045039171</v>
      </c>
      <c r="H53">
        <f>(TREND($D$48:$E$48,$D$47:$E$47,H$32))*(About!$A$53)</f>
        <v>5.0930865494451698</v>
      </c>
      <c r="I53">
        <f>(TREND($D$48:$E$48,$D$47:$E$47,I$32))*(About!$A$53)</f>
        <v>5.104794794386426</v>
      </c>
      <c r="J53">
        <f>(TREND($D$48:$E$48,$D$47:$E$47,J$32))*(About!$A$53)</f>
        <v>5.1165030393276787</v>
      </c>
      <c r="K53">
        <f>(TREND($D$48:$E$48,$D$47:$E$47,K$32))*(About!$A$53)</f>
        <v>5.1282112842689305</v>
      </c>
      <c r="L53">
        <f>(TREND($D$48:$E$48,$D$47:$E$47,L$32))*(About!$A$53)</f>
        <v>5.1399195292101831</v>
      </c>
      <c r="M53">
        <f>(TREND($D$48:$E$48,$D$47:$E$47,M$32))*(About!$A$53)</f>
        <v>5.1516277741514358</v>
      </c>
      <c r="N53">
        <f>(TREND($E$48:$G$48,$E$47:$G$47,N$32))*(About!$A$53)</f>
        <v>5.1516277741514358</v>
      </c>
      <c r="O53">
        <f>(TREND($E$48:$G$48,$E$47:$G$47,O$32))*(About!$A$53)</f>
        <v>5.1516277741514358</v>
      </c>
      <c r="P53">
        <f>(TREND($E$48:$G$48,$E$47:$G$47,P$32))*(About!$A$53)</f>
        <v>5.1516277741514358</v>
      </c>
      <c r="Q53">
        <f>(TREND($E$48:$G$48,$E$47:$G$47,Q$32))*(About!$A$53)</f>
        <v>5.1516277741514358</v>
      </c>
      <c r="R53">
        <f>(TREND($E$48:$G$48,$E$47:$G$47,R$32))*(About!$A$53)</f>
        <v>5.1516277741514358</v>
      </c>
      <c r="S53">
        <f>(TREND($E$48:$G$48,$E$47:$G$47,S$32))*(About!$A$53)</f>
        <v>5.1516277741514358</v>
      </c>
      <c r="T53">
        <f>(TREND($E$48:$G$48,$E$47:$G$47,T$32))*(About!$A$53)</f>
        <v>5.1516277741514358</v>
      </c>
      <c r="U53">
        <f>(TREND($E$48:$G$48,$E$47:$G$47,U$32))*(About!$A$53)</f>
        <v>5.1516277741514358</v>
      </c>
      <c r="V53">
        <f>(TREND($E$48:$G$48,$E$47:$G$47,V$32))*(About!$A$53)</f>
        <v>5.1516277741514358</v>
      </c>
      <c r="W53">
        <f>(TREND($E$48:$G$48,$E$47:$G$47,W$32))*(About!$A$53)</f>
        <v>5.1516277741514358</v>
      </c>
      <c r="X53">
        <f>(TREND($E$48:$G$48,$E$47:$G$47,X$32))*(About!$A$53)</f>
        <v>5.1516277741514358</v>
      </c>
      <c r="Y53">
        <f>(TREND($E$48:$G$48,$E$47:$G$47,Y$32))*(About!$A$53)</f>
        <v>5.1516277741514358</v>
      </c>
      <c r="Z53">
        <f>(TREND($E$48:$G$48,$E$47:$G$47,Z$32))*(About!$A$53)</f>
        <v>5.1516277741514358</v>
      </c>
      <c r="AA53">
        <f>(TREND($E$48:$G$48,$E$47:$G$47,AA$32))*(About!$A$53)</f>
        <v>5.1516277741514358</v>
      </c>
      <c r="AB53">
        <f>(TREND($E$48:$G$48,$E$47:$G$47,AB$32))*(About!$A$53)</f>
        <v>5.1516277741514358</v>
      </c>
      <c r="AC53">
        <f>(TREND($E$48:$G$48,$E$47:$G$47,AC$32))*(About!$A$53)</f>
        <v>5.1516277741514358</v>
      </c>
      <c r="AD53">
        <f>(TREND($E$48:$G$48,$E$47:$G$47,AD$32))*(About!$A$53)</f>
        <v>5.1516277741514358</v>
      </c>
      <c r="AE53">
        <f>(TREND($E$48:$G$48,$E$47:$G$47,AE$32))*(About!$A$53)</f>
        <v>5.1516277741514358</v>
      </c>
      <c r="AF53">
        <f>(TREND($E$48:$G$48,$E$47:$G$47,AF$32))*(About!$A$53)</f>
        <v>5.1516277741514358</v>
      </c>
      <c r="AG53">
        <f>(TREND($E$48:$G$48,$E$47:$G$47,AG$32))*(About!$A$53)</f>
        <v>5.1516277741514358</v>
      </c>
      <c r="AH53">
        <f>(TREND($E$48:$G$48,$E$47:$G$47,AH$32))*(About!$A$53)</f>
        <v>5.1516277741514358</v>
      </c>
      <c r="AI53">
        <f>(TREND($E$48:$G$48,$E$47:$G$47,AI$32))*(About!$A$53)</f>
        <v>5.1516277741514358</v>
      </c>
      <c r="AJ53">
        <f>(TREND($E$48:$G$48,$E$47:$G$47,AJ$32))*(About!$A$53)</f>
        <v>5.1516277741514358</v>
      </c>
      <c r="AK53">
        <f>(TREND($E$48:$G$48,$E$47:$G$47,AK$32))*(About!$A$53)</f>
        <v>5.1516277741514358</v>
      </c>
      <c r="AL53">
        <f>(TREND($E$48:$G$48,$E$47:$G$47,AL$32))*(About!$A$53)</f>
        <v>5.1516277741514358</v>
      </c>
      <c r="AM53">
        <f>(TREND($E$48:$G$48,$E$47:$G$47,AM$32))*(About!$A$53)</f>
        <v>5.1516277741514358</v>
      </c>
      <c r="AN53">
        <f>(TREND($E$48:$G$48,$E$47:$G$47,AN$32))*(About!$A$53)</f>
        <v>5.1516277741514358</v>
      </c>
      <c r="AO53">
        <f>(TREND($E$48:$G$48,$E$47:$G$47,AO$32))*(About!$A$53)</f>
        <v>5.1516277741514358</v>
      </c>
      <c r="AP53">
        <f>(TREND($E$48:$G$48,$E$47:$G$47,AP$32))*(About!$A$53)</f>
        <v>5.1516277741514358</v>
      </c>
      <c r="AQ53">
        <f>(TREND($E$48:$G$48,$E$47:$G$47,AQ$32))*(About!$A$53)</f>
        <v>5.1516277741514358</v>
      </c>
    </row>
    <row r="54" spans="1:43">
      <c r="A54" t="s">
        <v>265</v>
      </c>
      <c r="B54">
        <f>(TREND($C$49:$D$49,$C$47:$D$47,B$32))*(About!$A$53)</f>
        <v>15.454883322454307</v>
      </c>
      <c r="C54">
        <f>(TREND($C$49:$D$49,$C$47:$D$47,C$32))*(About!$A$53)</f>
        <v>15.454883322454307</v>
      </c>
      <c r="D54">
        <f>(TREND($D$49:$E$49,$D$47:$E$47,D$32))*(About!$A$53)</f>
        <v>15.454883322454307</v>
      </c>
      <c r="E54">
        <f>(TREND($D$49:$E$49,$D$47:$E$47,E$32))*(About!$A$53)</f>
        <v>15.454883322454307</v>
      </c>
      <c r="F54">
        <f>(TREND($D$49:$E$49,$D$47:$E$47,F$32))*(About!$A$53)</f>
        <v>15.454883322454307</v>
      </c>
      <c r="G54">
        <f>(TREND($D$49:$E$49,$D$47:$E$47,G$32))*(About!$A$53)</f>
        <v>15.454883322454307</v>
      </c>
      <c r="H54">
        <f>(TREND($D$49:$E$49,$D$47:$E$47,H$32))*(About!$A$53)</f>
        <v>15.454883322454307</v>
      </c>
      <c r="I54">
        <f>(TREND($D$49:$E$49,$D$47:$E$47,I$32))*(About!$A$53)</f>
        <v>15.454883322454307</v>
      </c>
      <c r="J54">
        <f>(TREND($D$49:$E$49,$D$47:$E$47,J$32))*(About!$A$53)</f>
        <v>15.454883322454307</v>
      </c>
      <c r="K54">
        <f>(TREND($D$49:$E$49,$D$47:$E$47,K$32))*(About!$A$53)</f>
        <v>15.454883322454307</v>
      </c>
      <c r="L54">
        <f>(TREND($D$49:$E$49,$D$47:$E$47,L$32))*(About!$A$53)</f>
        <v>15.454883322454307</v>
      </c>
      <c r="M54">
        <f>(TREND($D$49:$E$49,$D$47:$E$47,M$32))*(About!$A$53)</f>
        <v>15.454883322454307</v>
      </c>
      <c r="N54">
        <f>(TREND($E$49:$G$49,$E$47:$G$47,N$32))*(About!$A$53)</f>
        <v>15.454883322454307</v>
      </c>
      <c r="O54">
        <f>(TREND($E$49:$G$49,$E$47:$G$47,O$32))*(About!$A$53)</f>
        <v>15.454883322454307</v>
      </c>
      <c r="P54">
        <f>(TREND($E$49:$G$49,$E$47:$G$47,P$32))*(About!$A$53)</f>
        <v>15.454883322454307</v>
      </c>
      <c r="Q54">
        <f>(TREND($E$49:$G$49,$E$47:$G$47,Q$32))*(About!$A$53)</f>
        <v>15.454883322454307</v>
      </c>
      <c r="R54">
        <f>(TREND($E$49:$G$49,$E$47:$G$47,R$32))*(About!$A$53)</f>
        <v>15.454883322454307</v>
      </c>
      <c r="S54">
        <f>(TREND($E$49:$G$49,$E$47:$G$47,S$32))*(About!$A$53)</f>
        <v>15.454883322454307</v>
      </c>
      <c r="T54">
        <f>(TREND($E$49:$G$49,$E$47:$G$47,T$32))*(About!$A$53)</f>
        <v>15.454883322454307</v>
      </c>
      <c r="U54">
        <f>(TREND($E$49:$G$49,$E$47:$G$47,U$32))*(About!$A$53)</f>
        <v>15.454883322454307</v>
      </c>
      <c r="V54">
        <f>(TREND($E$49:$G$49,$E$47:$G$47,V$32))*(About!$A$53)</f>
        <v>15.454883322454307</v>
      </c>
      <c r="W54">
        <f>(TREND($E$49:$G$49,$E$47:$G$47,W$32))*(About!$A$53)</f>
        <v>15.454883322454307</v>
      </c>
      <c r="X54">
        <f>(TREND($E$49:$G$49,$E$47:$G$47,X$32))*(About!$A$53)</f>
        <v>15.454883322454307</v>
      </c>
      <c r="Y54">
        <f>(TREND($E$49:$G$49,$E$47:$G$47,Y$32))*(About!$A$53)</f>
        <v>15.454883322454307</v>
      </c>
      <c r="Z54">
        <f>(TREND($E$49:$G$49,$E$47:$G$47,Z$32))*(About!$A$53)</f>
        <v>15.454883322454307</v>
      </c>
      <c r="AA54">
        <f>(TREND($E$49:$G$49,$E$47:$G$47,AA$32))*(About!$A$53)</f>
        <v>15.454883322454307</v>
      </c>
      <c r="AB54">
        <f>(TREND($E$49:$G$49,$E$47:$G$47,AB$32))*(About!$A$53)</f>
        <v>15.454883322454307</v>
      </c>
      <c r="AC54">
        <f>(TREND($E$49:$G$49,$E$47:$G$47,AC$32))*(About!$A$53)</f>
        <v>15.454883322454307</v>
      </c>
      <c r="AD54">
        <f>(TREND($E$49:$G$49,$E$47:$G$47,AD$32))*(About!$A$53)</f>
        <v>15.454883322454307</v>
      </c>
      <c r="AE54">
        <f>(TREND($E$49:$G$49,$E$47:$G$47,AE$32))*(About!$A$53)</f>
        <v>15.454883322454307</v>
      </c>
      <c r="AF54">
        <f>(TREND($E$49:$G$49,$E$47:$G$47,AF$32))*(About!$A$53)</f>
        <v>15.454883322454307</v>
      </c>
      <c r="AG54">
        <f>(TREND($E$49:$G$49,$E$47:$G$47,AG$32))*(About!$A$53)</f>
        <v>15.454883322454307</v>
      </c>
      <c r="AH54">
        <f>(TREND($E$49:$G$49,$E$47:$G$47,AH$32))*(About!$A$53)</f>
        <v>15.454883322454307</v>
      </c>
      <c r="AI54">
        <f>(TREND($E$49:$G$49,$E$47:$G$47,AI$32))*(About!$A$53)</f>
        <v>15.454883322454307</v>
      </c>
      <c r="AJ54">
        <f>(TREND($E$49:$G$49,$E$47:$G$47,AJ$32))*(About!$A$53)</f>
        <v>15.454883322454307</v>
      </c>
      <c r="AK54">
        <f>(TREND($E$49:$G$49,$E$47:$G$47,AK$32))*(About!$A$53)</f>
        <v>15.454883322454307</v>
      </c>
      <c r="AL54">
        <f>(TREND($E$49:$G$49,$E$47:$G$47,AL$32))*(About!$A$53)</f>
        <v>15.454883322454307</v>
      </c>
      <c r="AM54">
        <f>(TREND($E$49:$G$49,$E$47:$G$47,AM$32))*(About!$A$53)</f>
        <v>15.454883322454307</v>
      </c>
      <c r="AN54">
        <f>(TREND($E$49:$G$49,$E$47:$G$47,AN$32))*(About!$A$53)</f>
        <v>15.454883322454307</v>
      </c>
      <c r="AO54">
        <f>(TREND($E$49:$G$49,$E$47:$G$47,AO$32))*(About!$A$53)</f>
        <v>15.454883322454307</v>
      </c>
      <c r="AP54">
        <f>(TREND($E$49:$G$49,$E$47:$G$47,AP$32))*(About!$A$53)</f>
        <v>15.454883322454307</v>
      </c>
      <c r="AQ54">
        <f>(TREND($E$49:$G$49,$E$47:$G$47,AQ$32))*(About!$A$53)</f>
        <v>15.454883322454307</v>
      </c>
    </row>
    <row r="55" spans="1:43">
      <c r="A55" t="s">
        <v>266</v>
      </c>
      <c r="B55">
        <f>((B50-D50)/(B47-D47)*(B52-C52)*(About!$A$55))+C55</f>
        <v>83.416720345656572</v>
      </c>
      <c r="C55">
        <f>(TREND($D$50:$E$50,$D$47:$E$47,C$32))*(About!$A$55)</f>
        <v>81.312170061706524</v>
      </c>
      <c r="D55">
        <f>(TREND($D$50:$E$50,$D$47:$E$47,D$32))*(About!$A$55)</f>
        <v>80.164233543188487</v>
      </c>
      <c r="E55">
        <f>(TREND($D$50:$E$50,$D$47:$E$47,E$32))*(About!$A$55)</f>
        <v>79.016297024670024</v>
      </c>
      <c r="F55">
        <f>(TREND($D$50:$E$50,$D$47:$E$47,F$32))*(About!$A$55)</f>
        <v>77.868360506151987</v>
      </c>
      <c r="G55">
        <f>(TREND($D$50:$E$50,$D$47:$E$47,G$32))*(About!$A$55)</f>
        <v>76.72042398763395</v>
      </c>
      <c r="H55">
        <f>(TREND($D$50:$E$50,$D$47:$E$47,H$32))*(About!$A$55)</f>
        <v>75.572487469115472</v>
      </c>
      <c r="I55">
        <f>(TREND($D$50:$E$50,$D$47:$E$47,I$32))*(About!$A$55)</f>
        <v>74.42455095059745</v>
      </c>
      <c r="J55">
        <f>(TREND($D$50:$E$50,$D$47:$E$47,J$32))*(About!$A$55)</f>
        <v>73.276614432078972</v>
      </c>
      <c r="K55">
        <f>(TREND($D$50:$E$50,$D$47:$E$47,K$32))*(About!$A$55)</f>
        <v>72.128677913560935</v>
      </c>
      <c r="L55">
        <f>(TREND($D$50:$E$50,$D$47:$E$47,L$32))*(About!$A$55)</f>
        <v>70.980741395042898</v>
      </c>
      <c r="M55">
        <f>(TREND($D$50:$E$50,$D$47:$E$47,M$32))*(About!$A$55)</f>
        <v>69.832804876524435</v>
      </c>
      <c r="N55">
        <f>(TREND($E$50:$G$50,$E$47:$G$47,N$32))*(About!$A$55)</f>
        <v>68.699622777166127</v>
      </c>
      <c r="O55">
        <f>(TREND($E$50:$G$50,$E$47:$G$47,O$32))*(About!$A$55)</f>
        <v>68.091999373540531</v>
      </c>
      <c r="P55">
        <f>(TREND($E$50:$G$50,$E$47:$G$47,P$32))*(About!$A$55)</f>
        <v>67.484375969914936</v>
      </c>
      <c r="Q55">
        <f>(TREND($E$50:$G$50,$E$47:$G$47,Q$32))*(About!$A$55)</f>
        <v>66.876752566289341</v>
      </c>
      <c r="R55">
        <f>(TREND($E$50:$G$50,$E$47:$G$47,R$32))*(About!$A$55)</f>
        <v>66.269129162663745</v>
      </c>
      <c r="S55">
        <f>(TREND($E$50:$G$50,$E$47:$G$47,S$32))*(About!$A$55)</f>
        <v>65.66150575903815</v>
      </c>
      <c r="T55">
        <f>(TREND($E$50:$G$50,$E$47:$G$47,T$32))*(About!$A$55)</f>
        <v>65.053882355412554</v>
      </c>
      <c r="U55">
        <f>(TREND($E$50:$G$50,$E$47:$G$47,U$32))*(About!$A$55)</f>
        <v>64.446258951786959</v>
      </c>
      <c r="V55">
        <f>(TREND($E$50:$G$50,$E$47:$G$47,V$32))*(About!$A$55)</f>
        <v>63.838635548161371</v>
      </c>
      <c r="W55">
        <f>(TREND($E$50:$G$50,$E$47:$G$47,W$32))*(About!$A$55)</f>
        <v>63.231012144535555</v>
      </c>
      <c r="X55">
        <f>(TREND($E$50:$G$50,$E$47:$G$47,X$32))*(About!$A$55)</f>
        <v>62.623388740909959</v>
      </c>
      <c r="Y55">
        <f>(TREND($E$50:$G$50,$E$47:$G$47,Y$32))*(About!$A$55)</f>
        <v>62.015765337284364</v>
      </c>
      <c r="Z55">
        <f>(TREND($E$50:$G$50,$E$47:$G$47,Z$32))*(About!$A$55)</f>
        <v>61.408141933658769</v>
      </c>
      <c r="AA55">
        <f>(TREND($E$50:$G$50,$E$47:$G$47,AA$32))*(About!$A$55)</f>
        <v>60.80051853003318</v>
      </c>
      <c r="AB55">
        <f>(TREND($E$50:$G$50,$E$47:$G$47,AB$32))*(About!$A$55)</f>
        <v>60.192895126407585</v>
      </c>
      <c r="AC55">
        <f>(TREND($E$50:$G$50,$E$47:$G$47,AC$32))*(About!$A$55)</f>
        <v>59.585271722781989</v>
      </c>
      <c r="AD55">
        <f>(TREND($E$50:$G$50,$E$47:$G$47,AD$32))*(About!$A$55)</f>
        <v>58.977648319156394</v>
      </c>
      <c r="AE55">
        <f>(TREND($E$50:$G$50,$E$47:$G$47,AE$32))*(About!$A$55)</f>
        <v>58.370024915530799</v>
      </c>
      <c r="AF55">
        <f>(TREND($E$50:$G$50,$E$47:$G$47,AF$32))*(About!$A$55)</f>
        <v>57.762401511905203</v>
      </c>
      <c r="AG55">
        <f>(TREND($E$50:$G$50,$E$47:$G$47,AG$32))*(About!$A$55)</f>
        <v>57.154778108279608</v>
      </c>
      <c r="AH55">
        <f>(TREND($E$50:$G$50,$E$47:$G$47,AH$32))*(About!$A$55)</f>
        <v>56.547154704654012</v>
      </c>
      <c r="AI55">
        <f>(TREND($E$50:$G$50,$E$47:$G$47,AI$32))*(About!$A$55)</f>
        <v>55.939531301028417</v>
      </c>
      <c r="AJ55">
        <f>(TREND($E$50:$G$50,$E$47:$G$47,AJ$32))*(About!$A$55)</f>
        <v>55.331907897402822</v>
      </c>
      <c r="AK55">
        <f>(TREND($E$50:$G$50,$E$47:$G$47,AK$32))*(About!$A$55)</f>
        <v>54.724284493777233</v>
      </c>
      <c r="AL55">
        <f>(TREND($E$50:$G$50,$E$47:$G$47,AL$32))*(About!$A$55)</f>
        <v>54.116661090151638</v>
      </c>
      <c r="AM55">
        <f>(TREND($E$50:$G$50,$E$47:$G$47,AM$32))*(About!$A$55)</f>
        <v>53.509037686526042</v>
      </c>
      <c r="AN55">
        <f>(TREND($E$50:$G$50,$E$47:$G$47,AN$32))*(About!$A$55)</f>
        <v>52.901414282900227</v>
      </c>
      <c r="AO55">
        <f>(TREND($E$50:$G$50,$E$47:$G$47,AO$32))*(About!$A$55)</f>
        <v>52.293790879274631</v>
      </c>
      <c r="AP55">
        <f>(TREND($E$50:$G$50,$E$47:$G$47,AP$32))*(About!$A$55)</f>
        <v>51.686167475649043</v>
      </c>
      <c r="AQ55">
        <f>(TREND($E$50:$G$50,$E$47:$G$47,AQ$32))*(About!$A$55)</f>
        <v>51.078544072023448</v>
      </c>
    </row>
    <row r="57" spans="1:43">
      <c r="A57" s="8" t="s">
        <v>241</v>
      </c>
      <c r="B57">
        <v>2019</v>
      </c>
      <c r="C57">
        <v>2020</v>
      </c>
      <c r="D57">
        <v>2021</v>
      </c>
      <c r="E57">
        <v>2022</v>
      </c>
      <c r="F57">
        <v>2023</v>
      </c>
      <c r="G57">
        <v>2024</v>
      </c>
      <c r="H57">
        <v>2025</v>
      </c>
      <c r="I57">
        <v>2026</v>
      </c>
      <c r="J57">
        <v>2027</v>
      </c>
      <c r="K57">
        <v>2028</v>
      </c>
      <c r="L57">
        <v>2029</v>
      </c>
      <c r="M57">
        <v>2030</v>
      </c>
      <c r="N57">
        <v>2031</v>
      </c>
      <c r="O57">
        <v>2032</v>
      </c>
      <c r="P57">
        <v>2033</v>
      </c>
      <c r="Q57">
        <v>2034</v>
      </c>
      <c r="R57">
        <v>2035</v>
      </c>
      <c r="S57">
        <v>2036</v>
      </c>
      <c r="T57">
        <v>2037</v>
      </c>
      <c r="U57">
        <v>2038</v>
      </c>
      <c r="V57">
        <v>2039</v>
      </c>
      <c r="W57">
        <v>2040</v>
      </c>
      <c r="X57">
        <v>2041</v>
      </c>
      <c r="Y57">
        <v>2042</v>
      </c>
      <c r="Z57">
        <v>2043</v>
      </c>
      <c r="AA57">
        <v>2044</v>
      </c>
      <c r="AB57">
        <v>2045</v>
      </c>
      <c r="AC57">
        <v>2046</v>
      </c>
      <c r="AD57">
        <v>2047</v>
      </c>
      <c r="AE57">
        <v>2048</v>
      </c>
      <c r="AF57">
        <v>2049</v>
      </c>
      <c r="AG57">
        <v>2050</v>
      </c>
      <c r="AH57" s="164">
        <v>2051</v>
      </c>
      <c r="AI57" s="164">
        <v>2052</v>
      </c>
      <c r="AJ57" s="164">
        <v>2053</v>
      </c>
      <c r="AK57" s="164">
        <v>2054</v>
      </c>
      <c r="AL57" s="164">
        <v>2055</v>
      </c>
      <c r="AM57" s="164">
        <v>2056</v>
      </c>
      <c r="AN57" s="164">
        <v>2057</v>
      </c>
      <c r="AO57" s="164">
        <v>2058</v>
      </c>
      <c r="AP57" s="164">
        <v>2059</v>
      </c>
      <c r="AQ57" s="164">
        <v>2060</v>
      </c>
    </row>
    <row r="58" spans="1:43">
      <c r="A58" t="s">
        <v>13</v>
      </c>
      <c r="B58" s="40">
        <f>(B55-B53)/(8760*10^3*$B$43)</f>
        <v>1.1184671093167476E-4</v>
      </c>
      <c r="C58" s="40">
        <f t="shared" ref="C58:AG58" si="15">(C55-C53)/(8760*10^3*$B$43)</f>
        <v>1.0884364260412047E-4</v>
      </c>
      <c r="D58" s="40">
        <f t="shared" si="15"/>
        <v>1.0718889836402444E-4</v>
      </c>
      <c r="E58" s="40">
        <f t="shared" si="15"/>
        <v>1.0553415412392782E-4</v>
      </c>
      <c r="F58" s="40">
        <f t="shared" si="15"/>
        <v>1.0387940988383179E-4</v>
      </c>
      <c r="G58" s="40">
        <f t="shared" si="15"/>
        <v>1.0222466564373579E-4</v>
      </c>
      <c r="H58" s="40">
        <f t="shared" si="15"/>
        <v>1.0056992140363913E-4</v>
      </c>
      <c r="I58" s="40">
        <f t="shared" si="15"/>
        <v>9.8915177163543138E-5</v>
      </c>
      <c r="J58" s="40">
        <f t="shared" si="15"/>
        <v>9.7260432923446482E-5</v>
      </c>
      <c r="K58" s="40">
        <f t="shared" si="15"/>
        <v>9.5605688683350463E-5</v>
      </c>
      <c r="L58" s="40">
        <f t="shared" si="15"/>
        <v>9.3950944443254431E-5</v>
      </c>
      <c r="M58" s="40">
        <f t="shared" si="15"/>
        <v>9.2296200203157816E-5</v>
      </c>
      <c r="N58" s="40">
        <f t="shared" si="15"/>
        <v>9.0679216613890823E-5</v>
      </c>
      <c r="O58" s="40">
        <f t="shared" si="15"/>
        <v>8.9812174085886264E-5</v>
      </c>
      <c r="P58" s="40">
        <f t="shared" si="15"/>
        <v>8.8945131557881704E-5</v>
      </c>
      <c r="Q58" s="40">
        <f t="shared" si="15"/>
        <v>8.8078089029877145E-5</v>
      </c>
      <c r="R58" s="40">
        <f t="shared" si="15"/>
        <v>8.7211046501872586E-5</v>
      </c>
      <c r="S58" s="40">
        <f t="shared" si="15"/>
        <v>8.6344003973868027E-5</v>
      </c>
      <c r="T58" s="40">
        <f t="shared" si="15"/>
        <v>8.5476961445863468E-5</v>
      </c>
      <c r="U58" s="40">
        <f t="shared" si="15"/>
        <v>8.4609918917858909E-5</v>
      </c>
      <c r="V58" s="40">
        <f t="shared" si="15"/>
        <v>8.3742876389854363E-5</v>
      </c>
      <c r="W58" s="40">
        <f t="shared" si="15"/>
        <v>8.2875833861849478E-5</v>
      </c>
      <c r="X58" s="40">
        <f t="shared" si="15"/>
        <v>8.2008791333844919E-5</v>
      </c>
      <c r="Y58" s="40">
        <f t="shared" si="15"/>
        <v>8.114174880584036E-5</v>
      </c>
      <c r="Z58" s="40">
        <f t="shared" si="15"/>
        <v>8.0274706277835801E-5</v>
      </c>
      <c r="AA58" s="40">
        <f t="shared" si="15"/>
        <v>7.9407663749831255E-5</v>
      </c>
      <c r="AB58" s="40">
        <f t="shared" si="15"/>
        <v>7.8540621221826696E-5</v>
      </c>
      <c r="AC58" s="40">
        <f t="shared" si="15"/>
        <v>7.7673578693822137E-5</v>
      </c>
      <c r="AD58" s="40">
        <f t="shared" si="15"/>
        <v>7.6806536165817578E-5</v>
      </c>
      <c r="AE58" s="40">
        <f t="shared" si="15"/>
        <v>7.5939493637813019E-5</v>
      </c>
      <c r="AF58" s="40">
        <f t="shared" si="15"/>
        <v>7.5072451109808459E-5</v>
      </c>
      <c r="AG58" s="40">
        <f t="shared" si="15"/>
        <v>7.42054085818039E-5</v>
      </c>
      <c r="AH58" s="40">
        <f t="shared" ref="AH58:AQ58" si="16">(AH55-AH53)/(8760*10^3*$B$43)</f>
        <v>7.3338366053799341E-5</v>
      </c>
      <c r="AI58" s="40">
        <f t="shared" si="16"/>
        <v>7.2471323525794782E-5</v>
      </c>
      <c r="AJ58" s="40">
        <f t="shared" si="16"/>
        <v>7.1604280997790223E-5</v>
      </c>
      <c r="AK58" s="40">
        <f t="shared" si="16"/>
        <v>7.0737238469785664E-5</v>
      </c>
      <c r="AL58" s="40">
        <f t="shared" si="16"/>
        <v>6.9870195941781104E-5</v>
      </c>
      <c r="AM58" s="40">
        <f t="shared" si="16"/>
        <v>6.9003153413776545E-5</v>
      </c>
      <c r="AN58" s="40">
        <f t="shared" si="16"/>
        <v>6.8136110885771674E-5</v>
      </c>
      <c r="AO58" s="40">
        <f t="shared" si="16"/>
        <v>6.7269068357767115E-5</v>
      </c>
      <c r="AP58" s="40">
        <f t="shared" si="16"/>
        <v>6.6402025829762569E-5</v>
      </c>
      <c r="AQ58" s="40">
        <f t="shared" si="16"/>
        <v>6.553498330175801E-5</v>
      </c>
    </row>
    <row r="59" spans="1:43">
      <c r="A59" t="s">
        <v>14</v>
      </c>
      <c r="B59" s="40">
        <f>(B55-B54)/(8760*10^3*$B$43)</f>
        <v>9.6977507167811454E-5</v>
      </c>
      <c r="C59" s="40">
        <f t="shared" ref="C59:AG59" si="17">(C55-C54)/(8760*10^3*$B$43)</f>
        <v>9.3974438840257161E-5</v>
      </c>
      <c r="D59" s="40">
        <f t="shared" si="17"/>
        <v>9.2336401570682338E-5</v>
      </c>
      <c r="E59" s="40">
        <f t="shared" si="17"/>
        <v>9.0698364301106905E-5</v>
      </c>
      <c r="F59" s="40">
        <f t="shared" si="17"/>
        <v>8.9060327031532081E-5</v>
      </c>
      <c r="G59" s="40">
        <f t="shared" si="17"/>
        <v>8.7422289761957258E-5</v>
      </c>
      <c r="H59" s="40">
        <f t="shared" si="17"/>
        <v>8.5784252492381797E-5</v>
      </c>
      <c r="I59" s="40">
        <f t="shared" si="17"/>
        <v>8.4146215222807001E-5</v>
      </c>
      <c r="J59" s="40">
        <f t="shared" si="17"/>
        <v>8.250817795323154E-5</v>
      </c>
      <c r="K59" s="40">
        <f t="shared" si="17"/>
        <v>8.0870140683656717E-5</v>
      </c>
      <c r="L59" s="40">
        <f t="shared" si="17"/>
        <v>7.9232103414081893E-5</v>
      </c>
      <c r="M59" s="40">
        <f t="shared" si="17"/>
        <v>7.759406614450646E-5</v>
      </c>
      <c r="N59" s="40">
        <f t="shared" si="17"/>
        <v>7.5977082555239467E-5</v>
      </c>
      <c r="O59" s="40">
        <f t="shared" si="17"/>
        <v>7.5110040027234908E-5</v>
      </c>
      <c r="P59" s="40">
        <f t="shared" si="17"/>
        <v>7.4242997499230349E-5</v>
      </c>
      <c r="Q59" s="40">
        <f t="shared" si="17"/>
        <v>7.337595497122579E-5</v>
      </c>
      <c r="R59" s="40">
        <f t="shared" si="17"/>
        <v>7.2508912443221231E-5</v>
      </c>
      <c r="S59" s="40">
        <f t="shared" si="17"/>
        <v>7.1641869915216671E-5</v>
      </c>
      <c r="T59" s="40">
        <f t="shared" si="17"/>
        <v>7.0774827387212112E-5</v>
      </c>
      <c r="U59" s="40">
        <f t="shared" si="17"/>
        <v>6.9907784859207553E-5</v>
      </c>
      <c r="V59" s="40">
        <f t="shared" si="17"/>
        <v>6.9040742331203007E-5</v>
      </c>
      <c r="W59" s="40">
        <f t="shared" si="17"/>
        <v>6.8173699803198123E-5</v>
      </c>
      <c r="X59" s="40">
        <f t="shared" si="17"/>
        <v>6.7306657275193564E-5</v>
      </c>
      <c r="Y59" s="40">
        <f t="shared" si="17"/>
        <v>6.6439614747189005E-5</v>
      </c>
      <c r="Z59" s="40">
        <f t="shared" si="17"/>
        <v>6.5572572219184445E-5</v>
      </c>
      <c r="AA59" s="40">
        <f t="shared" si="17"/>
        <v>6.47055296911799E-5</v>
      </c>
      <c r="AB59" s="40">
        <f t="shared" si="17"/>
        <v>6.3838487163175341E-5</v>
      </c>
      <c r="AC59" s="40">
        <f t="shared" si="17"/>
        <v>6.2971444635170781E-5</v>
      </c>
      <c r="AD59" s="40">
        <f t="shared" si="17"/>
        <v>6.2104402107166222E-5</v>
      </c>
      <c r="AE59" s="40">
        <f t="shared" si="17"/>
        <v>6.1237359579161663E-5</v>
      </c>
      <c r="AF59" s="40">
        <f t="shared" si="17"/>
        <v>6.0370317051157097E-5</v>
      </c>
      <c r="AG59" s="40">
        <f t="shared" si="17"/>
        <v>5.9503274523152538E-5</v>
      </c>
      <c r="AH59" s="40">
        <f t="shared" ref="AH59:AQ59" si="18">(AH55-AH54)/(8760*10^3*$B$43)</f>
        <v>5.8636231995147979E-5</v>
      </c>
      <c r="AI59" s="40">
        <f t="shared" si="18"/>
        <v>5.776918946714342E-5</v>
      </c>
      <c r="AJ59" s="40">
        <f t="shared" si="18"/>
        <v>5.690214693913886E-5</v>
      </c>
      <c r="AK59" s="40">
        <f t="shared" si="18"/>
        <v>5.6035104411134315E-5</v>
      </c>
      <c r="AL59" s="40">
        <f t="shared" si="18"/>
        <v>5.5168061883129756E-5</v>
      </c>
      <c r="AM59" s="40">
        <f t="shared" si="18"/>
        <v>5.430101935512519E-5</v>
      </c>
      <c r="AN59" s="40">
        <f t="shared" si="18"/>
        <v>5.3433976827120319E-5</v>
      </c>
      <c r="AO59" s="40">
        <f t="shared" si="18"/>
        <v>5.256693429911576E-5</v>
      </c>
      <c r="AP59" s="40">
        <f t="shared" si="18"/>
        <v>5.1699891771111207E-5</v>
      </c>
      <c r="AQ59" s="40">
        <f t="shared" si="18"/>
        <v>5.0832849243106648E-5</v>
      </c>
    </row>
    <row r="61" spans="1:43">
      <c r="A61" s="56" t="s">
        <v>223</v>
      </c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</row>
    <row r="62" spans="1:43">
      <c r="A62" s="8" t="s">
        <v>256</v>
      </c>
    </row>
    <row r="63" spans="1:43">
      <c r="A63" t="s">
        <v>254</v>
      </c>
      <c r="B63" s="104">
        <v>0.08</v>
      </c>
    </row>
    <row r="64" spans="1:43">
      <c r="A64" t="s">
        <v>255</v>
      </c>
      <c r="B64" s="104">
        <v>0.25</v>
      </c>
    </row>
    <row r="67" spans="1:43">
      <c r="A67" s="8" t="s">
        <v>257</v>
      </c>
      <c r="B67">
        <v>2015</v>
      </c>
      <c r="C67">
        <v>2017</v>
      </c>
      <c r="D67">
        <v>2020</v>
      </c>
      <c r="E67">
        <v>2030</v>
      </c>
      <c r="F67">
        <v>2040</v>
      </c>
      <c r="G67">
        <v>2050</v>
      </c>
      <c r="H67" s="164">
        <v>2060</v>
      </c>
    </row>
    <row r="68" spans="1:43">
      <c r="A68" t="s">
        <v>260</v>
      </c>
      <c r="C68">
        <f>AVERAGE('EIA Costs'!D134:D135)/'EIA Costs'!D131</f>
        <v>19.472361809045225</v>
      </c>
      <c r="D68">
        <f>AVERAGE('EIA Costs'!G134:G135)/'EIA Costs'!G131</f>
        <v>19.472361809045225</v>
      </c>
      <c r="E68">
        <f>AVERAGE('EIA Costs'!I134:I135)/'EIA Costs'!I131</f>
        <v>19.472361809045225</v>
      </c>
      <c r="F68">
        <f>AVERAGE('EIA Costs'!K134:K135)/'EIA Costs'!K131</f>
        <v>19.472361809045225</v>
      </c>
      <c r="G68">
        <f>AVERAGE('EIA Costs'!M134:M135)/'EIA Costs'!M131</f>
        <v>19.472361809045225</v>
      </c>
      <c r="H68">
        <f>AVERAGE('EIA Costs'!O134:O135)/'EIA Costs'!O131</f>
        <v>19.472361809045225</v>
      </c>
      <c r="K68" s="40"/>
    </row>
    <row r="69" spans="1:43">
      <c r="A69" t="s">
        <v>261</v>
      </c>
      <c r="C69">
        <f>'EIA Costs'!D148/'EIA Costs'!D144</f>
        <v>17.333333333333332</v>
      </c>
      <c r="D69">
        <f>'EIA Costs'!F148/'EIA Costs'!F144</f>
        <v>17.333333333333332</v>
      </c>
      <c r="E69">
        <f>'EIA Costs'!H148/'EIA Costs'!H144</f>
        <v>17.333333333333332</v>
      </c>
      <c r="F69">
        <f>'EIA Costs'!J148/'EIA Costs'!J144</f>
        <v>17.333333333333332</v>
      </c>
      <c r="G69">
        <f>'EIA Costs'!L148/'EIA Costs'!L144</f>
        <v>17.333333333333332</v>
      </c>
      <c r="H69">
        <f>'EIA Costs'!N148/'EIA Costs'!N144</f>
        <v>17.333333333333332</v>
      </c>
    </row>
    <row r="70" spans="1:43">
      <c r="A70" t="s">
        <v>259</v>
      </c>
      <c r="B70" s="39">
        <f>'NREL EF Table 23'!D5</f>
        <v>310</v>
      </c>
      <c r="C70" s="105"/>
      <c r="D70" s="91">
        <f>'NREL EF Table 23'!D8</f>
        <v>287.51781145613165</v>
      </c>
      <c r="E70" s="91">
        <f>'NREL EF Table 23'!D11</f>
        <v>247.326626775699</v>
      </c>
      <c r="F70" s="91">
        <f>'NREL EF Table 23'!D14</f>
        <v>212.75363777446901</v>
      </c>
      <c r="G70" s="91">
        <f>'NREL EF Table 23'!D17</f>
        <v>184.45</v>
      </c>
      <c r="H70" s="91">
        <f>'NREL EF Table 23'!D20</f>
        <v>184.45</v>
      </c>
    </row>
    <row r="72" spans="1:43">
      <c r="A72" s="8" t="s">
        <v>258</v>
      </c>
      <c r="B72">
        <v>2019</v>
      </c>
      <c r="C72">
        <v>2020</v>
      </c>
      <c r="D72">
        <v>2021</v>
      </c>
      <c r="E72">
        <v>2022</v>
      </c>
      <c r="F72">
        <v>2023</v>
      </c>
      <c r="G72">
        <v>2024</v>
      </c>
      <c r="H72">
        <v>2025</v>
      </c>
      <c r="I72">
        <v>2026</v>
      </c>
      <c r="J72">
        <v>2027</v>
      </c>
      <c r="K72">
        <v>2028</v>
      </c>
      <c r="L72">
        <v>2029</v>
      </c>
      <c r="M72">
        <v>2030</v>
      </c>
      <c r="N72">
        <v>2031</v>
      </c>
      <c r="O72">
        <v>2032</v>
      </c>
      <c r="P72">
        <v>2033</v>
      </c>
      <c r="Q72">
        <v>2034</v>
      </c>
      <c r="R72">
        <v>2035</v>
      </c>
      <c r="S72">
        <v>2036</v>
      </c>
      <c r="T72">
        <v>2037</v>
      </c>
      <c r="U72">
        <v>2038</v>
      </c>
      <c r="V72">
        <v>2039</v>
      </c>
      <c r="W72">
        <v>2040</v>
      </c>
      <c r="X72">
        <v>2041</v>
      </c>
      <c r="Y72">
        <v>2042</v>
      </c>
      <c r="Z72">
        <v>2043</v>
      </c>
      <c r="AA72">
        <v>2044</v>
      </c>
      <c r="AB72">
        <v>2045</v>
      </c>
      <c r="AC72">
        <v>2046</v>
      </c>
      <c r="AD72">
        <v>2047</v>
      </c>
      <c r="AE72">
        <v>2048</v>
      </c>
      <c r="AF72">
        <v>2049</v>
      </c>
      <c r="AG72">
        <v>2050</v>
      </c>
      <c r="AH72" s="164">
        <v>2051</v>
      </c>
      <c r="AI72" s="164">
        <v>2052</v>
      </c>
      <c r="AJ72" s="164">
        <v>2053</v>
      </c>
      <c r="AK72" s="164">
        <v>2054</v>
      </c>
      <c r="AL72" s="164">
        <v>2055</v>
      </c>
      <c r="AM72" s="164">
        <v>2056</v>
      </c>
      <c r="AN72" s="164">
        <v>2057</v>
      </c>
      <c r="AO72" s="164">
        <v>2058</v>
      </c>
      <c r="AP72" s="164">
        <v>2059</v>
      </c>
      <c r="AQ72" s="164">
        <v>2060</v>
      </c>
    </row>
    <row r="73" spans="1:43">
      <c r="A73" t="s">
        <v>264</v>
      </c>
      <c r="B73">
        <f>(TREND($C$68:$D$68,$C$67:$D$67,B$32))*(About!$A$53)</f>
        <v>18.238974531600562</v>
      </c>
      <c r="C73">
        <f>(TREND($C$68:$D$68,$C$67:$D$67,C$32))*(About!$A$53)</f>
        <v>18.238974531600562</v>
      </c>
      <c r="D73">
        <f>(TREND($D$68:$E$68,$D$67:$E$67,D$32))*(About!$A$53)</f>
        <v>18.238974531600562</v>
      </c>
      <c r="E73">
        <f>(TREND($D$68:$E$68,$D$67:$E$67,E$32))*(About!$A$53)</f>
        <v>18.238974531600562</v>
      </c>
      <c r="F73">
        <f>(TREND($D$68:$E$68,$D$67:$E$67,F$32))*(About!$A$53)</f>
        <v>18.238974531600562</v>
      </c>
      <c r="G73">
        <f>(TREND($D$68:$E$68,$D$67:$E$67,G$32))*(About!$A$53)</f>
        <v>18.238974531600562</v>
      </c>
      <c r="H73">
        <f>(TREND($D$68:$E$68,$D$67:$E$67,H$32))*(About!$A$53)</f>
        <v>18.238974531600562</v>
      </c>
      <c r="I73">
        <f>(TREND($D$68:$E$68,$D$67:$E$67,I$32))*(About!$A$53)</f>
        <v>18.238974531600562</v>
      </c>
      <c r="J73">
        <f>(TREND($D$68:$E$68,$D$67:$E$67,J$32))*(About!$A$53)</f>
        <v>18.238974531600562</v>
      </c>
      <c r="K73">
        <f>(TREND($D$68:$E$68,$D$67:$E$67,K$32))*(About!$A$53)</f>
        <v>18.238974531600562</v>
      </c>
      <c r="L73">
        <f>(TREND($D$68:$E$68,$D$67:$E$67,L$32))*(About!$A$53)</f>
        <v>18.238974531600562</v>
      </c>
      <c r="M73">
        <f>(TREND($D$68:$E$68,$D$67:$E$67,M$32))*(About!$A$53)</f>
        <v>18.238974531600562</v>
      </c>
      <c r="N73">
        <f>(TREND($E$68:$G$68,$E$67:$G$67,N$32))*(About!$A$53)</f>
        <v>18.238974531600562</v>
      </c>
      <c r="O73">
        <f>(TREND($E$68:$G$68,$E$67:$G$67,O$32))*(About!$A$53)</f>
        <v>18.238974531600562</v>
      </c>
      <c r="P73">
        <f>(TREND($E$68:$G$68,$E$67:$G$67,P$32))*(About!$A$53)</f>
        <v>18.238974531600562</v>
      </c>
      <c r="Q73">
        <f>(TREND($E$68:$G$68,$E$67:$G$67,Q$32))*(About!$A$53)</f>
        <v>18.238974531600562</v>
      </c>
      <c r="R73">
        <f>(TREND($E$68:$G$68,$E$67:$G$67,R$32))*(About!$A$53)</f>
        <v>18.238974531600562</v>
      </c>
      <c r="S73">
        <f>(TREND($E$68:$G$68,$E$67:$G$67,S$32))*(About!$A$53)</f>
        <v>18.238974531600562</v>
      </c>
      <c r="T73">
        <f>(TREND($E$68:$G$68,$E$67:$G$67,T$32))*(About!$A$53)</f>
        <v>18.238974531600562</v>
      </c>
      <c r="U73">
        <f>(TREND($E$68:$G$68,$E$67:$G$67,U$32))*(About!$A$53)</f>
        <v>18.238974531600562</v>
      </c>
      <c r="V73">
        <f>(TREND($E$68:$G$68,$E$67:$G$67,V$32))*(About!$A$53)</f>
        <v>18.238974531600562</v>
      </c>
      <c r="W73">
        <f>(TREND($E$68:$G$68,$E$67:$G$67,W$32))*(About!$A$53)</f>
        <v>18.238974531600562</v>
      </c>
      <c r="X73">
        <f>(TREND($E$68:$G$68,$E$67:$G$67,X$32))*(About!$A$53)</f>
        <v>18.238974531600562</v>
      </c>
      <c r="Y73">
        <f>(TREND($E$68:$G$68,$E$67:$G$67,Y$32))*(About!$A$53)</f>
        <v>18.238974531600562</v>
      </c>
      <c r="Z73">
        <f>(TREND($E$68:$G$68,$E$67:$G$67,Z$32))*(About!$A$53)</f>
        <v>18.238974531600562</v>
      </c>
      <c r="AA73">
        <f>(TREND($E$68:$G$68,$E$67:$G$67,AA$32))*(About!$A$53)</f>
        <v>18.238974531600562</v>
      </c>
      <c r="AB73">
        <f>(TREND($E$68:$G$68,$E$67:$G$67,AB$32))*(About!$A$53)</f>
        <v>18.238974531600562</v>
      </c>
      <c r="AC73">
        <f>(TREND($E$68:$G$68,$E$67:$G$67,AC$32))*(About!$A$53)</f>
        <v>18.238974531600562</v>
      </c>
      <c r="AD73">
        <f>(TREND($E$68:$G$68,$E$67:$G$67,AD$32))*(About!$A$53)</f>
        <v>18.238974531600562</v>
      </c>
      <c r="AE73">
        <f>(TREND($E$68:$G$68,$E$67:$G$67,AE$32))*(About!$A$53)</f>
        <v>18.238974531600562</v>
      </c>
      <c r="AF73">
        <f>(TREND($E$68:$G$68,$E$67:$G$67,AF$32))*(About!$A$53)</f>
        <v>18.238974531600562</v>
      </c>
      <c r="AG73">
        <f>(TREND($E$68:$G$68,$E$67:$G$67,AG$32))*(About!$A$53)</f>
        <v>18.238974531600562</v>
      </c>
      <c r="AH73">
        <f>(TREND($E$68:$G$68,$E$67:$G$67,AH$32))*(About!$A$53)</f>
        <v>18.238974531600562</v>
      </c>
      <c r="AI73">
        <f>(TREND($E$68:$G$68,$E$67:$G$67,AI$32))*(About!$A$53)</f>
        <v>18.238974531600562</v>
      </c>
      <c r="AJ73">
        <f>(TREND($E$68:$G$68,$E$67:$G$67,AJ$32))*(About!$A$53)</f>
        <v>18.238974531600562</v>
      </c>
      <c r="AK73">
        <f>(TREND($E$68:$G$68,$E$67:$G$67,AK$32))*(About!$A$53)</f>
        <v>18.238974531600562</v>
      </c>
      <c r="AL73">
        <f>(TREND($E$68:$G$68,$E$67:$G$67,AL$32))*(About!$A$53)</f>
        <v>18.238974531600562</v>
      </c>
      <c r="AM73">
        <f>(TREND($E$68:$G$68,$E$67:$G$67,AM$32))*(About!$A$53)</f>
        <v>18.238974531600562</v>
      </c>
      <c r="AN73">
        <f>(TREND($E$68:$G$68,$E$67:$G$67,AN$32))*(About!$A$53)</f>
        <v>18.238974531600562</v>
      </c>
      <c r="AO73">
        <f>(TREND($E$68:$G$68,$E$67:$G$67,AO$32))*(About!$A$53)</f>
        <v>18.238974531600562</v>
      </c>
      <c r="AP73">
        <f>(TREND($E$68:$G$68,$E$67:$G$67,AP$32))*(About!$A$53)</f>
        <v>18.238974531600562</v>
      </c>
      <c r="AQ73">
        <f>(TREND($E$68:$G$68,$E$67:$G$67,AQ$32))*(About!$A$53)</f>
        <v>18.238974531600562</v>
      </c>
    </row>
    <row r="74" spans="1:43">
      <c r="A74" t="s">
        <v>265</v>
      </c>
      <c r="B74">
        <f>(TREND($C$69:$D$69,$C$67:$D$67,B$32))*(About!$A$53)</f>
        <v>16.235432985204525</v>
      </c>
      <c r="C74">
        <f>(TREND($C$69:$D$69,$C$67:$D$67,C$32))*(About!$A$53)</f>
        <v>16.235432985204525</v>
      </c>
      <c r="D74">
        <f>(TREND($D$69:$E$69,$D$67:$E$67,D$32))*(About!$A$53)</f>
        <v>16.235432985204525</v>
      </c>
      <c r="E74">
        <f>(TREND($D$69:$E$69,$D$67:$E$67,E$32))*(About!$A$53)</f>
        <v>16.235432985204525</v>
      </c>
      <c r="F74">
        <f>(TREND($D$69:$E$69,$D$67:$E$67,F$32))*(About!$A$53)</f>
        <v>16.235432985204525</v>
      </c>
      <c r="G74">
        <f>(TREND($D$69:$E$69,$D$67:$E$67,G$32))*(About!$A$53)</f>
        <v>16.235432985204525</v>
      </c>
      <c r="H74">
        <f>(TREND($D$69:$E$69,$D$67:$E$67,H$32))*(About!$A$53)</f>
        <v>16.235432985204525</v>
      </c>
      <c r="I74">
        <f>(TREND($D$69:$E$69,$D$67:$E$67,I$32))*(About!$A$53)</f>
        <v>16.235432985204525</v>
      </c>
      <c r="J74">
        <f>(TREND($D$69:$E$69,$D$67:$E$67,J$32))*(About!$A$53)</f>
        <v>16.235432985204525</v>
      </c>
      <c r="K74">
        <f>(TREND($D$69:$E$69,$D$67:$E$67,K$32))*(About!$A$53)</f>
        <v>16.235432985204525</v>
      </c>
      <c r="L74">
        <f>(TREND($D$69:$E$69,$D$67:$E$67,L$32))*(About!$A$53)</f>
        <v>16.235432985204525</v>
      </c>
      <c r="M74">
        <f>(TREND($D$69:$E$69,$D$67:$E$67,M$32))*(About!$A$53)</f>
        <v>16.235432985204525</v>
      </c>
      <c r="N74">
        <f>(TREND($E$69:$G$69,$E$67:$G$67,N$32))*(About!$A$53)</f>
        <v>16.235432985204525</v>
      </c>
      <c r="O74">
        <f>(TREND($E$69:$G$69,$E$67:$G$67,O$32))*(About!$A$53)</f>
        <v>16.235432985204525</v>
      </c>
      <c r="P74">
        <f>(TREND($E$69:$G$69,$E$67:$G$67,P$32))*(About!$A$53)</f>
        <v>16.235432985204525</v>
      </c>
      <c r="Q74">
        <f>(TREND($E$69:$G$69,$E$67:$G$67,Q$32))*(About!$A$53)</f>
        <v>16.235432985204525</v>
      </c>
      <c r="R74">
        <f>(TREND($E$69:$G$69,$E$67:$G$67,R$32))*(About!$A$53)</f>
        <v>16.235432985204525</v>
      </c>
      <c r="S74">
        <f>(TREND($E$69:$G$69,$E$67:$G$67,S$32))*(About!$A$53)</f>
        <v>16.235432985204525</v>
      </c>
      <c r="T74">
        <f>(TREND($E$69:$G$69,$E$67:$G$67,T$32))*(About!$A$53)</f>
        <v>16.235432985204525</v>
      </c>
      <c r="U74">
        <f>(TREND($E$69:$G$69,$E$67:$G$67,U$32))*(About!$A$53)</f>
        <v>16.235432985204525</v>
      </c>
      <c r="V74">
        <f>(TREND($E$69:$G$69,$E$67:$G$67,V$32))*(About!$A$53)</f>
        <v>16.235432985204525</v>
      </c>
      <c r="W74">
        <f>(TREND($E$69:$G$69,$E$67:$G$67,W$32))*(About!$A$53)</f>
        <v>16.235432985204525</v>
      </c>
      <c r="X74">
        <f>(TREND($E$69:$G$69,$E$67:$G$67,X$32))*(About!$A$53)</f>
        <v>16.235432985204525</v>
      </c>
      <c r="Y74">
        <f>(TREND($E$69:$G$69,$E$67:$G$67,Y$32))*(About!$A$53)</f>
        <v>16.235432985204525</v>
      </c>
      <c r="Z74">
        <f>(TREND($E$69:$G$69,$E$67:$G$67,Z$32))*(About!$A$53)</f>
        <v>16.235432985204525</v>
      </c>
      <c r="AA74">
        <f>(TREND($E$69:$G$69,$E$67:$G$67,AA$32))*(About!$A$53)</f>
        <v>16.235432985204525</v>
      </c>
      <c r="AB74">
        <f>(TREND($E$69:$G$69,$E$67:$G$67,AB$32))*(About!$A$53)</f>
        <v>16.235432985204525</v>
      </c>
      <c r="AC74">
        <f>(TREND($E$69:$G$69,$E$67:$G$67,AC$32))*(About!$A$53)</f>
        <v>16.235432985204525</v>
      </c>
      <c r="AD74">
        <f>(TREND($E$69:$G$69,$E$67:$G$67,AD$32))*(About!$A$53)</f>
        <v>16.235432985204525</v>
      </c>
      <c r="AE74">
        <f>(TREND($E$69:$G$69,$E$67:$G$67,AE$32))*(About!$A$53)</f>
        <v>16.235432985204525</v>
      </c>
      <c r="AF74">
        <f>(TREND($E$69:$G$69,$E$67:$G$67,AF$32))*(About!$A$53)</f>
        <v>16.235432985204525</v>
      </c>
      <c r="AG74">
        <f>(TREND($E$69:$G$69,$E$67:$G$67,AG$32))*(About!$A$53)</f>
        <v>16.235432985204525</v>
      </c>
      <c r="AH74">
        <f>(TREND($E$69:$G$69,$E$67:$G$67,AH$32))*(About!$A$53)</f>
        <v>16.235432985204525</v>
      </c>
      <c r="AI74">
        <f>(TREND($E$69:$G$69,$E$67:$G$67,AI$32))*(About!$A$53)</f>
        <v>16.235432985204525</v>
      </c>
      <c r="AJ74">
        <f>(TREND($E$69:$G$69,$E$67:$G$67,AJ$32))*(About!$A$53)</f>
        <v>16.235432985204525</v>
      </c>
      <c r="AK74">
        <f>(TREND($E$69:$G$69,$E$67:$G$67,AK$32))*(About!$A$53)</f>
        <v>16.235432985204525</v>
      </c>
      <c r="AL74">
        <f>(TREND($E$69:$G$69,$E$67:$G$67,AL$32))*(About!$A$53)</f>
        <v>16.235432985204525</v>
      </c>
      <c r="AM74">
        <f>(TREND($E$69:$G$69,$E$67:$G$67,AM$32))*(About!$A$53)</f>
        <v>16.235432985204525</v>
      </c>
      <c r="AN74">
        <f>(TREND($E$69:$G$69,$E$67:$G$67,AN$32))*(About!$A$53)</f>
        <v>16.235432985204525</v>
      </c>
      <c r="AO74">
        <f>(TREND($E$69:$G$69,$E$67:$G$67,AO$32))*(About!$A$53)</f>
        <v>16.235432985204525</v>
      </c>
      <c r="AP74">
        <f>(TREND($E$69:$G$69,$E$67:$G$67,AP$32))*(About!$A$53)</f>
        <v>16.235432985204525</v>
      </c>
      <c r="AQ74">
        <f>(TREND($E$69:$G$69,$E$67:$G$67,AQ$32))*(About!$A$53)</f>
        <v>16.235432985204525</v>
      </c>
    </row>
    <row r="75" spans="1:43">
      <c r="A75" t="s">
        <v>266</v>
      </c>
      <c r="B75">
        <f>((B70-D70)/(B67-D67)*(B72-C72))*(About!$A$55)+C75</f>
        <v>279.34485045339261</v>
      </c>
      <c r="C75">
        <f>(TREND($D$70:$E$70,$D$67:$E$67,C$32))*(About!$A$55)</f>
        <v>275.04349624577293</v>
      </c>
      <c r="D75">
        <f>(TREND($D$70:$E$70,$D$67:$E$67,D$32))*(About!$A$55)</f>
        <v>271.19875219434124</v>
      </c>
      <c r="E75">
        <f>(TREND($D$70:$E$70,$D$67:$E$67,E$32))*(About!$A$55)</f>
        <v>267.35400814291046</v>
      </c>
      <c r="F75">
        <f>(TREND($D$70:$E$70,$D$67:$E$67,F$32))*(About!$A$55)</f>
        <v>263.50926409147877</v>
      </c>
      <c r="G75">
        <f>(TREND($D$70:$E$70,$D$67:$E$67,G$32))*(About!$A$55)</f>
        <v>259.66452004004708</v>
      </c>
      <c r="H75">
        <f>(TREND($D$70:$E$70,$D$67:$E$67,H$32))*(About!$A$55)</f>
        <v>255.81977598861545</v>
      </c>
      <c r="I75">
        <f>(TREND($D$70:$E$70,$D$67:$E$67,I$32))*(About!$A$55)</f>
        <v>251.97503193718379</v>
      </c>
      <c r="J75">
        <f>(TREND($D$70:$E$70,$D$67:$E$67,J$32))*(About!$A$55)</f>
        <v>248.1302878857521</v>
      </c>
      <c r="K75">
        <f>(TREND($D$70:$E$70,$D$67:$E$67,K$32))*(About!$A$55)</f>
        <v>244.28554383432132</v>
      </c>
      <c r="L75">
        <f>(TREND($D$70:$E$70,$D$67:$E$67,L$32))*(About!$A$55)</f>
        <v>240.44079978288966</v>
      </c>
      <c r="M75">
        <f>(TREND($D$70:$E$70,$D$67:$E$67,M$32))*(About!$A$55)</f>
        <v>236.59605573145797</v>
      </c>
      <c r="N75">
        <f>(TREND($E$70:$G$70,$E$67:$G$67,N$32))*(About!$A$55)</f>
        <v>232.58906544927183</v>
      </c>
      <c r="O75">
        <f>(TREND($E$70:$G$70,$E$67:$G$67,O$32))*(About!$A$55)</f>
        <v>229.58163311439381</v>
      </c>
      <c r="P75">
        <f>(TREND($E$70:$G$70,$E$67:$G$67,P$32))*(About!$A$55)</f>
        <v>226.57420077951667</v>
      </c>
      <c r="Q75">
        <f>(TREND($E$70:$G$70,$E$67:$G$67,Q$32))*(About!$A$55)</f>
        <v>223.56676844463868</v>
      </c>
      <c r="R75">
        <f>(TREND($E$70:$G$70,$E$67:$G$67,R$32))*(About!$A$55)</f>
        <v>220.55933610976066</v>
      </c>
      <c r="S75">
        <f>(TREND($E$70:$G$70,$E$67:$G$67,S$32))*(About!$A$55)</f>
        <v>217.55190377488353</v>
      </c>
      <c r="T75">
        <f>(TREND($E$70:$G$70,$E$67:$G$67,T$32))*(About!$A$55)</f>
        <v>214.54447144000551</v>
      </c>
      <c r="U75">
        <f>(TREND($E$70:$G$70,$E$67:$G$67,U$32))*(About!$A$55)</f>
        <v>211.53703910512749</v>
      </c>
      <c r="V75">
        <f>(TREND($E$70:$G$70,$E$67:$G$67,V$32))*(About!$A$55)</f>
        <v>208.52960677025035</v>
      </c>
      <c r="W75">
        <f>(TREND($E$70:$G$70,$E$67:$G$67,W$32))*(About!$A$55)</f>
        <v>205.52217443537236</v>
      </c>
      <c r="X75">
        <f>(TREND($E$70:$G$70,$E$67:$G$67,X$32))*(About!$A$55)</f>
        <v>202.51474210049435</v>
      </c>
      <c r="Y75">
        <f>(TREND($E$70:$G$70,$E$67:$G$67,Y$32))*(About!$A$55)</f>
        <v>199.50730976561721</v>
      </c>
      <c r="Z75">
        <f>(TREND($E$70:$G$70,$E$67:$G$67,Z$32))*(About!$A$55)</f>
        <v>196.49987743073919</v>
      </c>
      <c r="AA75">
        <f>(TREND($E$70:$G$70,$E$67:$G$67,AA$32))*(About!$A$55)</f>
        <v>193.49244509586205</v>
      </c>
      <c r="AB75">
        <f>(TREND($E$70:$G$70,$E$67:$G$67,AB$32))*(About!$A$55)</f>
        <v>190.48501276098403</v>
      </c>
      <c r="AC75">
        <f>(TREND($E$70:$G$70,$E$67:$G$67,AC$32))*(About!$A$55)</f>
        <v>187.47758042610604</v>
      </c>
      <c r="AD75">
        <f>(TREND($E$70:$G$70,$E$67:$G$67,AD$32))*(About!$A$55)</f>
        <v>184.47014809122888</v>
      </c>
      <c r="AE75">
        <f>(TREND($E$70:$G$70,$E$67:$G$67,AE$32))*(About!$A$55)</f>
        <v>181.46271575635089</v>
      </c>
      <c r="AF75">
        <f>(TREND($E$70:$G$70,$E$67:$G$67,AF$32))*(About!$A$55)</f>
        <v>178.45528342147287</v>
      </c>
      <c r="AG75">
        <f>(TREND($E$70:$G$70,$E$67:$G$67,AG$32))*(About!$A$55)</f>
        <v>175.44785108659573</v>
      </c>
      <c r="AH75">
        <f>(TREND($E$70:$G$70,$E$67:$G$67,AH$32))*(About!$A$55)</f>
        <v>172.44041875171771</v>
      </c>
      <c r="AI75">
        <f>(TREND($E$70:$G$70,$E$67:$G$67,AI$32))*(About!$A$55)</f>
        <v>169.4329864168397</v>
      </c>
      <c r="AJ75">
        <f>(TREND($E$70:$G$70,$E$67:$G$67,AJ$32))*(About!$A$55)</f>
        <v>166.42555408196256</v>
      </c>
      <c r="AK75">
        <f>(TREND($E$70:$G$70,$E$67:$G$67,AK$32))*(About!$A$55)</f>
        <v>163.41812174708457</v>
      </c>
      <c r="AL75">
        <f>(TREND($E$70:$G$70,$E$67:$G$67,AL$32))*(About!$A$55)</f>
        <v>160.41068941220743</v>
      </c>
      <c r="AM75">
        <f>(TREND($E$70:$G$70,$E$67:$G$67,AM$32))*(About!$A$55)</f>
        <v>157.40325707732941</v>
      </c>
      <c r="AN75">
        <f>(TREND($E$70:$G$70,$E$67:$G$67,AN$32))*(About!$A$55)</f>
        <v>154.3958247424514</v>
      </c>
      <c r="AO75">
        <f>(TREND($E$70:$G$70,$E$67:$G$67,AO$32))*(About!$A$55)</f>
        <v>151.38839240757426</v>
      </c>
      <c r="AP75">
        <f>(TREND($E$70:$G$70,$E$67:$G$67,AP$32))*(About!$A$55)</f>
        <v>148.38096007269624</v>
      </c>
      <c r="AQ75">
        <f>(TREND($E$70:$G$70,$E$67:$G$67,AQ$32))*(About!$A$55)</f>
        <v>145.37352773781825</v>
      </c>
    </row>
    <row r="77" spans="1:43">
      <c r="A77" s="8" t="s">
        <v>241</v>
      </c>
      <c r="B77">
        <v>2019</v>
      </c>
      <c r="C77">
        <v>2020</v>
      </c>
      <c r="D77">
        <v>2021</v>
      </c>
      <c r="E77">
        <v>2022</v>
      </c>
      <c r="F77">
        <v>2023</v>
      </c>
      <c r="G77">
        <v>2024</v>
      </c>
      <c r="H77">
        <v>2025</v>
      </c>
      <c r="I77">
        <v>2026</v>
      </c>
      <c r="J77">
        <v>2027</v>
      </c>
      <c r="K77">
        <v>2028</v>
      </c>
      <c r="L77">
        <v>2029</v>
      </c>
      <c r="M77">
        <v>2030</v>
      </c>
      <c r="N77">
        <v>2031</v>
      </c>
      <c r="O77">
        <v>2032</v>
      </c>
      <c r="P77">
        <v>2033</v>
      </c>
      <c r="Q77">
        <v>2034</v>
      </c>
      <c r="R77">
        <v>2035</v>
      </c>
      <c r="S77">
        <v>2036</v>
      </c>
      <c r="T77">
        <v>2037</v>
      </c>
      <c r="U77">
        <v>2038</v>
      </c>
      <c r="V77">
        <v>2039</v>
      </c>
      <c r="W77">
        <v>2040</v>
      </c>
      <c r="X77">
        <v>2041</v>
      </c>
      <c r="Y77">
        <v>2042</v>
      </c>
      <c r="Z77">
        <v>2043</v>
      </c>
      <c r="AA77">
        <v>2044</v>
      </c>
      <c r="AB77">
        <v>2045</v>
      </c>
      <c r="AC77">
        <v>2046</v>
      </c>
      <c r="AD77">
        <v>2047</v>
      </c>
      <c r="AE77">
        <v>2048</v>
      </c>
      <c r="AF77">
        <v>2049</v>
      </c>
      <c r="AG77">
        <v>2050</v>
      </c>
      <c r="AH77" s="164">
        <v>2051</v>
      </c>
      <c r="AI77" s="164">
        <v>2052</v>
      </c>
      <c r="AJ77" s="164">
        <v>2053</v>
      </c>
      <c r="AK77" s="164">
        <v>2054</v>
      </c>
      <c r="AL77" s="164">
        <v>2055</v>
      </c>
      <c r="AM77" s="164">
        <v>2056</v>
      </c>
      <c r="AN77" s="164">
        <v>2057</v>
      </c>
      <c r="AO77" s="164">
        <v>2058</v>
      </c>
      <c r="AP77" s="164">
        <v>2059</v>
      </c>
      <c r="AQ77" s="164">
        <v>2060</v>
      </c>
    </row>
    <row r="78" spans="1:43">
      <c r="A78" t="s">
        <v>13</v>
      </c>
      <c r="B78" s="40">
        <f>(B75-B73)/(8760*10^3*$B$64)</f>
        <v>1.1922642736154889E-4</v>
      </c>
      <c r="C78" s="40">
        <f t="shared" ref="C78:AG78" si="19">(C75-C73)/(8760*10^3*$B$64)</f>
        <v>1.1726233868227049E-4</v>
      </c>
      <c r="D78" s="40">
        <f t="shared" si="19"/>
        <v>1.1550674779120579E-4</v>
      </c>
      <c r="E78" s="40">
        <f t="shared" si="19"/>
        <v>1.1375115690014151E-4</v>
      </c>
      <c r="F78" s="40">
        <f t="shared" si="19"/>
        <v>1.1199556600907681E-4</v>
      </c>
      <c r="G78" s="40">
        <f t="shared" si="19"/>
        <v>1.1023997511801212E-4</v>
      </c>
      <c r="H78" s="40">
        <f t="shared" si="19"/>
        <v>1.0848438422694745E-4</v>
      </c>
      <c r="I78" s="40">
        <f t="shared" si="19"/>
        <v>1.0672879333588274E-4</v>
      </c>
      <c r="J78" s="40">
        <f t="shared" si="19"/>
        <v>1.0497320244481804E-4</v>
      </c>
      <c r="K78" s="40">
        <f t="shared" si="19"/>
        <v>1.0321761155375376E-4</v>
      </c>
      <c r="L78" s="40">
        <f t="shared" si="19"/>
        <v>1.0146202066268909E-4</v>
      </c>
      <c r="M78" s="40">
        <f t="shared" si="19"/>
        <v>9.9706429771624386E-5</v>
      </c>
      <c r="N78" s="40">
        <f t="shared" si="19"/>
        <v>9.787675384368551E-5</v>
      </c>
      <c r="O78" s="40">
        <f t="shared" si="19"/>
        <v>9.6503497069768613E-5</v>
      </c>
      <c r="P78" s="40">
        <f t="shared" si="19"/>
        <v>9.513024029585211E-5</v>
      </c>
      <c r="Q78" s="40">
        <f t="shared" si="19"/>
        <v>9.3756983521935228E-5</v>
      </c>
      <c r="R78" s="40">
        <f t="shared" si="19"/>
        <v>9.2383726748018305E-5</v>
      </c>
      <c r="S78" s="40">
        <f t="shared" si="19"/>
        <v>9.1010469974101802E-5</v>
      </c>
      <c r="T78" s="40">
        <f t="shared" si="19"/>
        <v>8.9637213200184919E-5</v>
      </c>
      <c r="U78" s="40">
        <f t="shared" si="19"/>
        <v>8.8263956426267996E-5</v>
      </c>
      <c r="V78" s="40">
        <f t="shared" si="19"/>
        <v>8.6890699652351493E-5</v>
      </c>
      <c r="W78" s="40">
        <f t="shared" si="19"/>
        <v>8.551744287843461E-5</v>
      </c>
      <c r="X78" s="40">
        <f t="shared" si="19"/>
        <v>8.4144186104517714E-5</v>
      </c>
      <c r="Y78" s="40">
        <f t="shared" si="19"/>
        <v>8.2770929330601211E-5</v>
      </c>
      <c r="Z78" s="40">
        <f t="shared" si="19"/>
        <v>8.1397672556684302E-5</v>
      </c>
      <c r="AA78" s="40">
        <f t="shared" si="19"/>
        <v>8.0024415782767799E-5</v>
      </c>
      <c r="AB78" s="40">
        <f t="shared" si="19"/>
        <v>7.8651159008850903E-5</v>
      </c>
      <c r="AC78" s="40">
        <f t="shared" si="19"/>
        <v>7.727790223493402E-5</v>
      </c>
      <c r="AD78" s="40">
        <f t="shared" si="19"/>
        <v>7.590464546101749E-5</v>
      </c>
      <c r="AE78" s="40">
        <f t="shared" si="19"/>
        <v>7.4531388687100594E-5</v>
      </c>
      <c r="AF78" s="40">
        <f t="shared" si="19"/>
        <v>7.3158131913183711E-5</v>
      </c>
      <c r="AG78" s="40">
        <f t="shared" si="19"/>
        <v>7.1784875139267208E-5</v>
      </c>
      <c r="AH78" s="40">
        <f t="shared" ref="AH78:AQ78" si="20">(AH75-AH73)/(8760*10^3*$B$64)</f>
        <v>7.0411618365350285E-5</v>
      </c>
      <c r="AI78" s="40">
        <f t="shared" si="20"/>
        <v>6.9038361591433403E-5</v>
      </c>
      <c r="AJ78" s="40">
        <f t="shared" si="20"/>
        <v>6.76651048175169E-5</v>
      </c>
      <c r="AK78" s="40">
        <f t="shared" si="20"/>
        <v>6.6291848043600004E-5</v>
      </c>
      <c r="AL78" s="40">
        <f t="shared" si="20"/>
        <v>6.4918591269683514E-5</v>
      </c>
      <c r="AM78" s="40">
        <f t="shared" si="20"/>
        <v>6.3545334495766591E-5</v>
      </c>
      <c r="AN78" s="40">
        <f t="shared" si="20"/>
        <v>6.2172077721849708E-5</v>
      </c>
      <c r="AO78" s="40">
        <f t="shared" si="20"/>
        <v>6.0798820947933199E-5</v>
      </c>
      <c r="AP78" s="40">
        <f t="shared" si="20"/>
        <v>5.9425564174016282E-5</v>
      </c>
      <c r="AQ78" s="40">
        <f t="shared" si="20"/>
        <v>5.80523074000994E-5</v>
      </c>
    </row>
    <row r="79" spans="1:43">
      <c r="A79" t="s">
        <v>14</v>
      </c>
      <c r="B79" s="40">
        <f>(B75-B74)/(8760*10^3*$B$64)</f>
        <v>1.2014128651515439E-4</v>
      </c>
      <c r="C79" s="40">
        <f t="shared" ref="C79:AG79" si="21">(C75-C74)/(8760*10^3*$B$64)</f>
        <v>1.1817719783587599E-4</v>
      </c>
      <c r="D79" s="40">
        <f t="shared" si="21"/>
        <v>1.1642160694481129E-4</v>
      </c>
      <c r="E79" s="40">
        <f t="shared" si="21"/>
        <v>1.1466601605374701E-4</v>
      </c>
      <c r="F79" s="40">
        <f t="shared" si="21"/>
        <v>1.1291042516268231E-4</v>
      </c>
      <c r="G79" s="40">
        <f t="shared" si="21"/>
        <v>1.1115483427161761E-4</v>
      </c>
      <c r="H79" s="40">
        <f t="shared" si="21"/>
        <v>1.0939924338055294E-4</v>
      </c>
      <c r="I79" s="40">
        <f t="shared" si="21"/>
        <v>1.0764365248948823E-4</v>
      </c>
      <c r="J79" s="40">
        <f t="shared" si="21"/>
        <v>1.0588806159842355E-4</v>
      </c>
      <c r="K79" s="40">
        <f t="shared" si="21"/>
        <v>1.0413247070735926E-4</v>
      </c>
      <c r="L79" s="40">
        <f t="shared" si="21"/>
        <v>1.0237687981629459E-4</v>
      </c>
      <c r="M79" s="40">
        <f t="shared" si="21"/>
        <v>1.0062128892522989E-4</v>
      </c>
      <c r="N79" s="40">
        <f t="shared" si="21"/>
        <v>9.8791612997290999E-5</v>
      </c>
      <c r="O79" s="40">
        <f t="shared" si="21"/>
        <v>9.7418356223374103E-5</v>
      </c>
      <c r="P79" s="40">
        <f t="shared" si="21"/>
        <v>9.6045099449457613E-5</v>
      </c>
      <c r="Q79" s="40">
        <f t="shared" si="21"/>
        <v>9.4671842675540717E-5</v>
      </c>
      <c r="R79" s="40">
        <f t="shared" si="21"/>
        <v>9.3298585901623808E-5</v>
      </c>
      <c r="S79" s="40">
        <f t="shared" si="21"/>
        <v>9.1925329127707305E-5</v>
      </c>
      <c r="T79" s="40">
        <f t="shared" si="21"/>
        <v>9.0552072353790409E-5</v>
      </c>
      <c r="U79" s="40">
        <f t="shared" si="21"/>
        <v>8.9178815579873499E-5</v>
      </c>
      <c r="V79" s="40">
        <f t="shared" si="21"/>
        <v>8.7805558805956996E-5</v>
      </c>
      <c r="W79" s="40">
        <f t="shared" si="21"/>
        <v>8.64323020320401E-5</v>
      </c>
      <c r="X79" s="40">
        <f t="shared" si="21"/>
        <v>8.5059045258123217E-5</v>
      </c>
      <c r="Y79" s="40">
        <f t="shared" si="21"/>
        <v>8.3685788484206714E-5</v>
      </c>
      <c r="Z79" s="40">
        <f t="shared" si="21"/>
        <v>8.2312531710289791E-5</v>
      </c>
      <c r="AA79" s="40">
        <f t="shared" si="21"/>
        <v>8.0939274936373288E-5</v>
      </c>
      <c r="AB79" s="40">
        <f t="shared" si="21"/>
        <v>7.9566018162456406E-5</v>
      </c>
      <c r="AC79" s="40">
        <f t="shared" si="21"/>
        <v>7.819276138853951E-5</v>
      </c>
      <c r="AD79" s="40">
        <f t="shared" si="21"/>
        <v>7.681950461462298E-5</v>
      </c>
      <c r="AE79" s="40">
        <f t="shared" si="21"/>
        <v>7.5446247840706097E-5</v>
      </c>
      <c r="AF79" s="40">
        <f t="shared" si="21"/>
        <v>7.4072991066789201E-5</v>
      </c>
      <c r="AG79" s="40">
        <f t="shared" si="21"/>
        <v>7.2699734292872698E-5</v>
      </c>
      <c r="AH79" s="40">
        <f t="shared" ref="AH79:AQ79" si="22">(AH75-AH74)/(8760*10^3*$B$64)</f>
        <v>7.1326477518955788E-5</v>
      </c>
      <c r="AI79" s="40">
        <f t="shared" si="22"/>
        <v>6.9953220745038892E-5</v>
      </c>
      <c r="AJ79" s="40">
        <f t="shared" si="22"/>
        <v>6.8579963971122403E-5</v>
      </c>
      <c r="AK79" s="40">
        <f t="shared" si="22"/>
        <v>6.7206707197205507E-5</v>
      </c>
      <c r="AL79" s="40">
        <f t="shared" si="22"/>
        <v>6.5833450423289004E-5</v>
      </c>
      <c r="AM79" s="40">
        <f t="shared" si="22"/>
        <v>6.4460193649372094E-5</v>
      </c>
      <c r="AN79" s="40">
        <f t="shared" si="22"/>
        <v>6.3086936875455198E-5</v>
      </c>
      <c r="AO79" s="40">
        <f t="shared" si="22"/>
        <v>6.1713680101538695E-5</v>
      </c>
      <c r="AP79" s="40">
        <f t="shared" si="22"/>
        <v>6.0340423327621779E-5</v>
      </c>
      <c r="AQ79" s="40">
        <f t="shared" si="22"/>
        <v>5.8967166553704889E-5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G11"/>
  <sheetViews>
    <sheetView topLeftCell="AF1" zoomScale="85" zoomScaleNormal="85" workbookViewId="0">
      <selection activeCell="AQ1" sqref="AH1:AQ1048576"/>
    </sheetView>
  </sheetViews>
  <sheetFormatPr defaultRowHeight="14.5"/>
  <cols>
    <col min="1" max="1" width="29.81640625" customWidth="1"/>
    <col min="2" max="33" width="10" customWidth="1"/>
  </cols>
  <sheetData>
    <row r="1" spans="1:33">
      <c r="A1" s="8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0</v>
      </c>
      <c r="C3" s="120">
        <f t="shared" ref="C3:AF3" si="0">C4</f>
        <v>4.6986801095974462E-5</v>
      </c>
      <c r="D3" s="120">
        <f t="shared" si="0"/>
        <v>4.9317819911485171E-5</v>
      </c>
      <c r="E3" s="120">
        <f t="shared" si="0"/>
        <v>4.8135558391912264E-5</v>
      </c>
      <c r="F3" s="120">
        <f t="shared" si="0"/>
        <v>4.8817106556237436E-5</v>
      </c>
      <c r="G3" s="120">
        <f t="shared" si="0"/>
        <v>4.9414567714491681E-5</v>
      </c>
      <c r="H3" s="120">
        <f t="shared" si="0"/>
        <v>5.0152799160989165E-5</v>
      </c>
      <c r="I3" s="120">
        <f t="shared" si="0"/>
        <v>5.1016723187831479E-5</v>
      </c>
      <c r="J3" s="120">
        <f t="shared" si="0"/>
        <v>5.1933959657348385E-5</v>
      </c>
      <c r="K3" s="120">
        <f t="shared" si="0"/>
        <v>5.283057416383122E-5</v>
      </c>
      <c r="L3" s="120">
        <f t="shared" si="0"/>
        <v>5.3744044954273362E-5</v>
      </c>
      <c r="M3" s="120">
        <f t="shared" si="0"/>
        <v>5.4705033424374188E-5</v>
      </c>
      <c r="N3" s="120">
        <f t="shared" si="0"/>
        <v>5.5525373495691936E-5</v>
      </c>
      <c r="O3" s="120">
        <f t="shared" si="0"/>
        <v>5.6301189353241666E-5</v>
      </c>
      <c r="P3" s="120">
        <f t="shared" si="0"/>
        <v>5.705014629823155E-5</v>
      </c>
      <c r="Q3" s="120">
        <f t="shared" si="0"/>
        <v>5.7773537404578185E-5</v>
      </c>
      <c r="R3" s="120">
        <f t="shared" si="0"/>
        <v>5.8459700633469831E-5</v>
      </c>
      <c r="S3" s="120">
        <f t="shared" si="0"/>
        <v>5.9128890999332881E-5</v>
      </c>
      <c r="T3" s="120">
        <f t="shared" si="0"/>
        <v>5.9790304176831497E-5</v>
      </c>
      <c r="U3" s="120">
        <f t="shared" si="0"/>
        <v>6.0425763016830828E-5</v>
      </c>
      <c r="V3" s="120">
        <f t="shared" si="0"/>
        <v>6.1043907423571401E-5</v>
      </c>
      <c r="W3" s="120">
        <f t="shared" si="0"/>
        <v>6.1642654798959741E-5</v>
      </c>
      <c r="X3" s="120">
        <f t="shared" si="0"/>
        <v>6.2253228035448599E-5</v>
      </c>
      <c r="Y3" s="120">
        <f t="shared" si="0"/>
        <v>6.2878101545256934E-5</v>
      </c>
      <c r="Z3" s="120">
        <f t="shared" si="0"/>
        <v>6.3513349037911543E-5</v>
      </c>
      <c r="AA3" s="120">
        <f t="shared" si="0"/>
        <v>6.4153478160998407E-5</v>
      </c>
      <c r="AB3" s="120">
        <f t="shared" si="0"/>
        <v>6.4799812675734136E-5</v>
      </c>
      <c r="AC3" s="120">
        <f t="shared" si="0"/>
        <v>6.5440526970601023E-5</v>
      </c>
      <c r="AD3" s="120">
        <f t="shared" si="0"/>
        <v>6.6083632670351869E-5</v>
      </c>
      <c r="AE3" s="120">
        <f t="shared" si="0"/>
        <v>6.6714733566234217E-5</v>
      </c>
      <c r="AF3" s="120">
        <f t="shared" si="0"/>
        <v>6.7360395090701968E-5</v>
      </c>
      <c r="AG3" s="120">
        <f>AG4</f>
        <v>6.8020768011389649E-5</v>
      </c>
    </row>
    <row r="4" spans="1:33">
      <c r="A4" s="1" t="s">
        <v>13</v>
      </c>
      <c r="B4" s="106">
        <f>Calculations!B19</f>
        <v>0</v>
      </c>
      <c r="C4" s="106">
        <f>Calculations!C19</f>
        <v>4.6986801095974462E-5</v>
      </c>
      <c r="D4" s="106">
        <f>Calculations!D19</f>
        <v>4.9317819911485171E-5</v>
      </c>
      <c r="E4" s="106">
        <f>Calculations!E19</f>
        <v>4.8135558391912264E-5</v>
      </c>
      <c r="F4" s="106">
        <f>Calculations!F19</f>
        <v>4.8817106556237436E-5</v>
      </c>
      <c r="G4" s="106">
        <f>Calculations!G19</f>
        <v>4.9414567714491681E-5</v>
      </c>
      <c r="H4" s="106">
        <f>Calculations!H19</f>
        <v>5.0152799160989165E-5</v>
      </c>
      <c r="I4" s="106">
        <f>Calculations!I19</f>
        <v>5.1016723187831479E-5</v>
      </c>
      <c r="J4" s="106">
        <f>Calculations!J19</f>
        <v>5.1933959657348385E-5</v>
      </c>
      <c r="K4" s="106">
        <f>Calculations!K19</f>
        <v>5.283057416383122E-5</v>
      </c>
      <c r="L4" s="106">
        <f>Calculations!L19</f>
        <v>5.3744044954273362E-5</v>
      </c>
      <c r="M4" s="106">
        <f>Calculations!M19</f>
        <v>5.4705033424374188E-5</v>
      </c>
      <c r="N4" s="106">
        <f>Calculations!N19</f>
        <v>5.5525373495691936E-5</v>
      </c>
      <c r="O4" s="106">
        <f>Calculations!O19</f>
        <v>5.6301189353241666E-5</v>
      </c>
      <c r="P4" s="106">
        <f>Calculations!P19</f>
        <v>5.705014629823155E-5</v>
      </c>
      <c r="Q4" s="106">
        <f>Calculations!Q19</f>
        <v>5.7773537404578185E-5</v>
      </c>
      <c r="R4" s="106">
        <f>Calculations!R19</f>
        <v>5.8459700633469831E-5</v>
      </c>
      <c r="S4" s="106">
        <f>Calculations!S19</f>
        <v>5.9128890999332881E-5</v>
      </c>
      <c r="T4" s="106">
        <f>Calculations!T19</f>
        <v>5.9790304176831497E-5</v>
      </c>
      <c r="U4" s="106">
        <f>Calculations!U19</f>
        <v>6.0425763016830828E-5</v>
      </c>
      <c r="V4" s="106">
        <f>Calculations!V19</f>
        <v>6.1043907423571401E-5</v>
      </c>
      <c r="W4" s="106">
        <f>Calculations!W19</f>
        <v>6.1642654798959741E-5</v>
      </c>
      <c r="X4" s="106">
        <f>Calculations!X19</f>
        <v>6.2253228035448599E-5</v>
      </c>
      <c r="Y4" s="106">
        <f>Calculations!Y19</f>
        <v>6.2878101545256934E-5</v>
      </c>
      <c r="Z4" s="106">
        <f>Calculations!Z19</f>
        <v>6.3513349037911543E-5</v>
      </c>
      <c r="AA4" s="106">
        <f>Calculations!AA19</f>
        <v>6.4153478160998407E-5</v>
      </c>
      <c r="AB4" s="106">
        <f>Calculations!AB19</f>
        <v>6.4799812675734136E-5</v>
      </c>
      <c r="AC4" s="106">
        <f>Calculations!AC19</f>
        <v>6.5440526970601023E-5</v>
      </c>
      <c r="AD4" s="106">
        <f>Calculations!AD19</f>
        <v>6.6083632670351869E-5</v>
      </c>
      <c r="AE4" s="106">
        <f>Calculations!AE19</f>
        <v>6.6714733566234217E-5</v>
      </c>
      <c r="AF4" s="106">
        <f>Calculations!AF19</f>
        <v>6.7360395090701968E-5</v>
      </c>
      <c r="AG4" s="106">
        <f>Calculations!AG19</f>
        <v>6.8020768011389649E-5</v>
      </c>
    </row>
    <row r="5" spans="1:33">
      <c r="A5" s="1" t="s">
        <v>317</v>
      </c>
      <c r="B5" s="106">
        <f>Calculations!B20</f>
        <v>0</v>
      </c>
      <c r="C5" s="106">
        <f>Calculations!C20</f>
        <v>1.3596146153614844E-5</v>
      </c>
      <c r="D5" s="106">
        <f>Calculations!D20</f>
        <v>1.248535933849571E-5</v>
      </c>
      <c r="E5" s="106">
        <f>Calculations!E20</f>
        <v>1.2314358584448748E-5</v>
      </c>
      <c r="F5" s="106">
        <f>Calculations!F20</f>
        <v>1.2463043400758694E-5</v>
      </c>
      <c r="G5" s="106">
        <f>Calculations!G20</f>
        <v>1.2602232441207277E-5</v>
      </c>
      <c r="H5" s="106">
        <f>Calculations!H20</f>
        <v>1.2700106171352834E-5</v>
      </c>
      <c r="I5" s="106">
        <f>Calculations!I20</f>
        <v>1.2795803017792617E-5</v>
      </c>
      <c r="J5" s="106">
        <f>Calculations!J20</f>
        <v>1.287634952877253E-5</v>
      </c>
      <c r="K5" s="106">
        <f>Calculations!K20</f>
        <v>1.293927509910824E-5</v>
      </c>
      <c r="L5" s="106">
        <f>Calculations!L20</f>
        <v>1.2994713037764601E-5</v>
      </c>
      <c r="M5" s="106">
        <f>Calculations!M20</f>
        <v>1.3050698720626326E-5</v>
      </c>
      <c r="N5" s="106">
        <f>Calculations!N20</f>
        <v>1.3169120766011463E-5</v>
      </c>
      <c r="O5" s="106">
        <f>Calculations!O20</f>
        <v>1.3288817899419017E-5</v>
      </c>
      <c r="P5" s="106">
        <f>Calculations!P20</f>
        <v>1.3406144591763579E-5</v>
      </c>
      <c r="Q5" s="106">
        <f>Calculations!Q20</f>
        <v>1.3523571074412527E-5</v>
      </c>
      <c r="R5" s="106">
        <f>Calculations!R20</f>
        <v>1.3626401649126733E-5</v>
      </c>
      <c r="S5" s="106">
        <f>Calculations!S20</f>
        <v>1.3723086735754284E-5</v>
      </c>
      <c r="T5" s="106">
        <f>Calculations!T20</f>
        <v>1.3828692535595457E-5</v>
      </c>
      <c r="U5" s="106">
        <f>Calculations!U20</f>
        <v>1.3944686619606478E-5</v>
      </c>
      <c r="V5" s="106">
        <f>Calculations!V20</f>
        <v>1.4050400151988045E-5</v>
      </c>
      <c r="W5" s="106">
        <f>Calculations!W20</f>
        <v>1.4170057413145971E-5</v>
      </c>
      <c r="X5" s="106">
        <f>Calculations!X20</f>
        <v>1.4292273471830811E-5</v>
      </c>
      <c r="Y5" s="106">
        <f>Calculations!Y20</f>
        <v>1.4412833183450337E-5</v>
      </c>
      <c r="Z5" s="106">
        <f>Calculations!Z20</f>
        <v>1.4531552825422725E-5</v>
      </c>
      <c r="AA5" s="106">
        <f>Calculations!AA20</f>
        <v>1.4652379698663127E-5</v>
      </c>
      <c r="AB5" s="106">
        <f>Calculations!AB20</f>
        <v>1.4778812453172526E-5</v>
      </c>
      <c r="AC5" s="106">
        <f>Calculations!AC20</f>
        <v>1.4902288865825739E-5</v>
      </c>
      <c r="AD5" s="106">
        <f>Calculations!AD20</f>
        <v>1.5022946616114167E-5</v>
      </c>
      <c r="AE5" s="106">
        <f>Calculations!AE20</f>
        <v>1.513797204095962E-5</v>
      </c>
      <c r="AF5" s="106">
        <f>Calculations!AF20</f>
        <v>1.5258822572798604E-5</v>
      </c>
      <c r="AG5" s="106">
        <f>Calculations!AG20</f>
        <v>1.538433798663804E-5</v>
      </c>
    </row>
    <row r="6" spans="1:33">
      <c r="A6" s="1" t="s">
        <v>318</v>
      </c>
      <c r="B6" s="120">
        <f>B4</f>
        <v>0</v>
      </c>
      <c r="C6" s="120">
        <f t="shared" ref="C6:AF6" si="1">C4</f>
        <v>4.6986801095974462E-5</v>
      </c>
      <c r="D6" s="120">
        <f t="shared" si="1"/>
        <v>4.9317819911485171E-5</v>
      </c>
      <c r="E6" s="120">
        <f t="shared" si="1"/>
        <v>4.8135558391912264E-5</v>
      </c>
      <c r="F6" s="120">
        <f t="shared" si="1"/>
        <v>4.8817106556237436E-5</v>
      </c>
      <c r="G6" s="120">
        <f t="shared" si="1"/>
        <v>4.9414567714491681E-5</v>
      </c>
      <c r="H6" s="120">
        <f t="shared" si="1"/>
        <v>5.0152799160989165E-5</v>
      </c>
      <c r="I6" s="120">
        <f t="shared" si="1"/>
        <v>5.1016723187831479E-5</v>
      </c>
      <c r="J6" s="120">
        <f t="shared" si="1"/>
        <v>5.1933959657348385E-5</v>
      </c>
      <c r="K6" s="120">
        <f t="shared" si="1"/>
        <v>5.283057416383122E-5</v>
      </c>
      <c r="L6" s="120">
        <f t="shared" si="1"/>
        <v>5.3744044954273362E-5</v>
      </c>
      <c r="M6" s="120">
        <f t="shared" si="1"/>
        <v>5.4705033424374188E-5</v>
      </c>
      <c r="N6" s="120">
        <f t="shared" si="1"/>
        <v>5.5525373495691936E-5</v>
      </c>
      <c r="O6" s="120">
        <f t="shared" si="1"/>
        <v>5.6301189353241666E-5</v>
      </c>
      <c r="P6" s="120">
        <f t="shared" si="1"/>
        <v>5.705014629823155E-5</v>
      </c>
      <c r="Q6" s="120">
        <f t="shared" si="1"/>
        <v>5.7773537404578185E-5</v>
      </c>
      <c r="R6" s="120">
        <f t="shared" si="1"/>
        <v>5.8459700633469831E-5</v>
      </c>
      <c r="S6" s="120">
        <f t="shared" si="1"/>
        <v>5.9128890999332881E-5</v>
      </c>
      <c r="T6" s="120">
        <f t="shared" si="1"/>
        <v>5.9790304176831497E-5</v>
      </c>
      <c r="U6" s="120">
        <f t="shared" si="1"/>
        <v>6.0425763016830828E-5</v>
      </c>
      <c r="V6" s="120">
        <f t="shared" si="1"/>
        <v>6.1043907423571401E-5</v>
      </c>
      <c r="W6" s="120">
        <f t="shared" si="1"/>
        <v>6.1642654798959741E-5</v>
      </c>
      <c r="X6" s="120">
        <f t="shared" si="1"/>
        <v>6.2253228035448599E-5</v>
      </c>
      <c r="Y6" s="120">
        <f t="shared" si="1"/>
        <v>6.2878101545256934E-5</v>
      </c>
      <c r="Z6" s="120">
        <f t="shared" si="1"/>
        <v>6.3513349037911543E-5</v>
      </c>
      <c r="AA6" s="120">
        <f t="shared" si="1"/>
        <v>6.4153478160998407E-5</v>
      </c>
      <c r="AB6" s="120">
        <f t="shared" si="1"/>
        <v>6.4799812675734136E-5</v>
      </c>
      <c r="AC6" s="120">
        <f t="shared" si="1"/>
        <v>6.5440526970601023E-5</v>
      </c>
      <c r="AD6" s="120">
        <f t="shared" si="1"/>
        <v>6.6083632670351869E-5</v>
      </c>
      <c r="AE6" s="120">
        <f t="shared" si="1"/>
        <v>6.6714733566234217E-5</v>
      </c>
      <c r="AF6" s="120">
        <f t="shared" si="1"/>
        <v>6.7360395090701968E-5</v>
      </c>
      <c r="AG6" s="120">
        <f>AG4</f>
        <v>6.8020768011389649E-5</v>
      </c>
    </row>
    <row r="7" spans="1:33">
      <c r="A7" s="1" t="s">
        <v>207</v>
      </c>
      <c r="B7" s="106">
        <f>Calculations!B21</f>
        <v>0</v>
      </c>
      <c r="C7" s="106">
        <f>Calculations!C21</f>
        <v>2.7391963567326677E-6</v>
      </c>
      <c r="D7" s="106">
        <f>Calculations!D21</f>
        <v>2.7035044659076721E-6</v>
      </c>
      <c r="E7" s="106">
        <f>Calculations!E21</f>
        <v>2.7185109089513134E-6</v>
      </c>
      <c r="F7" s="106">
        <f>Calculations!F21</f>
        <v>2.6548953511864552E-6</v>
      </c>
      <c r="G7" s="106">
        <f>Calculations!G21</f>
        <v>2.5938240556006943E-6</v>
      </c>
      <c r="H7" s="106">
        <f>Calculations!H21</f>
        <v>2.5590047049058328E-6</v>
      </c>
      <c r="I7" s="106">
        <f>Calculations!I21</f>
        <v>2.5255698817351428E-6</v>
      </c>
      <c r="J7" s="106">
        <f>Calculations!J21</f>
        <v>2.4924641444887069E-6</v>
      </c>
      <c r="K7" s="106">
        <f>Calculations!K21</f>
        <v>2.4630192775406348E-6</v>
      </c>
      <c r="L7" s="106">
        <f>Calculations!L21</f>
        <v>2.4357779715606827E-6</v>
      </c>
      <c r="M7" s="106">
        <f>Calculations!M21</f>
        <v>2.4088003669058073E-6</v>
      </c>
      <c r="N7" s="106">
        <f>Calculations!N21</f>
        <v>2.3521453421698969E-6</v>
      </c>
      <c r="O7" s="106">
        <f>Calculations!O21</f>
        <v>2.2951724180978702E-6</v>
      </c>
      <c r="P7" s="106">
        <f>Calculations!P21</f>
        <v>2.239345961688479E-6</v>
      </c>
      <c r="Q7" s="106">
        <f>Calculations!Q21</f>
        <v>2.1846450889852843E-6</v>
      </c>
      <c r="R7" s="106">
        <f>Calculations!R21</f>
        <v>2.1341259193027395E-6</v>
      </c>
      <c r="S7" s="106">
        <f>Calculations!S21</f>
        <v>2.0867486593158648E-6</v>
      </c>
      <c r="T7" s="106">
        <f>Calculations!T21</f>
        <v>2.0330794977210581E-6</v>
      </c>
      <c r="U7" s="106">
        <f>Calculations!U21</f>
        <v>1.9723930935543346E-6</v>
      </c>
      <c r="V7" s="106">
        <f>Calculations!V21</f>
        <v>1.9149939718104472E-6</v>
      </c>
      <c r="W7" s="106">
        <f>Calculations!W21</f>
        <v>1.8487998640968444E-6</v>
      </c>
      <c r="X7" s="106">
        <f>Calculations!X21</f>
        <v>1.7811388063656958E-6</v>
      </c>
      <c r="Y7" s="106">
        <f>Calculations!Y21</f>
        <v>1.7135669150580916E-6</v>
      </c>
      <c r="Z7" s="106">
        <f>Calculations!Z21</f>
        <v>1.6458522157100372E-6</v>
      </c>
      <c r="AA7" s="106">
        <f>Calculations!AA21</f>
        <v>1.575483666177147E-6</v>
      </c>
      <c r="AB7" s="106">
        <f>Calculations!AB21</f>
        <v>1.5017889045810586E-6</v>
      </c>
      <c r="AC7" s="106">
        <f>Calculations!AC21</f>
        <v>1.4283657904541146E-6</v>
      </c>
      <c r="AD7" s="106">
        <f>Calculations!AD21</f>
        <v>1.3565690643017471E-6</v>
      </c>
      <c r="AE7" s="106">
        <f>Calculations!AE21</f>
        <v>1.286237339449742E-6</v>
      </c>
      <c r="AF7" s="106">
        <f>Calculations!AF21</f>
        <v>1.2137009121876418E-6</v>
      </c>
      <c r="AG7" s="106">
        <f>Calculations!AG21</f>
        <v>1.1403423419222421E-6</v>
      </c>
    </row>
    <row r="8" spans="1:33">
      <c r="A8" s="1" t="s">
        <v>319</v>
      </c>
      <c r="B8" s="120">
        <f>B5</f>
        <v>0</v>
      </c>
      <c r="C8" s="120">
        <f t="shared" ref="C8:AF8" si="2">C5</f>
        <v>1.3596146153614844E-5</v>
      </c>
      <c r="D8" s="120">
        <f t="shared" si="2"/>
        <v>1.248535933849571E-5</v>
      </c>
      <c r="E8" s="120">
        <f t="shared" si="2"/>
        <v>1.2314358584448748E-5</v>
      </c>
      <c r="F8" s="120">
        <f t="shared" si="2"/>
        <v>1.2463043400758694E-5</v>
      </c>
      <c r="G8" s="120">
        <f t="shared" si="2"/>
        <v>1.2602232441207277E-5</v>
      </c>
      <c r="H8" s="120">
        <f t="shared" si="2"/>
        <v>1.2700106171352834E-5</v>
      </c>
      <c r="I8" s="120">
        <f t="shared" si="2"/>
        <v>1.2795803017792617E-5</v>
      </c>
      <c r="J8" s="120">
        <f t="shared" si="2"/>
        <v>1.287634952877253E-5</v>
      </c>
      <c r="K8" s="120">
        <f t="shared" si="2"/>
        <v>1.293927509910824E-5</v>
      </c>
      <c r="L8" s="120">
        <f t="shared" si="2"/>
        <v>1.2994713037764601E-5</v>
      </c>
      <c r="M8" s="120">
        <f t="shared" si="2"/>
        <v>1.3050698720626326E-5</v>
      </c>
      <c r="N8" s="120">
        <f t="shared" si="2"/>
        <v>1.3169120766011463E-5</v>
      </c>
      <c r="O8" s="120">
        <f t="shared" si="2"/>
        <v>1.3288817899419017E-5</v>
      </c>
      <c r="P8" s="120">
        <f t="shared" si="2"/>
        <v>1.3406144591763579E-5</v>
      </c>
      <c r="Q8" s="120">
        <f t="shared" si="2"/>
        <v>1.3523571074412527E-5</v>
      </c>
      <c r="R8" s="120">
        <f t="shared" si="2"/>
        <v>1.3626401649126733E-5</v>
      </c>
      <c r="S8" s="120">
        <f t="shared" si="2"/>
        <v>1.3723086735754284E-5</v>
      </c>
      <c r="T8" s="120">
        <f t="shared" si="2"/>
        <v>1.3828692535595457E-5</v>
      </c>
      <c r="U8" s="120">
        <f t="shared" si="2"/>
        <v>1.3944686619606478E-5</v>
      </c>
      <c r="V8" s="120">
        <f t="shared" si="2"/>
        <v>1.4050400151988045E-5</v>
      </c>
      <c r="W8" s="120">
        <f t="shared" si="2"/>
        <v>1.4170057413145971E-5</v>
      </c>
      <c r="X8" s="120">
        <f t="shared" si="2"/>
        <v>1.4292273471830811E-5</v>
      </c>
      <c r="Y8" s="120">
        <f t="shared" si="2"/>
        <v>1.4412833183450337E-5</v>
      </c>
      <c r="Z8" s="120">
        <f t="shared" si="2"/>
        <v>1.4531552825422725E-5</v>
      </c>
      <c r="AA8" s="120">
        <f t="shared" si="2"/>
        <v>1.4652379698663127E-5</v>
      </c>
      <c r="AB8" s="120">
        <f t="shared" si="2"/>
        <v>1.4778812453172526E-5</v>
      </c>
      <c r="AC8" s="120">
        <f t="shared" si="2"/>
        <v>1.4902288865825739E-5</v>
      </c>
      <c r="AD8" s="120">
        <f t="shared" si="2"/>
        <v>1.5022946616114167E-5</v>
      </c>
      <c r="AE8" s="120">
        <f t="shared" si="2"/>
        <v>1.513797204095962E-5</v>
      </c>
      <c r="AF8" s="120">
        <f t="shared" si="2"/>
        <v>1.5258822572798604E-5</v>
      </c>
      <c r="AG8" s="120">
        <f>AG5</f>
        <v>1.538433798663804E-5</v>
      </c>
    </row>
    <row r="9" spans="1:33">
      <c r="A9" s="1" t="s">
        <v>320</v>
      </c>
      <c r="B9" s="120">
        <f>B5</f>
        <v>0</v>
      </c>
      <c r="C9" s="120">
        <f t="shared" ref="C9:AG9" si="3">C5</f>
        <v>1.3596146153614844E-5</v>
      </c>
      <c r="D9" s="120">
        <f t="shared" si="3"/>
        <v>1.248535933849571E-5</v>
      </c>
      <c r="E9" s="120">
        <f t="shared" si="3"/>
        <v>1.2314358584448748E-5</v>
      </c>
      <c r="F9" s="120">
        <f t="shared" si="3"/>
        <v>1.2463043400758694E-5</v>
      </c>
      <c r="G9" s="120">
        <f t="shared" si="3"/>
        <v>1.2602232441207277E-5</v>
      </c>
      <c r="H9" s="120">
        <f t="shared" si="3"/>
        <v>1.2700106171352834E-5</v>
      </c>
      <c r="I9" s="120">
        <f t="shared" si="3"/>
        <v>1.2795803017792617E-5</v>
      </c>
      <c r="J9" s="120">
        <f t="shared" si="3"/>
        <v>1.287634952877253E-5</v>
      </c>
      <c r="K9" s="120">
        <f t="shared" si="3"/>
        <v>1.293927509910824E-5</v>
      </c>
      <c r="L9" s="120">
        <f t="shared" si="3"/>
        <v>1.2994713037764601E-5</v>
      </c>
      <c r="M9" s="120">
        <f t="shared" si="3"/>
        <v>1.3050698720626326E-5</v>
      </c>
      <c r="N9" s="120">
        <f t="shared" si="3"/>
        <v>1.3169120766011463E-5</v>
      </c>
      <c r="O9" s="120">
        <f t="shared" si="3"/>
        <v>1.3288817899419017E-5</v>
      </c>
      <c r="P9" s="120">
        <f t="shared" si="3"/>
        <v>1.3406144591763579E-5</v>
      </c>
      <c r="Q9" s="120">
        <f t="shared" si="3"/>
        <v>1.3523571074412527E-5</v>
      </c>
      <c r="R9" s="120">
        <f t="shared" si="3"/>
        <v>1.3626401649126733E-5</v>
      </c>
      <c r="S9" s="120">
        <f t="shared" si="3"/>
        <v>1.3723086735754284E-5</v>
      </c>
      <c r="T9" s="120">
        <f t="shared" si="3"/>
        <v>1.3828692535595457E-5</v>
      </c>
      <c r="U9" s="120">
        <f t="shared" si="3"/>
        <v>1.3944686619606478E-5</v>
      </c>
      <c r="V9" s="120">
        <f t="shared" si="3"/>
        <v>1.4050400151988045E-5</v>
      </c>
      <c r="W9" s="120">
        <f t="shared" si="3"/>
        <v>1.4170057413145971E-5</v>
      </c>
      <c r="X9" s="120">
        <f t="shared" si="3"/>
        <v>1.4292273471830811E-5</v>
      </c>
      <c r="Y9" s="120">
        <f t="shared" si="3"/>
        <v>1.4412833183450337E-5</v>
      </c>
      <c r="Z9" s="120">
        <f t="shared" si="3"/>
        <v>1.4531552825422725E-5</v>
      </c>
      <c r="AA9" s="120">
        <f t="shared" si="3"/>
        <v>1.4652379698663127E-5</v>
      </c>
      <c r="AB9" s="120">
        <f t="shared" si="3"/>
        <v>1.4778812453172526E-5</v>
      </c>
      <c r="AC9" s="120">
        <f t="shared" si="3"/>
        <v>1.4902288865825739E-5</v>
      </c>
      <c r="AD9" s="120">
        <f t="shared" si="3"/>
        <v>1.5022946616114167E-5</v>
      </c>
      <c r="AE9" s="120">
        <f t="shared" si="3"/>
        <v>1.513797204095962E-5</v>
      </c>
      <c r="AF9" s="120">
        <f t="shared" si="3"/>
        <v>1.5258822572798604E-5</v>
      </c>
      <c r="AG9" s="120">
        <f t="shared" si="3"/>
        <v>1.538433798663804E-5</v>
      </c>
    </row>
    <row r="10" spans="1:33">
      <c r="A10" s="1" t="s">
        <v>321</v>
      </c>
      <c r="B10" s="120">
        <f>B4</f>
        <v>0</v>
      </c>
      <c r="C10" s="120">
        <f t="shared" ref="C10:AG10" si="4">C4</f>
        <v>4.6986801095974462E-5</v>
      </c>
      <c r="D10" s="120">
        <f t="shared" si="4"/>
        <v>4.9317819911485171E-5</v>
      </c>
      <c r="E10" s="120">
        <f t="shared" si="4"/>
        <v>4.8135558391912264E-5</v>
      </c>
      <c r="F10" s="120">
        <f t="shared" si="4"/>
        <v>4.8817106556237436E-5</v>
      </c>
      <c r="G10" s="120">
        <f t="shared" si="4"/>
        <v>4.9414567714491681E-5</v>
      </c>
      <c r="H10" s="120">
        <f t="shared" si="4"/>
        <v>5.0152799160989165E-5</v>
      </c>
      <c r="I10" s="120">
        <f t="shared" si="4"/>
        <v>5.1016723187831479E-5</v>
      </c>
      <c r="J10" s="120">
        <f t="shared" si="4"/>
        <v>5.1933959657348385E-5</v>
      </c>
      <c r="K10" s="120">
        <f t="shared" si="4"/>
        <v>5.283057416383122E-5</v>
      </c>
      <c r="L10" s="120">
        <f t="shared" si="4"/>
        <v>5.3744044954273362E-5</v>
      </c>
      <c r="M10" s="120">
        <f t="shared" si="4"/>
        <v>5.4705033424374188E-5</v>
      </c>
      <c r="N10" s="120">
        <f t="shared" si="4"/>
        <v>5.5525373495691936E-5</v>
      </c>
      <c r="O10" s="120">
        <f t="shared" si="4"/>
        <v>5.6301189353241666E-5</v>
      </c>
      <c r="P10" s="120">
        <f t="shared" si="4"/>
        <v>5.705014629823155E-5</v>
      </c>
      <c r="Q10" s="120">
        <f t="shared" si="4"/>
        <v>5.7773537404578185E-5</v>
      </c>
      <c r="R10" s="120">
        <f t="shared" si="4"/>
        <v>5.8459700633469831E-5</v>
      </c>
      <c r="S10" s="120">
        <f t="shared" si="4"/>
        <v>5.9128890999332881E-5</v>
      </c>
      <c r="T10" s="120">
        <f t="shared" si="4"/>
        <v>5.9790304176831497E-5</v>
      </c>
      <c r="U10" s="120">
        <f t="shared" si="4"/>
        <v>6.0425763016830828E-5</v>
      </c>
      <c r="V10" s="120">
        <f t="shared" si="4"/>
        <v>6.1043907423571401E-5</v>
      </c>
      <c r="W10" s="120">
        <f t="shared" si="4"/>
        <v>6.1642654798959741E-5</v>
      </c>
      <c r="X10" s="120">
        <f t="shared" si="4"/>
        <v>6.2253228035448599E-5</v>
      </c>
      <c r="Y10" s="120">
        <f t="shared" si="4"/>
        <v>6.2878101545256934E-5</v>
      </c>
      <c r="Z10" s="120">
        <f t="shared" si="4"/>
        <v>6.3513349037911543E-5</v>
      </c>
      <c r="AA10" s="120">
        <f t="shared" si="4"/>
        <v>6.4153478160998407E-5</v>
      </c>
      <c r="AB10" s="120">
        <f t="shared" si="4"/>
        <v>6.4799812675734136E-5</v>
      </c>
      <c r="AC10" s="120">
        <f t="shared" si="4"/>
        <v>6.5440526970601023E-5</v>
      </c>
      <c r="AD10" s="120">
        <f t="shared" si="4"/>
        <v>6.6083632670351869E-5</v>
      </c>
      <c r="AE10" s="120">
        <f t="shared" si="4"/>
        <v>6.6714733566234217E-5</v>
      </c>
      <c r="AF10" s="120">
        <f t="shared" si="4"/>
        <v>6.7360395090701968E-5</v>
      </c>
      <c r="AG10" s="120">
        <f t="shared" si="4"/>
        <v>6.8020768011389649E-5</v>
      </c>
    </row>
    <row r="11" spans="1:33">
      <c r="A11" s="1" t="s">
        <v>322</v>
      </c>
      <c r="B11" s="120">
        <f>B4</f>
        <v>0</v>
      </c>
      <c r="C11" s="120">
        <f t="shared" ref="C11:AG11" si="5">C4</f>
        <v>4.6986801095974462E-5</v>
      </c>
      <c r="D11" s="120">
        <f t="shared" si="5"/>
        <v>4.9317819911485171E-5</v>
      </c>
      <c r="E11" s="120">
        <f t="shared" si="5"/>
        <v>4.8135558391912264E-5</v>
      </c>
      <c r="F11" s="120">
        <f t="shared" si="5"/>
        <v>4.8817106556237436E-5</v>
      </c>
      <c r="G11" s="120">
        <f t="shared" si="5"/>
        <v>4.9414567714491681E-5</v>
      </c>
      <c r="H11" s="120">
        <f t="shared" si="5"/>
        <v>5.0152799160989165E-5</v>
      </c>
      <c r="I11" s="120">
        <f t="shared" si="5"/>
        <v>5.1016723187831479E-5</v>
      </c>
      <c r="J11" s="120">
        <f t="shared" si="5"/>
        <v>5.1933959657348385E-5</v>
      </c>
      <c r="K11" s="120">
        <f t="shared" si="5"/>
        <v>5.283057416383122E-5</v>
      </c>
      <c r="L11" s="120">
        <f t="shared" si="5"/>
        <v>5.3744044954273362E-5</v>
      </c>
      <c r="M11" s="120">
        <f t="shared" si="5"/>
        <v>5.4705033424374188E-5</v>
      </c>
      <c r="N11" s="120">
        <f t="shared" si="5"/>
        <v>5.5525373495691936E-5</v>
      </c>
      <c r="O11" s="120">
        <f t="shared" si="5"/>
        <v>5.6301189353241666E-5</v>
      </c>
      <c r="P11" s="120">
        <f t="shared" si="5"/>
        <v>5.705014629823155E-5</v>
      </c>
      <c r="Q11" s="120">
        <f t="shared" si="5"/>
        <v>5.7773537404578185E-5</v>
      </c>
      <c r="R11" s="120">
        <f t="shared" si="5"/>
        <v>5.8459700633469831E-5</v>
      </c>
      <c r="S11" s="120">
        <f t="shared" si="5"/>
        <v>5.9128890999332881E-5</v>
      </c>
      <c r="T11" s="120">
        <f t="shared" si="5"/>
        <v>5.9790304176831497E-5</v>
      </c>
      <c r="U11" s="120">
        <f t="shared" si="5"/>
        <v>6.0425763016830828E-5</v>
      </c>
      <c r="V11" s="120">
        <f t="shared" si="5"/>
        <v>6.1043907423571401E-5</v>
      </c>
      <c r="W11" s="120">
        <f t="shared" si="5"/>
        <v>6.1642654798959741E-5</v>
      </c>
      <c r="X11" s="120">
        <f t="shared" si="5"/>
        <v>6.2253228035448599E-5</v>
      </c>
      <c r="Y11" s="120">
        <f t="shared" si="5"/>
        <v>6.2878101545256934E-5</v>
      </c>
      <c r="Z11" s="120">
        <f t="shared" si="5"/>
        <v>6.3513349037911543E-5</v>
      </c>
      <c r="AA11" s="120">
        <f t="shared" si="5"/>
        <v>6.4153478160998407E-5</v>
      </c>
      <c r="AB11" s="120">
        <f t="shared" si="5"/>
        <v>6.4799812675734136E-5</v>
      </c>
      <c r="AC11" s="120">
        <f t="shared" si="5"/>
        <v>6.5440526970601023E-5</v>
      </c>
      <c r="AD11" s="120">
        <f t="shared" si="5"/>
        <v>6.6083632670351869E-5</v>
      </c>
      <c r="AE11" s="120">
        <f t="shared" si="5"/>
        <v>6.6714733566234217E-5</v>
      </c>
      <c r="AF11" s="120">
        <f t="shared" si="5"/>
        <v>6.7360395090701968E-5</v>
      </c>
      <c r="AG11" s="120">
        <f t="shared" si="5"/>
        <v>6.8020768011389649E-5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AG11"/>
  <sheetViews>
    <sheetView topLeftCell="AE1" zoomScaleNormal="100" workbookViewId="0">
      <selection activeCell="AH1" sqref="AH1:AQ1048576"/>
    </sheetView>
  </sheetViews>
  <sheetFormatPr defaultRowHeight="14.5"/>
  <cols>
    <col min="1" max="1" width="29.81640625" customWidth="1"/>
    <col min="2" max="31" width="10" customWidth="1"/>
    <col min="32" max="33" width="11.453125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0</v>
      </c>
      <c r="C3" s="120">
        <f t="shared" ref="C3:AF3" si="0">C4</f>
        <v>8.9447496175339696E-6</v>
      </c>
      <c r="D3" s="120">
        <f t="shared" si="0"/>
        <v>9.0612648368949834E-6</v>
      </c>
      <c r="E3" s="120">
        <f t="shared" si="0"/>
        <v>9.1285986358226108E-6</v>
      </c>
      <c r="F3" s="120">
        <f t="shared" si="0"/>
        <v>9.1650836774078401E-6</v>
      </c>
      <c r="G3" s="120">
        <f t="shared" si="0"/>
        <v>9.1789906904645387E-6</v>
      </c>
      <c r="H3" s="120">
        <f t="shared" si="0"/>
        <v>9.20298261644773E-6</v>
      </c>
      <c r="I3" s="120">
        <f t="shared" si="0"/>
        <v>9.2359245028687306E-6</v>
      </c>
      <c r="J3" s="120">
        <f t="shared" si="0"/>
        <v>9.2732432154183887E-6</v>
      </c>
      <c r="K3" s="120">
        <f t="shared" si="0"/>
        <v>9.3035855199663933E-6</v>
      </c>
      <c r="L3" s="120">
        <f t="shared" si="0"/>
        <v>9.33014094916477E-6</v>
      </c>
      <c r="M3" s="120">
        <f t="shared" si="0"/>
        <v>9.3720239629683599E-6</v>
      </c>
      <c r="N3" s="120">
        <f t="shared" si="0"/>
        <v>9.4086453292806292E-6</v>
      </c>
      <c r="O3" s="120">
        <f t="shared" si="0"/>
        <v>9.436568758184178E-6</v>
      </c>
      <c r="P3" s="120">
        <f t="shared" si="0"/>
        <v>9.4582624382641574E-6</v>
      </c>
      <c r="Q3" s="120">
        <f t="shared" si="0"/>
        <v>9.4780465258887288E-6</v>
      </c>
      <c r="R3" s="120">
        <f t="shared" si="0"/>
        <v>9.4950706231346323E-6</v>
      </c>
      <c r="S3" s="120">
        <f t="shared" si="0"/>
        <v>9.5124138114574054E-6</v>
      </c>
      <c r="T3" s="120">
        <f t="shared" si="0"/>
        <v>9.5317449162035221E-6</v>
      </c>
      <c r="U3" s="120">
        <f t="shared" si="0"/>
        <v>9.5519487085579517E-6</v>
      </c>
      <c r="V3" s="120">
        <f t="shared" si="0"/>
        <v>9.5725488836314857E-6</v>
      </c>
      <c r="W3" s="120">
        <f t="shared" si="0"/>
        <v>9.593979627233775E-6</v>
      </c>
      <c r="X3" s="120">
        <f t="shared" si="0"/>
        <v>9.6176179157390412E-6</v>
      </c>
      <c r="Y3" s="120">
        <f t="shared" si="0"/>
        <v>9.641996505192648E-6</v>
      </c>
      <c r="Z3" s="120">
        <f t="shared" si="0"/>
        <v>9.6645378554143839E-6</v>
      </c>
      <c r="AA3" s="120">
        <f t="shared" si="0"/>
        <v>9.6847029312269019E-6</v>
      </c>
      <c r="AB3" s="120">
        <f t="shared" si="0"/>
        <v>9.7017810580318422E-6</v>
      </c>
      <c r="AC3" s="120">
        <f t="shared" si="0"/>
        <v>9.7150287314299474E-6</v>
      </c>
      <c r="AD3" s="120">
        <f t="shared" si="0"/>
        <v>9.7252424605608594E-6</v>
      </c>
      <c r="AE3" s="120">
        <f t="shared" si="0"/>
        <v>9.7313657869065903E-6</v>
      </c>
      <c r="AF3" s="120">
        <f t="shared" si="0"/>
        <v>9.7363923906150918E-6</v>
      </c>
      <c r="AG3" s="120">
        <f>AG4</f>
        <v>9.7423930916904569E-6</v>
      </c>
    </row>
    <row r="4" spans="1:33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3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3">
      <c r="A6" s="1" t="s">
        <v>318</v>
      </c>
      <c r="B6" s="120">
        <f>B4</f>
        <v>0</v>
      </c>
      <c r="C6" s="120">
        <f t="shared" ref="C6:AG6" si="1">C4</f>
        <v>8.9447496175339696E-6</v>
      </c>
      <c r="D6" s="120">
        <f t="shared" si="1"/>
        <v>9.0612648368949834E-6</v>
      </c>
      <c r="E6" s="120">
        <f t="shared" si="1"/>
        <v>9.1285986358226108E-6</v>
      </c>
      <c r="F6" s="120">
        <f t="shared" si="1"/>
        <v>9.1650836774078401E-6</v>
      </c>
      <c r="G6" s="120">
        <f t="shared" si="1"/>
        <v>9.1789906904645387E-6</v>
      </c>
      <c r="H6" s="120">
        <f t="shared" si="1"/>
        <v>9.20298261644773E-6</v>
      </c>
      <c r="I6" s="120">
        <f t="shared" si="1"/>
        <v>9.2359245028687306E-6</v>
      </c>
      <c r="J6" s="120">
        <f t="shared" si="1"/>
        <v>9.2732432154183887E-6</v>
      </c>
      <c r="K6" s="120">
        <f t="shared" si="1"/>
        <v>9.3035855199663933E-6</v>
      </c>
      <c r="L6" s="120">
        <f t="shared" si="1"/>
        <v>9.33014094916477E-6</v>
      </c>
      <c r="M6" s="120">
        <f t="shared" si="1"/>
        <v>9.3720239629683599E-6</v>
      </c>
      <c r="N6" s="120">
        <f t="shared" si="1"/>
        <v>9.4086453292806292E-6</v>
      </c>
      <c r="O6" s="120">
        <f t="shared" si="1"/>
        <v>9.436568758184178E-6</v>
      </c>
      <c r="P6" s="120">
        <f t="shared" si="1"/>
        <v>9.4582624382641574E-6</v>
      </c>
      <c r="Q6" s="120">
        <f t="shared" si="1"/>
        <v>9.4780465258887288E-6</v>
      </c>
      <c r="R6" s="120">
        <f t="shared" si="1"/>
        <v>9.4950706231346323E-6</v>
      </c>
      <c r="S6" s="120">
        <f t="shared" si="1"/>
        <v>9.5124138114574054E-6</v>
      </c>
      <c r="T6" s="120">
        <f t="shared" si="1"/>
        <v>9.5317449162035221E-6</v>
      </c>
      <c r="U6" s="120">
        <f t="shared" si="1"/>
        <v>9.5519487085579517E-6</v>
      </c>
      <c r="V6" s="120">
        <f t="shared" si="1"/>
        <v>9.5725488836314857E-6</v>
      </c>
      <c r="W6" s="120">
        <f t="shared" si="1"/>
        <v>9.593979627233775E-6</v>
      </c>
      <c r="X6" s="120">
        <f t="shared" si="1"/>
        <v>9.6176179157390412E-6</v>
      </c>
      <c r="Y6" s="120">
        <f t="shared" si="1"/>
        <v>9.641996505192648E-6</v>
      </c>
      <c r="Z6" s="120">
        <f t="shared" si="1"/>
        <v>9.6645378554143839E-6</v>
      </c>
      <c r="AA6" s="120">
        <f t="shared" si="1"/>
        <v>9.6847029312269019E-6</v>
      </c>
      <c r="AB6" s="120">
        <f t="shared" si="1"/>
        <v>9.7017810580318422E-6</v>
      </c>
      <c r="AC6" s="120">
        <f t="shared" si="1"/>
        <v>9.7150287314299474E-6</v>
      </c>
      <c r="AD6" s="120">
        <f t="shared" si="1"/>
        <v>9.7252424605608594E-6</v>
      </c>
      <c r="AE6" s="120">
        <f t="shared" si="1"/>
        <v>9.7313657869065903E-6</v>
      </c>
      <c r="AF6" s="120">
        <f t="shared" si="1"/>
        <v>9.7363923906150918E-6</v>
      </c>
      <c r="AG6" s="120">
        <f t="shared" si="1"/>
        <v>9.7423930916904569E-6</v>
      </c>
    </row>
    <row r="7" spans="1:33">
      <c r="A7" s="1" t="s">
        <v>207</v>
      </c>
      <c r="B7" s="120">
        <f>B5</f>
        <v>0</v>
      </c>
      <c r="C7" s="120">
        <f t="shared" ref="C7:AG7" si="2">C5</f>
        <v>-2.5773740232572448E-5</v>
      </c>
      <c r="D7" s="120">
        <f t="shared" si="2"/>
        <v>-2.6222272756219751E-5</v>
      </c>
      <c r="E7" s="120">
        <f t="shared" si="2"/>
        <v>-2.6855921110816306E-5</v>
      </c>
      <c r="F7" s="120">
        <f t="shared" si="2"/>
        <v>-2.7695360489932262E-5</v>
      </c>
      <c r="G7" s="120">
        <f t="shared" si="2"/>
        <v>-2.8479783557657326E-5</v>
      </c>
      <c r="H7" s="120">
        <f t="shared" si="2"/>
        <v>-2.9119672843080487E-5</v>
      </c>
      <c r="I7" s="120">
        <f t="shared" si="2"/>
        <v>-2.9680128372044583E-5</v>
      </c>
      <c r="J7" s="120">
        <f t="shared" si="2"/>
        <v>-3.0120020894163024E-5</v>
      </c>
      <c r="K7" s="120">
        <f t="shared" si="2"/>
        <v>-3.0424872585285659E-5</v>
      </c>
      <c r="L7" s="120">
        <f t="shared" si="2"/>
        <v>-3.0604403892265655E-5</v>
      </c>
      <c r="M7" s="120">
        <f t="shared" si="2"/>
        <v>-3.0675902942505366E-5</v>
      </c>
      <c r="N7" s="120">
        <f t="shared" si="2"/>
        <v>-3.0746146799496163E-5</v>
      </c>
      <c r="O7" s="120">
        <f t="shared" si="2"/>
        <v>-3.0819416361629186E-5</v>
      </c>
      <c r="P7" s="120">
        <f t="shared" si="2"/>
        <v>-3.0891114520030685E-5</v>
      </c>
      <c r="Q7" s="120">
        <f t="shared" si="2"/>
        <v>-3.0965343974820143E-5</v>
      </c>
      <c r="R7" s="120">
        <f t="shared" si="2"/>
        <v>-3.1021284030696146E-5</v>
      </c>
      <c r="S7" s="120">
        <f t="shared" si="2"/>
        <v>-3.1068282347118689E-5</v>
      </c>
      <c r="T7" s="120">
        <f t="shared" si="2"/>
        <v>-3.1141031668658404E-5</v>
      </c>
      <c r="U7" s="120">
        <f t="shared" si="2"/>
        <v>-3.1245343105876321E-5</v>
      </c>
      <c r="V7" s="120">
        <f t="shared" si="2"/>
        <v>-3.1336193118937575E-5</v>
      </c>
      <c r="W7" s="120">
        <f t="shared" si="2"/>
        <v>-3.146349251060445E-5</v>
      </c>
      <c r="X7" s="120">
        <f t="shared" si="2"/>
        <v>-3.1594902847119152E-5</v>
      </c>
      <c r="Y7" s="120">
        <f t="shared" si="2"/>
        <v>-3.1719765067270732E-5</v>
      </c>
      <c r="Z7" s="120">
        <f t="shared" si="2"/>
        <v>-3.1830734873333794E-5</v>
      </c>
      <c r="AA7" s="120">
        <f t="shared" si="2"/>
        <v>-3.1936308911663536E-5</v>
      </c>
      <c r="AB7" s="120">
        <f t="shared" si="2"/>
        <v>-3.2043106306306312E-5</v>
      </c>
      <c r="AC7" s="120">
        <f t="shared" si="2"/>
        <v>-3.212885748261983E-5</v>
      </c>
      <c r="AD7" s="120">
        <f t="shared" si="2"/>
        <v>-3.2194454241692963E-5</v>
      </c>
      <c r="AE7" s="120">
        <f t="shared" si="2"/>
        <v>-3.223895309441349E-5</v>
      </c>
      <c r="AF7" s="120">
        <f t="shared" si="2"/>
        <v>-3.2286472092845694E-5</v>
      </c>
      <c r="AG7" s="120">
        <f t="shared" si="2"/>
        <v>-3.2333580471562971E-5</v>
      </c>
    </row>
    <row r="8" spans="1:33">
      <c r="A8" s="1" t="s">
        <v>319</v>
      </c>
      <c r="B8" s="120">
        <f>B5</f>
        <v>0</v>
      </c>
      <c r="C8" s="120">
        <f t="shared" ref="C8:AG8" si="3">C5</f>
        <v>-2.5773740232572448E-5</v>
      </c>
      <c r="D8" s="120">
        <f t="shared" si="3"/>
        <v>-2.6222272756219751E-5</v>
      </c>
      <c r="E8" s="120">
        <f t="shared" si="3"/>
        <v>-2.6855921110816306E-5</v>
      </c>
      <c r="F8" s="120">
        <f t="shared" si="3"/>
        <v>-2.7695360489932262E-5</v>
      </c>
      <c r="G8" s="120">
        <f t="shared" si="3"/>
        <v>-2.8479783557657326E-5</v>
      </c>
      <c r="H8" s="120">
        <f t="shared" si="3"/>
        <v>-2.9119672843080487E-5</v>
      </c>
      <c r="I8" s="120">
        <f t="shared" si="3"/>
        <v>-2.9680128372044583E-5</v>
      </c>
      <c r="J8" s="120">
        <f t="shared" si="3"/>
        <v>-3.0120020894163024E-5</v>
      </c>
      <c r="K8" s="120">
        <f t="shared" si="3"/>
        <v>-3.0424872585285659E-5</v>
      </c>
      <c r="L8" s="120">
        <f t="shared" si="3"/>
        <v>-3.0604403892265655E-5</v>
      </c>
      <c r="M8" s="120">
        <f t="shared" si="3"/>
        <v>-3.0675902942505366E-5</v>
      </c>
      <c r="N8" s="120">
        <f t="shared" si="3"/>
        <v>-3.0746146799496163E-5</v>
      </c>
      <c r="O8" s="120">
        <f t="shared" si="3"/>
        <v>-3.0819416361629186E-5</v>
      </c>
      <c r="P8" s="120">
        <f t="shared" si="3"/>
        <v>-3.0891114520030685E-5</v>
      </c>
      <c r="Q8" s="120">
        <f t="shared" si="3"/>
        <v>-3.0965343974820143E-5</v>
      </c>
      <c r="R8" s="120">
        <f t="shared" si="3"/>
        <v>-3.1021284030696146E-5</v>
      </c>
      <c r="S8" s="120">
        <f t="shared" si="3"/>
        <v>-3.1068282347118689E-5</v>
      </c>
      <c r="T8" s="120">
        <f t="shared" si="3"/>
        <v>-3.1141031668658404E-5</v>
      </c>
      <c r="U8" s="120">
        <f t="shared" si="3"/>
        <v>-3.1245343105876321E-5</v>
      </c>
      <c r="V8" s="120">
        <f t="shared" si="3"/>
        <v>-3.1336193118937575E-5</v>
      </c>
      <c r="W8" s="120">
        <f t="shared" si="3"/>
        <v>-3.146349251060445E-5</v>
      </c>
      <c r="X8" s="120">
        <f t="shared" si="3"/>
        <v>-3.1594902847119152E-5</v>
      </c>
      <c r="Y8" s="120">
        <f t="shared" si="3"/>
        <v>-3.1719765067270732E-5</v>
      </c>
      <c r="Z8" s="120">
        <f t="shared" si="3"/>
        <v>-3.1830734873333794E-5</v>
      </c>
      <c r="AA8" s="120">
        <f t="shared" si="3"/>
        <v>-3.1936308911663536E-5</v>
      </c>
      <c r="AB8" s="120">
        <f t="shared" si="3"/>
        <v>-3.2043106306306312E-5</v>
      </c>
      <c r="AC8" s="120">
        <f t="shared" si="3"/>
        <v>-3.212885748261983E-5</v>
      </c>
      <c r="AD8" s="120">
        <f t="shared" si="3"/>
        <v>-3.2194454241692963E-5</v>
      </c>
      <c r="AE8" s="120">
        <f t="shared" si="3"/>
        <v>-3.223895309441349E-5</v>
      </c>
      <c r="AF8" s="120">
        <f t="shared" si="3"/>
        <v>-3.2286472092845694E-5</v>
      </c>
      <c r="AG8" s="120">
        <f t="shared" si="3"/>
        <v>-3.2333580471562971E-5</v>
      </c>
    </row>
    <row r="9" spans="1:33">
      <c r="A9" s="1" t="s">
        <v>320</v>
      </c>
      <c r="B9" s="120">
        <f>B5</f>
        <v>0</v>
      </c>
      <c r="C9" s="120">
        <f t="shared" ref="C9:AG9" si="4">C5</f>
        <v>-2.5773740232572448E-5</v>
      </c>
      <c r="D9" s="120">
        <f t="shared" si="4"/>
        <v>-2.6222272756219751E-5</v>
      </c>
      <c r="E9" s="120">
        <f t="shared" si="4"/>
        <v>-2.6855921110816306E-5</v>
      </c>
      <c r="F9" s="120">
        <f t="shared" si="4"/>
        <v>-2.7695360489932262E-5</v>
      </c>
      <c r="G9" s="120">
        <f t="shared" si="4"/>
        <v>-2.8479783557657326E-5</v>
      </c>
      <c r="H9" s="120">
        <f t="shared" si="4"/>
        <v>-2.9119672843080487E-5</v>
      </c>
      <c r="I9" s="120">
        <f t="shared" si="4"/>
        <v>-2.9680128372044583E-5</v>
      </c>
      <c r="J9" s="120">
        <f t="shared" si="4"/>
        <v>-3.0120020894163024E-5</v>
      </c>
      <c r="K9" s="120">
        <f t="shared" si="4"/>
        <v>-3.0424872585285659E-5</v>
      </c>
      <c r="L9" s="120">
        <f t="shared" si="4"/>
        <v>-3.0604403892265655E-5</v>
      </c>
      <c r="M9" s="120">
        <f t="shared" si="4"/>
        <v>-3.0675902942505366E-5</v>
      </c>
      <c r="N9" s="120">
        <f t="shared" si="4"/>
        <v>-3.0746146799496163E-5</v>
      </c>
      <c r="O9" s="120">
        <f t="shared" si="4"/>
        <v>-3.0819416361629186E-5</v>
      </c>
      <c r="P9" s="120">
        <f t="shared" si="4"/>
        <v>-3.0891114520030685E-5</v>
      </c>
      <c r="Q9" s="120">
        <f t="shared" si="4"/>
        <v>-3.0965343974820143E-5</v>
      </c>
      <c r="R9" s="120">
        <f t="shared" si="4"/>
        <v>-3.1021284030696146E-5</v>
      </c>
      <c r="S9" s="120">
        <f t="shared" si="4"/>
        <v>-3.1068282347118689E-5</v>
      </c>
      <c r="T9" s="120">
        <f t="shared" si="4"/>
        <v>-3.1141031668658404E-5</v>
      </c>
      <c r="U9" s="120">
        <f t="shared" si="4"/>
        <v>-3.1245343105876321E-5</v>
      </c>
      <c r="V9" s="120">
        <f t="shared" si="4"/>
        <v>-3.1336193118937575E-5</v>
      </c>
      <c r="W9" s="120">
        <f t="shared" si="4"/>
        <v>-3.146349251060445E-5</v>
      </c>
      <c r="X9" s="120">
        <f t="shared" si="4"/>
        <v>-3.1594902847119152E-5</v>
      </c>
      <c r="Y9" s="120">
        <f t="shared" si="4"/>
        <v>-3.1719765067270732E-5</v>
      </c>
      <c r="Z9" s="120">
        <f t="shared" si="4"/>
        <v>-3.1830734873333794E-5</v>
      </c>
      <c r="AA9" s="120">
        <f t="shared" si="4"/>
        <v>-3.1936308911663536E-5</v>
      </c>
      <c r="AB9" s="120">
        <f t="shared" si="4"/>
        <v>-3.2043106306306312E-5</v>
      </c>
      <c r="AC9" s="120">
        <f t="shared" si="4"/>
        <v>-3.212885748261983E-5</v>
      </c>
      <c r="AD9" s="120">
        <f t="shared" si="4"/>
        <v>-3.2194454241692963E-5</v>
      </c>
      <c r="AE9" s="120">
        <f t="shared" si="4"/>
        <v>-3.223895309441349E-5</v>
      </c>
      <c r="AF9" s="120">
        <f t="shared" si="4"/>
        <v>-3.2286472092845694E-5</v>
      </c>
      <c r="AG9" s="120">
        <f t="shared" si="4"/>
        <v>-3.2333580471562971E-5</v>
      </c>
    </row>
    <row r="10" spans="1:33">
      <c r="A10" s="1" t="s">
        <v>321</v>
      </c>
      <c r="B10" s="120">
        <f>B4</f>
        <v>0</v>
      </c>
      <c r="C10" s="120">
        <f t="shared" ref="C10:AG10" si="5">C4</f>
        <v>8.9447496175339696E-6</v>
      </c>
      <c r="D10" s="120">
        <f t="shared" si="5"/>
        <v>9.0612648368949834E-6</v>
      </c>
      <c r="E10" s="120">
        <f t="shared" si="5"/>
        <v>9.1285986358226108E-6</v>
      </c>
      <c r="F10" s="120">
        <f t="shared" si="5"/>
        <v>9.1650836774078401E-6</v>
      </c>
      <c r="G10" s="120">
        <f t="shared" si="5"/>
        <v>9.1789906904645387E-6</v>
      </c>
      <c r="H10" s="120">
        <f t="shared" si="5"/>
        <v>9.20298261644773E-6</v>
      </c>
      <c r="I10" s="120">
        <f t="shared" si="5"/>
        <v>9.2359245028687306E-6</v>
      </c>
      <c r="J10" s="120">
        <f t="shared" si="5"/>
        <v>9.2732432154183887E-6</v>
      </c>
      <c r="K10" s="120">
        <f t="shared" si="5"/>
        <v>9.3035855199663933E-6</v>
      </c>
      <c r="L10" s="120">
        <f t="shared" si="5"/>
        <v>9.33014094916477E-6</v>
      </c>
      <c r="M10" s="120">
        <f t="shared" si="5"/>
        <v>9.3720239629683599E-6</v>
      </c>
      <c r="N10" s="120">
        <f t="shared" si="5"/>
        <v>9.4086453292806292E-6</v>
      </c>
      <c r="O10" s="120">
        <f t="shared" si="5"/>
        <v>9.436568758184178E-6</v>
      </c>
      <c r="P10" s="120">
        <f t="shared" si="5"/>
        <v>9.4582624382641574E-6</v>
      </c>
      <c r="Q10" s="120">
        <f t="shared" si="5"/>
        <v>9.4780465258887288E-6</v>
      </c>
      <c r="R10" s="120">
        <f t="shared" si="5"/>
        <v>9.4950706231346323E-6</v>
      </c>
      <c r="S10" s="120">
        <f t="shared" si="5"/>
        <v>9.5124138114574054E-6</v>
      </c>
      <c r="T10" s="120">
        <f t="shared" si="5"/>
        <v>9.5317449162035221E-6</v>
      </c>
      <c r="U10" s="120">
        <f t="shared" si="5"/>
        <v>9.5519487085579517E-6</v>
      </c>
      <c r="V10" s="120">
        <f t="shared" si="5"/>
        <v>9.5725488836314857E-6</v>
      </c>
      <c r="W10" s="120">
        <f t="shared" si="5"/>
        <v>9.593979627233775E-6</v>
      </c>
      <c r="X10" s="120">
        <f t="shared" si="5"/>
        <v>9.6176179157390412E-6</v>
      </c>
      <c r="Y10" s="120">
        <f t="shared" si="5"/>
        <v>9.641996505192648E-6</v>
      </c>
      <c r="Z10" s="120">
        <f t="shared" si="5"/>
        <v>9.6645378554143839E-6</v>
      </c>
      <c r="AA10" s="120">
        <f t="shared" si="5"/>
        <v>9.6847029312269019E-6</v>
      </c>
      <c r="AB10" s="120">
        <f t="shared" si="5"/>
        <v>9.7017810580318422E-6</v>
      </c>
      <c r="AC10" s="120">
        <f t="shared" si="5"/>
        <v>9.7150287314299474E-6</v>
      </c>
      <c r="AD10" s="120">
        <f t="shared" si="5"/>
        <v>9.7252424605608594E-6</v>
      </c>
      <c r="AE10" s="120">
        <f t="shared" si="5"/>
        <v>9.7313657869065903E-6</v>
      </c>
      <c r="AF10" s="120">
        <f t="shared" si="5"/>
        <v>9.7363923906150918E-6</v>
      </c>
      <c r="AG10" s="120">
        <f t="shared" si="5"/>
        <v>9.7423930916904569E-6</v>
      </c>
    </row>
    <row r="11" spans="1:33">
      <c r="A11" s="1" t="s">
        <v>322</v>
      </c>
      <c r="B11" s="120">
        <f>B4</f>
        <v>0</v>
      </c>
      <c r="C11" s="120">
        <f t="shared" ref="C11:AG11" si="6">C4</f>
        <v>8.9447496175339696E-6</v>
      </c>
      <c r="D11" s="120">
        <f t="shared" si="6"/>
        <v>9.0612648368949834E-6</v>
      </c>
      <c r="E11" s="120">
        <f t="shared" si="6"/>
        <v>9.1285986358226108E-6</v>
      </c>
      <c r="F11" s="120">
        <f t="shared" si="6"/>
        <v>9.1650836774078401E-6</v>
      </c>
      <c r="G11" s="120">
        <f t="shared" si="6"/>
        <v>9.1789906904645387E-6</v>
      </c>
      <c r="H11" s="120">
        <f t="shared" si="6"/>
        <v>9.20298261644773E-6</v>
      </c>
      <c r="I11" s="120">
        <f t="shared" si="6"/>
        <v>9.2359245028687306E-6</v>
      </c>
      <c r="J11" s="120">
        <f t="shared" si="6"/>
        <v>9.2732432154183887E-6</v>
      </c>
      <c r="K11" s="120">
        <f t="shared" si="6"/>
        <v>9.3035855199663933E-6</v>
      </c>
      <c r="L11" s="120">
        <f t="shared" si="6"/>
        <v>9.33014094916477E-6</v>
      </c>
      <c r="M11" s="120">
        <f t="shared" si="6"/>
        <v>9.3720239629683599E-6</v>
      </c>
      <c r="N11" s="120">
        <f t="shared" si="6"/>
        <v>9.4086453292806292E-6</v>
      </c>
      <c r="O11" s="120">
        <f t="shared" si="6"/>
        <v>9.436568758184178E-6</v>
      </c>
      <c r="P11" s="120">
        <f t="shared" si="6"/>
        <v>9.4582624382641574E-6</v>
      </c>
      <c r="Q11" s="120">
        <f t="shared" si="6"/>
        <v>9.4780465258887288E-6</v>
      </c>
      <c r="R11" s="120">
        <f t="shared" si="6"/>
        <v>9.4950706231346323E-6</v>
      </c>
      <c r="S11" s="120">
        <f t="shared" si="6"/>
        <v>9.5124138114574054E-6</v>
      </c>
      <c r="T11" s="120">
        <f t="shared" si="6"/>
        <v>9.5317449162035221E-6</v>
      </c>
      <c r="U11" s="120">
        <f t="shared" si="6"/>
        <v>9.5519487085579517E-6</v>
      </c>
      <c r="V11" s="120">
        <f t="shared" si="6"/>
        <v>9.5725488836314857E-6</v>
      </c>
      <c r="W11" s="120">
        <f t="shared" si="6"/>
        <v>9.593979627233775E-6</v>
      </c>
      <c r="X11" s="120">
        <f t="shared" si="6"/>
        <v>9.6176179157390412E-6</v>
      </c>
      <c r="Y11" s="120">
        <f t="shared" si="6"/>
        <v>9.641996505192648E-6</v>
      </c>
      <c r="Z11" s="120">
        <f t="shared" si="6"/>
        <v>9.6645378554143839E-6</v>
      </c>
      <c r="AA11" s="120">
        <f t="shared" si="6"/>
        <v>9.6847029312269019E-6</v>
      </c>
      <c r="AB11" s="120">
        <f t="shared" si="6"/>
        <v>9.7017810580318422E-6</v>
      </c>
      <c r="AC11" s="120">
        <f t="shared" si="6"/>
        <v>9.7150287314299474E-6</v>
      </c>
      <c r="AD11" s="120">
        <f t="shared" si="6"/>
        <v>9.7252424605608594E-6</v>
      </c>
      <c r="AE11" s="120">
        <f t="shared" si="6"/>
        <v>9.7313657869065903E-6</v>
      </c>
      <c r="AF11" s="120">
        <f t="shared" si="6"/>
        <v>9.7363923906150918E-6</v>
      </c>
      <c r="AG11" s="120">
        <f t="shared" si="6"/>
        <v>9.7423930916904569E-6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G11"/>
  <sheetViews>
    <sheetView topLeftCell="AH1" zoomScaleNormal="100" workbookViewId="0">
      <selection activeCell="AH1" sqref="AH1:AR1048576"/>
    </sheetView>
  </sheetViews>
  <sheetFormatPr defaultRowHeight="14.5"/>
  <cols>
    <col min="1" max="1" width="29.81640625" customWidth="1"/>
    <col min="2" max="32" width="10" customWidth="1"/>
    <col min="33" max="33" width="10.81640625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0</v>
      </c>
      <c r="C3" s="120">
        <f t="shared" ref="C3:AG3" si="0">C4</f>
        <v>8.9447496175339696E-6</v>
      </c>
      <c r="D3" s="120">
        <f t="shared" si="0"/>
        <v>9.0612648368949834E-6</v>
      </c>
      <c r="E3" s="120">
        <f t="shared" si="0"/>
        <v>9.1285986358226108E-6</v>
      </c>
      <c r="F3" s="120">
        <f t="shared" si="0"/>
        <v>9.1650836774078401E-6</v>
      </c>
      <c r="G3" s="120">
        <f t="shared" si="0"/>
        <v>9.1789906904645387E-6</v>
      </c>
      <c r="H3" s="120">
        <f t="shared" si="0"/>
        <v>9.20298261644773E-6</v>
      </c>
      <c r="I3" s="120">
        <f t="shared" si="0"/>
        <v>9.2359245028687306E-6</v>
      </c>
      <c r="J3" s="120">
        <f t="shared" si="0"/>
        <v>9.2732432154183887E-6</v>
      </c>
      <c r="K3" s="120">
        <f t="shared" si="0"/>
        <v>9.3035855199663933E-6</v>
      </c>
      <c r="L3" s="120">
        <f t="shared" si="0"/>
        <v>9.33014094916477E-6</v>
      </c>
      <c r="M3" s="120">
        <f t="shared" si="0"/>
        <v>9.3720239629683599E-6</v>
      </c>
      <c r="N3" s="120">
        <f t="shared" si="0"/>
        <v>9.4086453292806292E-6</v>
      </c>
      <c r="O3" s="120">
        <f t="shared" si="0"/>
        <v>9.436568758184178E-6</v>
      </c>
      <c r="P3" s="120">
        <f t="shared" si="0"/>
        <v>9.4582624382641574E-6</v>
      </c>
      <c r="Q3" s="120">
        <f t="shared" si="0"/>
        <v>9.4780465258887288E-6</v>
      </c>
      <c r="R3" s="120">
        <f t="shared" si="0"/>
        <v>9.4950706231346323E-6</v>
      </c>
      <c r="S3" s="120">
        <f t="shared" si="0"/>
        <v>9.5124138114574054E-6</v>
      </c>
      <c r="T3" s="120">
        <f t="shared" si="0"/>
        <v>9.5317449162035221E-6</v>
      </c>
      <c r="U3" s="120">
        <f t="shared" si="0"/>
        <v>9.5519487085579517E-6</v>
      </c>
      <c r="V3" s="120">
        <f t="shared" si="0"/>
        <v>9.5725488836314857E-6</v>
      </c>
      <c r="W3" s="120">
        <f t="shared" si="0"/>
        <v>9.593979627233775E-6</v>
      </c>
      <c r="X3" s="120">
        <f t="shared" si="0"/>
        <v>9.6176179157390412E-6</v>
      </c>
      <c r="Y3" s="120">
        <f t="shared" si="0"/>
        <v>9.641996505192648E-6</v>
      </c>
      <c r="Z3" s="120">
        <f t="shared" si="0"/>
        <v>9.6645378554143839E-6</v>
      </c>
      <c r="AA3" s="120">
        <f t="shared" si="0"/>
        <v>9.6847029312269019E-6</v>
      </c>
      <c r="AB3" s="120">
        <f t="shared" si="0"/>
        <v>9.7017810580318422E-6</v>
      </c>
      <c r="AC3" s="120">
        <f t="shared" si="0"/>
        <v>9.7150287314299474E-6</v>
      </c>
      <c r="AD3" s="120">
        <f t="shared" si="0"/>
        <v>9.7252424605608594E-6</v>
      </c>
      <c r="AE3" s="120">
        <f t="shared" si="0"/>
        <v>9.7313657869065903E-6</v>
      </c>
      <c r="AF3" s="120">
        <f t="shared" si="0"/>
        <v>9.7363923906150918E-6</v>
      </c>
      <c r="AG3" s="120">
        <f t="shared" si="0"/>
        <v>9.7423930916904569E-6</v>
      </c>
    </row>
    <row r="4" spans="1:33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3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3">
      <c r="A6" s="1" t="s">
        <v>318</v>
      </c>
      <c r="B6" s="120">
        <f>B4</f>
        <v>0</v>
      </c>
      <c r="C6" s="120">
        <f t="shared" ref="C6:AG7" si="1">C4</f>
        <v>8.9447496175339696E-6</v>
      </c>
      <c r="D6" s="120">
        <f t="shared" si="1"/>
        <v>9.0612648368949834E-6</v>
      </c>
      <c r="E6" s="120">
        <f t="shared" si="1"/>
        <v>9.1285986358226108E-6</v>
      </c>
      <c r="F6" s="120">
        <f t="shared" si="1"/>
        <v>9.1650836774078401E-6</v>
      </c>
      <c r="G6" s="120">
        <f t="shared" si="1"/>
        <v>9.1789906904645387E-6</v>
      </c>
      <c r="H6" s="120">
        <f t="shared" si="1"/>
        <v>9.20298261644773E-6</v>
      </c>
      <c r="I6" s="120">
        <f t="shared" si="1"/>
        <v>9.2359245028687306E-6</v>
      </c>
      <c r="J6" s="120">
        <f t="shared" si="1"/>
        <v>9.2732432154183887E-6</v>
      </c>
      <c r="K6" s="120">
        <f t="shared" si="1"/>
        <v>9.3035855199663933E-6</v>
      </c>
      <c r="L6" s="120">
        <f t="shared" si="1"/>
        <v>9.33014094916477E-6</v>
      </c>
      <c r="M6" s="120">
        <f t="shared" si="1"/>
        <v>9.3720239629683599E-6</v>
      </c>
      <c r="N6" s="120">
        <f t="shared" si="1"/>
        <v>9.4086453292806292E-6</v>
      </c>
      <c r="O6" s="120">
        <f t="shared" si="1"/>
        <v>9.436568758184178E-6</v>
      </c>
      <c r="P6" s="120">
        <f t="shared" si="1"/>
        <v>9.4582624382641574E-6</v>
      </c>
      <c r="Q6" s="120">
        <f t="shared" si="1"/>
        <v>9.4780465258887288E-6</v>
      </c>
      <c r="R6" s="120">
        <f t="shared" si="1"/>
        <v>9.4950706231346323E-6</v>
      </c>
      <c r="S6" s="120">
        <f t="shared" si="1"/>
        <v>9.5124138114574054E-6</v>
      </c>
      <c r="T6" s="120">
        <f t="shared" si="1"/>
        <v>9.5317449162035221E-6</v>
      </c>
      <c r="U6" s="120">
        <f t="shared" si="1"/>
        <v>9.5519487085579517E-6</v>
      </c>
      <c r="V6" s="120">
        <f t="shared" si="1"/>
        <v>9.5725488836314857E-6</v>
      </c>
      <c r="W6" s="120">
        <f t="shared" si="1"/>
        <v>9.593979627233775E-6</v>
      </c>
      <c r="X6" s="120">
        <f t="shared" si="1"/>
        <v>9.6176179157390412E-6</v>
      </c>
      <c r="Y6" s="120">
        <f t="shared" si="1"/>
        <v>9.641996505192648E-6</v>
      </c>
      <c r="Z6" s="120">
        <f t="shared" si="1"/>
        <v>9.6645378554143839E-6</v>
      </c>
      <c r="AA6" s="120">
        <f t="shared" si="1"/>
        <v>9.6847029312269019E-6</v>
      </c>
      <c r="AB6" s="120">
        <f t="shared" si="1"/>
        <v>9.7017810580318422E-6</v>
      </c>
      <c r="AC6" s="120">
        <f t="shared" si="1"/>
        <v>9.7150287314299474E-6</v>
      </c>
      <c r="AD6" s="120">
        <f t="shared" si="1"/>
        <v>9.7252424605608594E-6</v>
      </c>
      <c r="AE6" s="120">
        <f t="shared" si="1"/>
        <v>9.7313657869065903E-6</v>
      </c>
      <c r="AF6" s="120">
        <f t="shared" si="1"/>
        <v>9.7363923906150918E-6</v>
      </c>
      <c r="AG6" s="120">
        <f t="shared" si="1"/>
        <v>9.7423930916904569E-6</v>
      </c>
    </row>
    <row r="7" spans="1:33">
      <c r="A7" s="1" t="s">
        <v>207</v>
      </c>
      <c r="B7" s="120">
        <f>B5</f>
        <v>0</v>
      </c>
      <c r="C7" s="120">
        <f t="shared" si="1"/>
        <v>-2.5773740232572448E-5</v>
      </c>
      <c r="D7" s="120">
        <f t="shared" si="1"/>
        <v>-2.6222272756219751E-5</v>
      </c>
      <c r="E7" s="120">
        <f t="shared" si="1"/>
        <v>-2.6855921110816306E-5</v>
      </c>
      <c r="F7" s="120">
        <f t="shared" si="1"/>
        <v>-2.7695360489932262E-5</v>
      </c>
      <c r="G7" s="120">
        <f t="shared" si="1"/>
        <v>-2.8479783557657326E-5</v>
      </c>
      <c r="H7" s="120">
        <f t="shared" si="1"/>
        <v>-2.9119672843080487E-5</v>
      </c>
      <c r="I7" s="120">
        <f t="shared" si="1"/>
        <v>-2.9680128372044583E-5</v>
      </c>
      <c r="J7" s="120">
        <f t="shared" si="1"/>
        <v>-3.0120020894163024E-5</v>
      </c>
      <c r="K7" s="120">
        <f t="shared" si="1"/>
        <v>-3.0424872585285659E-5</v>
      </c>
      <c r="L7" s="120">
        <f t="shared" si="1"/>
        <v>-3.0604403892265655E-5</v>
      </c>
      <c r="M7" s="120">
        <f t="shared" si="1"/>
        <v>-3.0675902942505366E-5</v>
      </c>
      <c r="N7" s="120">
        <f t="shared" si="1"/>
        <v>-3.0746146799496163E-5</v>
      </c>
      <c r="O7" s="120">
        <f t="shared" si="1"/>
        <v>-3.0819416361629186E-5</v>
      </c>
      <c r="P7" s="120">
        <f t="shared" si="1"/>
        <v>-3.0891114520030685E-5</v>
      </c>
      <c r="Q7" s="120">
        <f t="shared" si="1"/>
        <v>-3.0965343974820143E-5</v>
      </c>
      <c r="R7" s="120">
        <f t="shared" si="1"/>
        <v>-3.1021284030696146E-5</v>
      </c>
      <c r="S7" s="120">
        <f t="shared" si="1"/>
        <v>-3.1068282347118689E-5</v>
      </c>
      <c r="T7" s="120">
        <f t="shared" si="1"/>
        <v>-3.1141031668658404E-5</v>
      </c>
      <c r="U7" s="120">
        <f t="shared" si="1"/>
        <v>-3.1245343105876321E-5</v>
      </c>
      <c r="V7" s="120">
        <f t="shared" si="1"/>
        <v>-3.1336193118937575E-5</v>
      </c>
      <c r="W7" s="120">
        <f t="shared" si="1"/>
        <v>-3.146349251060445E-5</v>
      </c>
      <c r="X7" s="120">
        <f t="shared" si="1"/>
        <v>-3.1594902847119152E-5</v>
      </c>
      <c r="Y7" s="120">
        <f t="shared" si="1"/>
        <v>-3.1719765067270732E-5</v>
      </c>
      <c r="Z7" s="120">
        <f t="shared" si="1"/>
        <v>-3.1830734873333794E-5</v>
      </c>
      <c r="AA7" s="120">
        <f t="shared" si="1"/>
        <v>-3.1936308911663536E-5</v>
      </c>
      <c r="AB7" s="120">
        <f t="shared" si="1"/>
        <v>-3.2043106306306312E-5</v>
      </c>
      <c r="AC7" s="120">
        <f t="shared" si="1"/>
        <v>-3.212885748261983E-5</v>
      </c>
      <c r="AD7" s="120">
        <f t="shared" si="1"/>
        <v>-3.2194454241692963E-5</v>
      </c>
      <c r="AE7" s="120">
        <f t="shared" si="1"/>
        <v>-3.223895309441349E-5</v>
      </c>
      <c r="AF7" s="120">
        <f t="shared" si="1"/>
        <v>-3.2286472092845694E-5</v>
      </c>
      <c r="AG7" s="120">
        <f t="shared" si="1"/>
        <v>-3.2333580471562971E-5</v>
      </c>
    </row>
    <row r="8" spans="1:33">
      <c r="A8" s="1" t="s">
        <v>319</v>
      </c>
      <c r="B8" s="120">
        <f>B5</f>
        <v>0</v>
      </c>
      <c r="C8" s="120">
        <f t="shared" ref="C8:AG8" si="2">C5</f>
        <v>-2.5773740232572448E-5</v>
      </c>
      <c r="D8" s="120">
        <f t="shared" si="2"/>
        <v>-2.6222272756219751E-5</v>
      </c>
      <c r="E8" s="120">
        <f t="shared" si="2"/>
        <v>-2.6855921110816306E-5</v>
      </c>
      <c r="F8" s="120">
        <f t="shared" si="2"/>
        <v>-2.7695360489932262E-5</v>
      </c>
      <c r="G8" s="120">
        <f t="shared" si="2"/>
        <v>-2.8479783557657326E-5</v>
      </c>
      <c r="H8" s="120">
        <f t="shared" si="2"/>
        <v>-2.9119672843080487E-5</v>
      </c>
      <c r="I8" s="120">
        <f t="shared" si="2"/>
        <v>-2.9680128372044583E-5</v>
      </c>
      <c r="J8" s="120">
        <f t="shared" si="2"/>
        <v>-3.0120020894163024E-5</v>
      </c>
      <c r="K8" s="120">
        <f t="shared" si="2"/>
        <v>-3.0424872585285659E-5</v>
      </c>
      <c r="L8" s="120">
        <f t="shared" si="2"/>
        <v>-3.0604403892265655E-5</v>
      </c>
      <c r="M8" s="120">
        <f t="shared" si="2"/>
        <v>-3.0675902942505366E-5</v>
      </c>
      <c r="N8" s="120">
        <f t="shared" si="2"/>
        <v>-3.0746146799496163E-5</v>
      </c>
      <c r="O8" s="120">
        <f t="shared" si="2"/>
        <v>-3.0819416361629186E-5</v>
      </c>
      <c r="P8" s="120">
        <f t="shared" si="2"/>
        <v>-3.0891114520030685E-5</v>
      </c>
      <c r="Q8" s="120">
        <f t="shared" si="2"/>
        <v>-3.0965343974820143E-5</v>
      </c>
      <c r="R8" s="120">
        <f t="shared" si="2"/>
        <v>-3.1021284030696146E-5</v>
      </c>
      <c r="S8" s="120">
        <f t="shared" si="2"/>
        <v>-3.1068282347118689E-5</v>
      </c>
      <c r="T8" s="120">
        <f t="shared" si="2"/>
        <v>-3.1141031668658404E-5</v>
      </c>
      <c r="U8" s="120">
        <f t="shared" si="2"/>
        <v>-3.1245343105876321E-5</v>
      </c>
      <c r="V8" s="120">
        <f t="shared" si="2"/>
        <v>-3.1336193118937575E-5</v>
      </c>
      <c r="W8" s="120">
        <f t="shared" si="2"/>
        <v>-3.146349251060445E-5</v>
      </c>
      <c r="X8" s="120">
        <f t="shared" si="2"/>
        <v>-3.1594902847119152E-5</v>
      </c>
      <c r="Y8" s="120">
        <f t="shared" si="2"/>
        <v>-3.1719765067270732E-5</v>
      </c>
      <c r="Z8" s="120">
        <f t="shared" si="2"/>
        <v>-3.1830734873333794E-5</v>
      </c>
      <c r="AA8" s="120">
        <f t="shared" si="2"/>
        <v>-3.1936308911663536E-5</v>
      </c>
      <c r="AB8" s="120">
        <f t="shared" si="2"/>
        <v>-3.2043106306306312E-5</v>
      </c>
      <c r="AC8" s="120">
        <f t="shared" si="2"/>
        <v>-3.212885748261983E-5</v>
      </c>
      <c r="AD8" s="120">
        <f t="shared" si="2"/>
        <v>-3.2194454241692963E-5</v>
      </c>
      <c r="AE8" s="120">
        <f t="shared" si="2"/>
        <v>-3.223895309441349E-5</v>
      </c>
      <c r="AF8" s="120">
        <f t="shared" si="2"/>
        <v>-3.2286472092845694E-5</v>
      </c>
      <c r="AG8" s="120">
        <f t="shared" si="2"/>
        <v>-3.2333580471562971E-5</v>
      </c>
    </row>
    <row r="9" spans="1:33">
      <c r="A9" s="1" t="s">
        <v>320</v>
      </c>
      <c r="B9" s="120">
        <f>B5</f>
        <v>0</v>
      </c>
      <c r="C9" s="120">
        <f t="shared" ref="C9:AG9" si="3">C5</f>
        <v>-2.5773740232572448E-5</v>
      </c>
      <c r="D9" s="120">
        <f t="shared" si="3"/>
        <v>-2.6222272756219751E-5</v>
      </c>
      <c r="E9" s="120">
        <f t="shared" si="3"/>
        <v>-2.6855921110816306E-5</v>
      </c>
      <c r="F9" s="120">
        <f t="shared" si="3"/>
        <v>-2.7695360489932262E-5</v>
      </c>
      <c r="G9" s="120">
        <f t="shared" si="3"/>
        <v>-2.8479783557657326E-5</v>
      </c>
      <c r="H9" s="120">
        <f t="shared" si="3"/>
        <v>-2.9119672843080487E-5</v>
      </c>
      <c r="I9" s="120">
        <f t="shared" si="3"/>
        <v>-2.9680128372044583E-5</v>
      </c>
      <c r="J9" s="120">
        <f t="shared" si="3"/>
        <v>-3.0120020894163024E-5</v>
      </c>
      <c r="K9" s="120">
        <f t="shared" si="3"/>
        <v>-3.0424872585285659E-5</v>
      </c>
      <c r="L9" s="120">
        <f t="shared" si="3"/>
        <v>-3.0604403892265655E-5</v>
      </c>
      <c r="M9" s="120">
        <f t="shared" si="3"/>
        <v>-3.0675902942505366E-5</v>
      </c>
      <c r="N9" s="120">
        <f t="shared" si="3"/>
        <v>-3.0746146799496163E-5</v>
      </c>
      <c r="O9" s="120">
        <f t="shared" si="3"/>
        <v>-3.0819416361629186E-5</v>
      </c>
      <c r="P9" s="120">
        <f t="shared" si="3"/>
        <v>-3.0891114520030685E-5</v>
      </c>
      <c r="Q9" s="120">
        <f t="shared" si="3"/>
        <v>-3.0965343974820143E-5</v>
      </c>
      <c r="R9" s="120">
        <f t="shared" si="3"/>
        <v>-3.1021284030696146E-5</v>
      </c>
      <c r="S9" s="120">
        <f t="shared" si="3"/>
        <v>-3.1068282347118689E-5</v>
      </c>
      <c r="T9" s="120">
        <f t="shared" si="3"/>
        <v>-3.1141031668658404E-5</v>
      </c>
      <c r="U9" s="120">
        <f t="shared" si="3"/>
        <v>-3.1245343105876321E-5</v>
      </c>
      <c r="V9" s="120">
        <f t="shared" si="3"/>
        <v>-3.1336193118937575E-5</v>
      </c>
      <c r="W9" s="120">
        <f t="shared" si="3"/>
        <v>-3.146349251060445E-5</v>
      </c>
      <c r="X9" s="120">
        <f t="shared" si="3"/>
        <v>-3.1594902847119152E-5</v>
      </c>
      <c r="Y9" s="120">
        <f t="shared" si="3"/>
        <v>-3.1719765067270732E-5</v>
      </c>
      <c r="Z9" s="120">
        <f t="shared" si="3"/>
        <v>-3.1830734873333794E-5</v>
      </c>
      <c r="AA9" s="120">
        <f t="shared" si="3"/>
        <v>-3.1936308911663536E-5</v>
      </c>
      <c r="AB9" s="120">
        <f t="shared" si="3"/>
        <v>-3.2043106306306312E-5</v>
      </c>
      <c r="AC9" s="120">
        <f t="shared" si="3"/>
        <v>-3.212885748261983E-5</v>
      </c>
      <c r="AD9" s="120">
        <f t="shared" si="3"/>
        <v>-3.2194454241692963E-5</v>
      </c>
      <c r="AE9" s="120">
        <f t="shared" si="3"/>
        <v>-3.223895309441349E-5</v>
      </c>
      <c r="AF9" s="120">
        <f t="shared" si="3"/>
        <v>-3.2286472092845694E-5</v>
      </c>
      <c r="AG9" s="120">
        <f t="shared" si="3"/>
        <v>-3.2333580471562971E-5</v>
      </c>
    </row>
    <row r="10" spans="1:33">
      <c r="A10" s="1" t="s">
        <v>321</v>
      </c>
      <c r="B10" s="120">
        <f>B4</f>
        <v>0</v>
      </c>
      <c r="C10" s="120">
        <f t="shared" ref="C10:AG10" si="4">C4</f>
        <v>8.9447496175339696E-6</v>
      </c>
      <c r="D10" s="120">
        <f t="shared" si="4"/>
        <v>9.0612648368949834E-6</v>
      </c>
      <c r="E10" s="120">
        <f t="shared" si="4"/>
        <v>9.1285986358226108E-6</v>
      </c>
      <c r="F10" s="120">
        <f t="shared" si="4"/>
        <v>9.1650836774078401E-6</v>
      </c>
      <c r="G10" s="120">
        <f t="shared" si="4"/>
        <v>9.1789906904645387E-6</v>
      </c>
      <c r="H10" s="120">
        <f t="shared" si="4"/>
        <v>9.20298261644773E-6</v>
      </c>
      <c r="I10" s="120">
        <f t="shared" si="4"/>
        <v>9.2359245028687306E-6</v>
      </c>
      <c r="J10" s="120">
        <f t="shared" si="4"/>
        <v>9.2732432154183887E-6</v>
      </c>
      <c r="K10" s="120">
        <f t="shared" si="4"/>
        <v>9.3035855199663933E-6</v>
      </c>
      <c r="L10" s="120">
        <f t="shared" si="4"/>
        <v>9.33014094916477E-6</v>
      </c>
      <c r="M10" s="120">
        <f t="shared" si="4"/>
        <v>9.3720239629683599E-6</v>
      </c>
      <c r="N10" s="120">
        <f t="shared" si="4"/>
        <v>9.4086453292806292E-6</v>
      </c>
      <c r="O10" s="120">
        <f t="shared" si="4"/>
        <v>9.436568758184178E-6</v>
      </c>
      <c r="P10" s="120">
        <f t="shared" si="4"/>
        <v>9.4582624382641574E-6</v>
      </c>
      <c r="Q10" s="120">
        <f t="shared" si="4"/>
        <v>9.4780465258887288E-6</v>
      </c>
      <c r="R10" s="120">
        <f t="shared" si="4"/>
        <v>9.4950706231346323E-6</v>
      </c>
      <c r="S10" s="120">
        <f t="shared" si="4"/>
        <v>9.5124138114574054E-6</v>
      </c>
      <c r="T10" s="120">
        <f t="shared" si="4"/>
        <v>9.5317449162035221E-6</v>
      </c>
      <c r="U10" s="120">
        <f t="shared" si="4"/>
        <v>9.5519487085579517E-6</v>
      </c>
      <c r="V10" s="120">
        <f t="shared" si="4"/>
        <v>9.5725488836314857E-6</v>
      </c>
      <c r="W10" s="120">
        <f t="shared" si="4"/>
        <v>9.593979627233775E-6</v>
      </c>
      <c r="X10" s="120">
        <f t="shared" si="4"/>
        <v>9.6176179157390412E-6</v>
      </c>
      <c r="Y10" s="120">
        <f t="shared" si="4"/>
        <v>9.641996505192648E-6</v>
      </c>
      <c r="Z10" s="120">
        <f t="shared" si="4"/>
        <v>9.6645378554143839E-6</v>
      </c>
      <c r="AA10" s="120">
        <f t="shared" si="4"/>
        <v>9.6847029312269019E-6</v>
      </c>
      <c r="AB10" s="120">
        <f t="shared" si="4"/>
        <v>9.7017810580318422E-6</v>
      </c>
      <c r="AC10" s="120">
        <f t="shared" si="4"/>
        <v>9.7150287314299474E-6</v>
      </c>
      <c r="AD10" s="120">
        <f t="shared" si="4"/>
        <v>9.7252424605608594E-6</v>
      </c>
      <c r="AE10" s="120">
        <f t="shared" si="4"/>
        <v>9.7313657869065903E-6</v>
      </c>
      <c r="AF10" s="120">
        <f t="shared" si="4"/>
        <v>9.7363923906150918E-6</v>
      </c>
      <c r="AG10" s="120">
        <f t="shared" si="4"/>
        <v>9.7423930916904569E-6</v>
      </c>
    </row>
    <row r="11" spans="1:33">
      <c r="A11" s="1" t="s">
        <v>322</v>
      </c>
      <c r="B11" s="120">
        <f>B4</f>
        <v>0</v>
      </c>
      <c r="C11" s="120">
        <f t="shared" ref="C11:AG11" si="5">C4</f>
        <v>8.9447496175339696E-6</v>
      </c>
      <c r="D11" s="120">
        <f t="shared" si="5"/>
        <v>9.0612648368949834E-6</v>
      </c>
      <c r="E11" s="120">
        <f t="shared" si="5"/>
        <v>9.1285986358226108E-6</v>
      </c>
      <c r="F11" s="120">
        <f t="shared" si="5"/>
        <v>9.1650836774078401E-6</v>
      </c>
      <c r="G11" s="120">
        <f t="shared" si="5"/>
        <v>9.1789906904645387E-6</v>
      </c>
      <c r="H11" s="120">
        <f t="shared" si="5"/>
        <v>9.20298261644773E-6</v>
      </c>
      <c r="I11" s="120">
        <f t="shared" si="5"/>
        <v>9.2359245028687306E-6</v>
      </c>
      <c r="J11" s="120">
        <f t="shared" si="5"/>
        <v>9.2732432154183887E-6</v>
      </c>
      <c r="K11" s="120">
        <f t="shared" si="5"/>
        <v>9.3035855199663933E-6</v>
      </c>
      <c r="L11" s="120">
        <f t="shared" si="5"/>
        <v>9.33014094916477E-6</v>
      </c>
      <c r="M11" s="120">
        <f t="shared" si="5"/>
        <v>9.3720239629683599E-6</v>
      </c>
      <c r="N11" s="120">
        <f t="shared" si="5"/>
        <v>9.4086453292806292E-6</v>
      </c>
      <c r="O11" s="120">
        <f t="shared" si="5"/>
        <v>9.436568758184178E-6</v>
      </c>
      <c r="P11" s="120">
        <f t="shared" si="5"/>
        <v>9.4582624382641574E-6</v>
      </c>
      <c r="Q11" s="120">
        <f t="shared" si="5"/>
        <v>9.4780465258887288E-6</v>
      </c>
      <c r="R11" s="120">
        <f t="shared" si="5"/>
        <v>9.4950706231346323E-6</v>
      </c>
      <c r="S11" s="120">
        <f t="shared" si="5"/>
        <v>9.5124138114574054E-6</v>
      </c>
      <c r="T11" s="120">
        <f t="shared" si="5"/>
        <v>9.5317449162035221E-6</v>
      </c>
      <c r="U11" s="120">
        <f t="shared" si="5"/>
        <v>9.5519487085579517E-6</v>
      </c>
      <c r="V11" s="120">
        <f t="shared" si="5"/>
        <v>9.5725488836314857E-6</v>
      </c>
      <c r="W11" s="120">
        <f t="shared" si="5"/>
        <v>9.593979627233775E-6</v>
      </c>
      <c r="X11" s="120">
        <f t="shared" si="5"/>
        <v>9.6176179157390412E-6</v>
      </c>
      <c r="Y11" s="120">
        <f t="shared" si="5"/>
        <v>9.641996505192648E-6</v>
      </c>
      <c r="Z11" s="120">
        <f t="shared" si="5"/>
        <v>9.6645378554143839E-6</v>
      </c>
      <c r="AA11" s="120">
        <f t="shared" si="5"/>
        <v>9.6847029312269019E-6</v>
      </c>
      <c r="AB11" s="120">
        <f t="shared" si="5"/>
        <v>9.7017810580318422E-6</v>
      </c>
      <c r="AC11" s="120">
        <f t="shared" si="5"/>
        <v>9.7150287314299474E-6</v>
      </c>
      <c r="AD11" s="120">
        <f t="shared" si="5"/>
        <v>9.7252424605608594E-6</v>
      </c>
      <c r="AE11" s="120">
        <f t="shared" si="5"/>
        <v>9.7313657869065903E-6</v>
      </c>
      <c r="AF11" s="120">
        <f t="shared" si="5"/>
        <v>9.7363923906150918E-6</v>
      </c>
      <c r="AG11" s="120">
        <f t="shared" si="5"/>
        <v>9.7423930916904569E-6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AG11"/>
  <sheetViews>
    <sheetView topLeftCell="AE1" zoomScaleNormal="100" workbookViewId="0">
      <selection activeCell="AO9" sqref="AO9"/>
    </sheetView>
  </sheetViews>
  <sheetFormatPr defaultRowHeight="14.5"/>
  <cols>
    <col min="1" max="1" width="29.81640625" customWidth="1"/>
    <col min="2" max="33" width="10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0</v>
      </c>
      <c r="C3" s="120">
        <f t="shared" ref="C3:AG3" si="0">C4</f>
        <v>4.6986801095974462E-5</v>
      </c>
      <c r="D3" s="120">
        <f t="shared" si="0"/>
        <v>4.9317819911485171E-5</v>
      </c>
      <c r="E3" s="120">
        <f t="shared" si="0"/>
        <v>4.8135558391912264E-5</v>
      </c>
      <c r="F3" s="120">
        <f t="shared" si="0"/>
        <v>4.8817106556237436E-5</v>
      </c>
      <c r="G3" s="120">
        <f t="shared" si="0"/>
        <v>4.9414567714491681E-5</v>
      </c>
      <c r="H3" s="120">
        <f t="shared" si="0"/>
        <v>5.0152799160989165E-5</v>
      </c>
      <c r="I3" s="120">
        <f t="shared" si="0"/>
        <v>5.1016723187831479E-5</v>
      </c>
      <c r="J3" s="120">
        <f t="shared" si="0"/>
        <v>5.1933959657348385E-5</v>
      </c>
      <c r="K3" s="120">
        <f t="shared" si="0"/>
        <v>5.283057416383122E-5</v>
      </c>
      <c r="L3" s="120">
        <f t="shared" si="0"/>
        <v>5.3744044954273362E-5</v>
      </c>
      <c r="M3" s="120">
        <f t="shared" si="0"/>
        <v>5.4705033424374188E-5</v>
      </c>
      <c r="N3" s="120">
        <f t="shared" si="0"/>
        <v>5.5525373495691936E-5</v>
      </c>
      <c r="O3" s="120">
        <f t="shared" si="0"/>
        <v>5.6301189353241666E-5</v>
      </c>
      <c r="P3" s="120">
        <f t="shared" si="0"/>
        <v>5.705014629823155E-5</v>
      </c>
      <c r="Q3" s="120">
        <f t="shared" si="0"/>
        <v>5.7773537404578185E-5</v>
      </c>
      <c r="R3" s="120">
        <f t="shared" si="0"/>
        <v>5.8459700633469831E-5</v>
      </c>
      <c r="S3" s="120">
        <f t="shared" si="0"/>
        <v>5.9128890999332881E-5</v>
      </c>
      <c r="T3" s="120">
        <f t="shared" si="0"/>
        <v>5.9790304176831497E-5</v>
      </c>
      <c r="U3" s="120">
        <f t="shared" si="0"/>
        <v>6.0425763016830828E-5</v>
      </c>
      <c r="V3" s="120">
        <f t="shared" si="0"/>
        <v>6.1043907423571401E-5</v>
      </c>
      <c r="W3" s="120">
        <f t="shared" si="0"/>
        <v>6.1642654798959741E-5</v>
      </c>
      <c r="X3" s="120">
        <f t="shared" si="0"/>
        <v>6.2253228035448599E-5</v>
      </c>
      <c r="Y3" s="120">
        <f t="shared" si="0"/>
        <v>6.2878101545256934E-5</v>
      </c>
      <c r="Z3" s="120">
        <f t="shared" si="0"/>
        <v>6.3513349037911543E-5</v>
      </c>
      <c r="AA3" s="120">
        <f t="shared" si="0"/>
        <v>6.4153478160998407E-5</v>
      </c>
      <c r="AB3" s="120">
        <f t="shared" si="0"/>
        <v>6.4799812675734136E-5</v>
      </c>
      <c r="AC3" s="120">
        <f t="shared" si="0"/>
        <v>6.5440526970601023E-5</v>
      </c>
      <c r="AD3" s="120">
        <f t="shared" si="0"/>
        <v>6.6083632670351869E-5</v>
      </c>
      <c r="AE3" s="120">
        <f t="shared" si="0"/>
        <v>6.6714733566234217E-5</v>
      </c>
      <c r="AF3" s="120">
        <f t="shared" si="0"/>
        <v>6.7360395090701968E-5</v>
      </c>
      <c r="AG3" s="120">
        <f t="shared" si="0"/>
        <v>6.8020768011389649E-5</v>
      </c>
    </row>
    <row r="4" spans="1:33">
      <c r="A4" s="1" t="s">
        <v>13</v>
      </c>
      <c r="B4" s="106">
        <f>Calculations!B19</f>
        <v>0</v>
      </c>
      <c r="C4" s="106">
        <f>Calculations!C19</f>
        <v>4.6986801095974462E-5</v>
      </c>
      <c r="D4" s="106">
        <f>Calculations!D19</f>
        <v>4.9317819911485171E-5</v>
      </c>
      <c r="E4" s="106">
        <f>Calculations!E19</f>
        <v>4.8135558391912264E-5</v>
      </c>
      <c r="F4" s="106">
        <f>Calculations!F19</f>
        <v>4.8817106556237436E-5</v>
      </c>
      <c r="G4" s="106">
        <f>Calculations!G19</f>
        <v>4.9414567714491681E-5</v>
      </c>
      <c r="H4" s="106">
        <f>Calculations!H19</f>
        <v>5.0152799160989165E-5</v>
      </c>
      <c r="I4" s="106">
        <f>Calculations!I19</f>
        <v>5.1016723187831479E-5</v>
      </c>
      <c r="J4" s="106">
        <f>Calculations!J19</f>
        <v>5.1933959657348385E-5</v>
      </c>
      <c r="K4" s="106">
        <f>Calculations!K19</f>
        <v>5.283057416383122E-5</v>
      </c>
      <c r="L4" s="106">
        <f>Calculations!L19</f>
        <v>5.3744044954273362E-5</v>
      </c>
      <c r="M4" s="106">
        <f>Calculations!M19</f>
        <v>5.4705033424374188E-5</v>
      </c>
      <c r="N4" s="106">
        <f>Calculations!N19</f>
        <v>5.5525373495691936E-5</v>
      </c>
      <c r="O4" s="106">
        <f>Calculations!O19</f>
        <v>5.6301189353241666E-5</v>
      </c>
      <c r="P4" s="106">
        <f>Calculations!P19</f>
        <v>5.705014629823155E-5</v>
      </c>
      <c r="Q4" s="106">
        <f>Calculations!Q19</f>
        <v>5.7773537404578185E-5</v>
      </c>
      <c r="R4" s="106">
        <f>Calculations!R19</f>
        <v>5.8459700633469831E-5</v>
      </c>
      <c r="S4" s="106">
        <f>Calculations!S19</f>
        <v>5.9128890999332881E-5</v>
      </c>
      <c r="T4" s="106">
        <f>Calculations!T19</f>
        <v>5.9790304176831497E-5</v>
      </c>
      <c r="U4" s="106">
        <f>Calculations!U19</f>
        <v>6.0425763016830828E-5</v>
      </c>
      <c r="V4" s="106">
        <f>Calculations!V19</f>
        <v>6.1043907423571401E-5</v>
      </c>
      <c r="W4" s="106">
        <f>Calculations!W19</f>
        <v>6.1642654798959741E-5</v>
      </c>
      <c r="X4" s="106">
        <f>Calculations!X19</f>
        <v>6.2253228035448599E-5</v>
      </c>
      <c r="Y4" s="106">
        <f>Calculations!Y19</f>
        <v>6.2878101545256934E-5</v>
      </c>
      <c r="Z4" s="106">
        <f>Calculations!Z19</f>
        <v>6.3513349037911543E-5</v>
      </c>
      <c r="AA4" s="106">
        <f>Calculations!AA19</f>
        <v>6.4153478160998407E-5</v>
      </c>
      <c r="AB4" s="106">
        <f>Calculations!AB19</f>
        <v>6.4799812675734136E-5</v>
      </c>
      <c r="AC4" s="106">
        <f>Calculations!AC19</f>
        <v>6.5440526970601023E-5</v>
      </c>
      <c r="AD4" s="106">
        <f>Calculations!AD19</f>
        <v>6.6083632670351869E-5</v>
      </c>
      <c r="AE4" s="106">
        <f>Calculations!AE19</f>
        <v>6.6714733566234217E-5</v>
      </c>
      <c r="AF4" s="106">
        <f>Calculations!AF19</f>
        <v>6.7360395090701968E-5</v>
      </c>
      <c r="AG4" s="106">
        <f>Calculations!AG19</f>
        <v>6.8020768011389649E-5</v>
      </c>
    </row>
    <row r="5" spans="1:33">
      <c r="A5" s="1" t="s">
        <v>317</v>
      </c>
      <c r="B5" s="106">
        <f>Calculations!B20</f>
        <v>0</v>
      </c>
      <c r="C5" s="106">
        <f>Calculations!C20</f>
        <v>1.3596146153614844E-5</v>
      </c>
      <c r="D5" s="106">
        <f>Calculations!D20</f>
        <v>1.248535933849571E-5</v>
      </c>
      <c r="E5" s="106">
        <f>Calculations!E20</f>
        <v>1.2314358584448748E-5</v>
      </c>
      <c r="F5" s="106">
        <f>Calculations!F20</f>
        <v>1.2463043400758694E-5</v>
      </c>
      <c r="G5" s="106">
        <f>Calculations!G20</f>
        <v>1.2602232441207277E-5</v>
      </c>
      <c r="H5" s="106">
        <f>Calculations!H20</f>
        <v>1.2700106171352834E-5</v>
      </c>
      <c r="I5" s="106">
        <f>Calculations!I20</f>
        <v>1.2795803017792617E-5</v>
      </c>
      <c r="J5" s="106">
        <f>Calculations!J20</f>
        <v>1.287634952877253E-5</v>
      </c>
      <c r="K5" s="106">
        <f>Calculations!K20</f>
        <v>1.293927509910824E-5</v>
      </c>
      <c r="L5" s="106">
        <f>Calculations!L20</f>
        <v>1.2994713037764601E-5</v>
      </c>
      <c r="M5" s="106">
        <f>Calculations!M20</f>
        <v>1.3050698720626326E-5</v>
      </c>
      <c r="N5" s="106">
        <f>Calculations!N20</f>
        <v>1.3169120766011463E-5</v>
      </c>
      <c r="O5" s="106">
        <f>Calculations!O20</f>
        <v>1.3288817899419017E-5</v>
      </c>
      <c r="P5" s="106">
        <f>Calculations!P20</f>
        <v>1.3406144591763579E-5</v>
      </c>
      <c r="Q5" s="106">
        <f>Calculations!Q20</f>
        <v>1.3523571074412527E-5</v>
      </c>
      <c r="R5" s="106">
        <f>Calculations!R20</f>
        <v>1.3626401649126733E-5</v>
      </c>
      <c r="S5" s="106">
        <f>Calculations!S20</f>
        <v>1.3723086735754284E-5</v>
      </c>
      <c r="T5" s="106">
        <f>Calculations!T20</f>
        <v>1.3828692535595457E-5</v>
      </c>
      <c r="U5" s="106">
        <f>Calculations!U20</f>
        <v>1.3944686619606478E-5</v>
      </c>
      <c r="V5" s="106">
        <f>Calculations!V20</f>
        <v>1.4050400151988045E-5</v>
      </c>
      <c r="W5" s="106">
        <f>Calculations!W20</f>
        <v>1.4170057413145971E-5</v>
      </c>
      <c r="X5" s="106">
        <f>Calculations!X20</f>
        <v>1.4292273471830811E-5</v>
      </c>
      <c r="Y5" s="106">
        <f>Calculations!Y20</f>
        <v>1.4412833183450337E-5</v>
      </c>
      <c r="Z5" s="106">
        <f>Calculations!Z20</f>
        <v>1.4531552825422725E-5</v>
      </c>
      <c r="AA5" s="106">
        <f>Calculations!AA20</f>
        <v>1.4652379698663127E-5</v>
      </c>
      <c r="AB5" s="106">
        <f>Calculations!AB20</f>
        <v>1.4778812453172526E-5</v>
      </c>
      <c r="AC5" s="106">
        <f>Calculations!AC20</f>
        <v>1.4902288865825739E-5</v>
      </c>
      <c r="AD5" s="106">
        <f>Calculations!AD20</f>
        <v>1.5022946616114167E-5</v>
      </c>
      <c r="AE5" s="106">
        <f>Calculations!AE20</f>
        <v>1.513797204095962E-5</v>
      </c>
      <c r="AF5" s="106">
        <f>Calculations!AF20</f>
        <v>1.5258822572798604E-5</v>
      </c>
      <c r="AG5" s="106">
        <f>Calculations!AG20</f>
        <v>1.538433798663804E-5</v>
      </c>
    </row>
    <row r="6" spans="1:33">
      <c r="A6" s="1" t="s">
        <v>318</v>
      </c>
      <c r="B6" s="120">
        <f>B4</f>
        <v>0</v>
      </c>
      <c r="C6" s="120">
        <f t="shared" ref="C6:AG6" si="1">C4</f>
        <v>4.6986801095974462E-5</v>
      </c>
      <c r="D6" s="120">
        <f t="shared" si="1"/>
        <v>4.9317819911485171E-5</v>
      </c>
      <c r="E6" s="120">
        <f t="shared" si="1"/>
        <v>4.8135558391912264E-5</v>
      </c>
      <c r="F6" s="120">
        <f t="shared" si="1"/>
        <v>4.8817106556237436E-5</v>
      </c>
      <c r="G6" s="120">
        <f t="shared" si="1"/>
        <v>4.9414567714491681E-5</v>
      </c>
      <c r="H6" s="120">
        <f t="shared" si="1"/>
        <v>5.0152799160989165E-5</v>
      </c>
      <c r="I6" s="120">
        <f t="shared" si="1"/>
        <v>5.1016723187831479E-5</v>
      </c>
      <c r="J6" s="120">
        <f t="shared" si="1"/>
        <v>5.1933959657348385E-5</v>
      </c>
      <c r="K6" s="120">
        <f t="shared" si="1"/>
        <v>5.283057416383122E-5</v>
      </c>
      <c r="L6" s="120">
        <f t="shared" si="1"/>
        <v>5.3744044954273362E-5</v>
      </c>
      <c r="M6" s="120">
        <f t="shared" si="1"/>
        <v>5.4705033424374188E-5</v>
      </c>
      <c r="N6" s="120">
        <f t="shared" si="1"/>
        <v>5.5525373495691936E-5</v>
      </c>
      <c r="O6" s="120">
        <f t="shared" si="1"/>
        <v>5.6301189353241666E-5</v>
      </c>
      <c r="P6" s="120">
        <f t="shared" si="1"/>
        <v>5.705014629823155E-5</v>
      </c>
      <c r="Q6" s="120">
        <f t="shared" si="1"/>
        <v>5.7773537404578185E-5</v>
      </c>
      <c r="R6" s="120">
        <f t="shared" si="1"/>
        <v>5.8459700633469831E-5</v>
      </c>
      <c r="S6" s="120">
        <f t="shared" si="1"/>
        <v>5.9128890999332881E-5</v>
      </c>
      <c r="T6" s="120">
        <f t="shared" si="1"/>
        <v>5.9790304176831497E-5</v>
      </c>
      <c r="U6" s="120">
        <f t="shared" si="1"/>
        <v>6.0425763016830828E-5</v>
      </c>
      <c r="V6" s="120">
        <f t="shared" si="1"/>
        <v>6.1043907423571401E-5</v>
      </c>
      <c r="W6" s="120">
        <f t="shared" si="1"/>
        <v>6.1642654798959741E-5</v>
      </c>
      <c r="X6" s="120">
        <f t="shared" si="1"/>
        <v>6.2253228035448599E-5</v>
      </c>
      <c r="Y6" s="120">
        <f t="shared" si="1"/>
        <v>6.2878101545256934E-5</v>
      </c>
      <c r="Z6" s="120">
        <f t="shared" si="1"/>
        <v>6.3513349037911543E-5</v>
      </c>
      <c r="AA6" s="120">
        <f t="shared" si="1"/>
        <v>6.4153478160998407E-5</v>
      </c>
      <c r="AB6" s="120">
        <f t="shared" si="1"/>
        <v>6.4799812675734136E-5</v>
      </c>
      <c r="AC6" s="120">
        <f t="shared" si="1"/>
        <v>6.5440526970601023E-5</v>
      </c>
      <c r="AD6" s="120">
        <f t="shared" si="1"/>
        <v>6.6083632670351869E-5</v>
      </c>
      <c r="AE6" s="120">
        <f t="shared" si="1"/>
        <v>6.6714733566234217E-5</v>
      </c>
      <c r="AF6" s="120">
        <f t="shared" si="1"/>
        <v>6.7360395090701968E-5</v>
      </c>
      <c r="AG6" s="120">
        <f t="shared" si="1"/>
        <v>6.8020768011389649E-5</v>
      </c>
    </row>
    <row r="7" spans="1:33">
      <c r="A7" s="1" t="s">
        <v>207</v>
      </c>
      <c r="B7" s="106">
        <f>Calculations!B21</f>
        <v>0</v>
      </c>
      <c r="C7" s="106">
        <f>Calculations!C21</f>
        <v>2.7391963567326677E-6</v>
      </c>
      <c r="D7" s="106">
        <f>Calculations!D21</f>
        <v>2.7035044659076721E-6</v>
      </c>
      <c r="E7" s="106">
        <f>Calculations!E21</f>
        <v>2.7185109089513134E-6</v>
      </c>
      <c r="F7" s="106">
        <f>Calculations!F21</f>
        <v>2.6548953511864552E-6</v>
      </c>
      <c r="G7" s="106">
        <f>Calculations!G21</f>
        <v>2.5938240556006943E-6</v>
      </c>
      <c r="H7" s="106">
        <f>Calculations!H21</f>
        <v>2.5590047049058328E-6</v>
      </c>
      <c r="I7" s="106">
        <f>Calculations!I21</f>
        <v>2.5255698817351428E-6</v>
      </c>
      <c r="J7" s="106">
        <f>Calculations!J21</f>
        <v>2.4924641444887069E-6</v>
      </c>
      <c r="K7" s="106">
        <f>Calculations!K21</f>
        <v>2.4630192775406348E-6</v>
      </c>
      <c r="L7" s="106">
        <f>Calculations!L21</f>
        <v>2.4357779715606827E-6</v>
      </c>
      <c r="M7" s="106">
        <f>Calculations!M21</f>
        <v>2.4088003669058073E-6</v>
      </c>
      <c r="N7" s="106">
        <f>Calculations!N21</f>
        <v>2.3521453421698969E-6</v>
      </c>
      <c r="O7" s="106">
        <f>Calculations!O21</f>
        <v>2.2951724180978702E-6</v>
      </c>
      <c r="P7" s="106">
        <f>Calculations!P21</f>
        <v>2.239345961688479E-6</v>
      </c>
      <c r="Q7" s="106">
        <f>Calculations!Q21</f>
        <v>2.1846450889852843E-6</v>
      </c>
      <c r="R7" s="106">
        <f>Calculations!R21</f>
        <v>2.1341259193027395E-6</v>
      </c>
      <c r="S7" s="106">
        <f>Calculations!S21</f>
        <v>2.0867486593158648E-6</v>
      </c>
      <c r="T7" s="106">
        <f>Calculations!T21</f>
        <v>2.0330794977210581E-6</v>
      </c>
      <c r="U7" s="106">
        <f>Calculations!U21</f>
        <v>1.9723930935543346E-6</v>
      </c>
      <c r="V7" s="106">
        <f>Calculations!V21</f>
        <v>1.9149939718104472E-6</v>
      </c>
      <c r="W7" s="106">
        <f>Calculations!W21</f>
        <v>1.8487998640968444E-6</v>
      </c>
      <c r="X7" s="106">
        <f>Calculations!X21</f>
        <v>1.7811388063656958E-6</v>
      </c>
      <c r="Y7" s="106">
        <f>Calculations!Y21</f>
        <v>1.7135669150580916E-6</v>
      </c>
      <c r="Z7" s="106">
        <f>Calculations!Z21</f>
        <v>1.6458522157100372E-6</v>
      </c>
      <c r="AA7" s="106">
        <f>Calculations!AA21</f>
        <v>1.575483666177147E-6</v>
      </c>
      <c r="AB7" s="106">
        <f>Calculations!AB21</f>
        <v>1.5017889045810586E-6</v>
      </c>
      <c r="AC7" s="106">
        <f>Calculations!AC21</f>
        <v>1.4283657904541146E-6</v>
      </c>
      <c r="AD7" s="106">
        <f>Calculations!AD21</f>
        <v>1.3565690643017471E-6</v>
      </c>
      <c r="AE7" s="106">
        <f>Calculations!AE21</f>
        <v>1.286237339449742E-6</v>
      </c>
      <c r="AF7" s="106">
        <f>Calculations!AF21</f>
        <v>1.2137009121876418E-6</v>
      </c>
      <c r="AG7" s="106">
        <f>Calculations!AG21</f>
        <v>1.1403423419222421E-6</v>
      </c>
    </row>
    <row r="8" spans="1:33">
      <c r="A8" s="1" t="s">
        <v>319</v>
      </c>
      <c r="B8" s="120">
        <f>B5</f>
        <v>0</v>
      </c>
      <c r="C8" s="120">
        <f t="shared" ref="C8:AG8" si="2">C5</f>
        <v>1.3596146153614844E-5</v>
      </c>
      <c r="D8" s="120">
        <f t="shared" si="2"/>
        <v>1.248535933849571E-5</v>
      </c>
      <c r="E8" s="120">
        <f t="shared" si="2"/>
        <v>1.2314358584448748E-5</v>
      </c>
      <c r="F8" s="120">
        <f t="shared" si="2"/>
        <v>1.2463043400758694E-5</v>
      </c>
      <c r="G8" s="120">
        <f t="shared" si="2"/>
        <v>1.2602232441207277E-5</v>
      </c>
      <c r="H8" s="120">
        <f t="shared" si="2"/>
        <v>1.2700106171352834E-5</v>
      </c>
      <c r="I8" s="120">
        <f t="shared" si="2"/>
        <v>1.2795803017792617E-5</v>
      </c>
      <c r="J8" s="120">
        <f t="shared" si="2"/>
        <v>1.287634952877253E-5</v>
      </c>
      <c r="K8" s="120">
        <f t="shared" si="2"/>
        <v>1.293927509910824E-5</v>
      </c>
      <c r="L8" s="120">
        <f t="shared" si="2"/>
        <v>1.2994713037764601E-5</v>
      </c>
      <c r="M8" s="120">
        <f t="shared" si="2"/>
        <v>1.3050698720626326E-5</v>
      </c>
      <c r="N8" s="120">
        <f t="shared" si="2"/>
        <v>1.3169120766011463E-5</v>
      </c>
      <c r="O8" s="120">
        <f t="shared" si="2"/>
        <v>1.3288817899419017E-5</v>
      </c>
      <c r="P8" s="120">
        <f t="shared" si="2"/>
        <v>1.3406144591763579E-5</v>
      </c>
      <c r="Q8" s="120">
        <f t="shared" si="2"/>
        <v>1.3523571074412527E-5</v>
      </c>
      <c r="R8" s="120">
        <f t="shared" si="2"/>
        <v>1.3626401649126733E-5</v>
      </c>
      <c r="S8" s="120">
        <f t="shared" si="2"/>
        <v>1.3723086735754284E-5</v>
      </c>
      <c r="T8" s="120">
        <f t="shared" si="2"/>
        <v>1.3828692535595457E-5</v>
      </c>
      <c r="U8" s="120">
        <f t="shared" si="2"/>
        <v>1.3944686619606478E-5</v>
      </c>
      <c r="V8" s="120">
        <f t="shared" si="2"/>
        <v>1.4050400151988045E-5</v>
      </c>
      <c r="W8" s="120">
        <f t="shared" si="2"/>
        <v>1.4170057413145971E-5</v>
      </c>
      <c r="X8" s="120">
        <f t="shared" si="2"/>
        <v>1.4292273471830811E-5</v>
      </c>
      <c r="Y8" s="120">
        <f t="shared" si="2"/>
        <v>1.4412833183450337E-5</v>
      </c>
      <c r="Z8" s="120">
        <f t="shared" si="2"/>
        <v>1.4531552825422725E-5</v>
      </c>
      <c r="AA8" s="120">
        <f t="shared" si="2"/>
        <v>1.4652379698663127E-5</v>
      </c>
      <c r="AB8" s="120">
        <f t="shared" si="2"/>
        <v>1.4778812453172526E-5</v>
      </c>
      <c r="AC8" s="120">
        <f t="shared" si="2"/>
        <v>1.4902288865825739E-5</v>
      </c>
      <c r="AD8" s="120">
        <f t="shared" si="2"/>
        <v>1.5022946616114167E-5</v>
      </c>
      <c r="AE8" s="120">
        <f t="shared" si="2"/>
        <v>1.513797204095962E-5</v>
      </c>
      <c r="AF8" s="120">
        <f t="shared" si="2"/>
        <v>1.5258822572798604E-5</v>
      </c>
      <c r="AG8" s="120">
        <f t="shared" si="2"/>
        <v>1.538433798663804E-5</v>
      </c>
    </row>
    <row r="9" spans="1:33">
      <c r="A9" s="1" t="s">
        <v>320</v>
      </c>
      <c r="B9" s="120">
        <f>B5</f>
        <v>0</v>
      </c>
      <c r="C9" s="120">
        <f t="shared" ref="C9:AG9" si="3">C5</f>
        <v>1.3596146153614844E-5</v>
      </c>
      <c r="D9" s="120">
        <f t="shared" si="3"/>
        <v>1.248535933849571E-5</v>
      </c>
      <c r="E9" s="120">
        <f t="shared" si="3"/>
        <v>1.2314358584448748E-5</v>
      </c>
      <c r="F9" s="120">
        <f t="shared" si="3"/>
        <v>1.2463043400758694E-5</v>
      </c>
      <c r="G9" s="120">
        <f t="shared" si="3"/>
        <v>1.2602232441207277E-5</v>
      </c>
      <c r="H9" s="120">
        <f t="shared" si="3"/>
        <v>1.2700106171352834E-5</v>
      </c>
      <c r="I9" s="120">
        <f t="shared" si="3"/>
        <v>1.2795803017792617E-5</v>
      </c>
      <c r="J9" s="120">
        <f t="shared" si="3"/>
        <v>1.287634952877253E-5</v>
      </c>
      <c r="K9" s="120">
        <f t="shared" si="3"/>
        <v>1.293927509910824E-5</v>
      </c>
      <c r="L9" s="120">
        <f t="shared" si="3"/>
        <v>1.2994713037764601E-5</v>
      </c>
      <c r="M9" s="120">
        <f t="shared" si="3"/>
        <v>1.3050698720626326E-5</v>
      </c>
      <c r="N9" s="120">
        <f t="shared" si="3"/>
        <v>1.3169120766011463E-5</v>
      </c>
      <c r="O9" s="120">
        <f t="shared" si="3"/>
        <v>1.3288817899419017E-5</v>
      </c>
      <c r="P9" s="120">
        <f t="shared" si="3"/>
        <v>1.3406144591763579E-5</v>
      </c>
      <c r="Q9" s="120">
        <f t="shared" si="3"/>
        <v>1.3523571074412527E-5</v>
      </c>
      <c r="R9" s="120">
        <f t="shared" si="3"/>
        <v>1.3626401649126733E-5</v>
      </c>
      <c r="S9" s="120">
        <f t="shared" si="3"/>
        <v>1.3723086735754284E-5</v>
      </c>
      <c r="T9" s="120">
        <f t="shared" si="3"/>
        <v>1.3828692535595457E-5</v>
      </c>
      <c r="U9" s="120">
        <f t="shared" si="3"/>
        <v>1.3944686619606478E-5</v>
      </c>
      <c r="V9" s="120">
        <f t="shared" si="3"/>
        <v>1.4050400151988045E-5</v>
      </c>
      <c r="W9" s="120">
        <f t="shared" si="3"/>
        <v>1.4170057413145971E-5</v>
      </c>
      <c r="X9" s="120">
        <f t="shared" si="3"/>
        <v>1.4292273471830811E-5</v>
      </c>
      <c r="Y9" s="120">
        <f t="shared" si="3"/>
        <v>1.4412833183450337E-5</v>
      </c>
      <c r="Z9" s="120">
        <f t="shared" si="3"/>
        <v>1.4531552825422725E-5</v>
      </c>
      <c r="AA9" s="120">
        <f t="shared" si="3"/>
        <v>1.4652379698663127E-5</v>
      </c>
      <c r="AB9" s="120">
        <f t="shared" si="3"/>
        <v>1.4778812453172526E-5</v>
      </c>
      <c r="AC9" s="120">
        <f t="shared" si="3"/>
        <v>1.4902288865825739E-5</v>
      </c>
      <c r="AD9" s="120">
        <f t="shared" si="3"/>
        <v>1.5022946616114167E-5</v>
      </c>
      <c r="AE9" s="120">
        <f t="shared" si="3"/>
        <v>1.513797204095962E-5</v>
      </c>
      <c r="AF9" s="120">
        <f t="shared" si="3"/>
        <v>1.5258822572798604E-5</v>
      </c>
      <c r="AG9" s="120">
        <f t="shared" si="3"/>
        <v>1.538433798663804E-5</v>
      </c>
    </row>
    <row r="10" spans="1:33">
      <c r="A10" s="1" t="s">
        <v>321</v>
      </c>
      <c r="B10" s="120">
        <f>B4</f>
        <v>0</v>
      </c>
      <c r="C10" s="120">
        <f t="shared" ref="C10:AG10" si="4">C4</f>
        <v>4.6986801095974462E-5</v>
      </c>
      <c r="D10" s="120">
        <f t="shared" si="4"/>
        <v>4.9317819911485171E-5</v>
      </c>
      <c r="E10" s="120">
        <f t="shared" si="4"/>
        <v>4.8135558391912264E-5</v>
      </c>
      <c r="F10" s="120">
        <f t="shared" si="4"/>
        <v>4.8817106556237436E-5</v>
      </c>
      <c r="G10" s="120">
        <f t="shared" si="4"/>
        <v>4.9414567714491681E-5</v>
      </c>
      <c r="H10" s="120">
        <f t="shared" si="4"/>
        <v>5.0152799160989165E-5</v>
      </c>
      <c r="I10" s="120">
        <f t="shared" si="4"/>
        <v>5.1016723187831479E-5</v>
      </c>
      <c r="J10" s="120">
        <f t="shared" si="4"/>
        <v>5.1933959657348385E-5</v>
      </c>
      <c r="K10" s="120">
        <f t="shared" si="4"/>
        <v>5.283057416383122E-5</v>
      </c>
      <c r="L10" s="120">
        <f t="shared" si="4"/>
        <v>5.3744044954273362E-5</v>
      </c>
      <c r="M10" s="120">
        <f t="shared" si="4"/>
        <v>5.4705033424374188E-5</v>
      </c>
      <c r="N10" s="120">
        <f t="shared" si="4"/>
        <v>5.5525373495691936E-5</v>
      </c>
      <c r="O10" s="120">
        <f t="shared" si="4"/>
        <v>5.6301189353241666E-5</v>
      </c>
      <c r="P10" s="120">
        <f t="shared" si="4"/>
        <v>5.705014629823155E-5</v>
      </c>
      <c r="Q10" s="120">
        <f t="shared" si="4"/>
        <v>5.7773537404578185E-5</v>
      </c>
      <c r="R10" s="120">
        <f t="shared" si="4"/>
        <v>5.8459700633469831E-5</v>
      </c>
      <c r="S10" s="120">
        <f t="shared" si="4"/>
        <v>5.9128890999332881E-5</v>
      </c>
      <c r="T10" s="120">
        <f t="shared" si="4"/>
        <v>5.9790304176831497E-5</v>
      </c>
      <c r="U10" s="120">
        <f t="shared" si="4"/>
        <v>6.0425763016830828E-5</v>
      </c>
      <c r="V10" s="120">
        <f t="shared" si="4"/>
        <v>6.1043907423571401E-5</v>
      </c>
      <c r="W10" s="120">
        <f t="shared" si="4"/>
        <v>6.1642654798959741E-5</v>
      </c>
      <c r="X10" s="120">
        <f t="shared" si="4"/>
        <v>6.2253228035448599E-5</v>
      </c>
      <c r="Y10" s="120">
        <f t="shared" si="4"/>
        <v>6.2878101545256934E-5</v>
      </c>
      <c r="Z10" s="120">
        <f t="shared" si="4"/>
        <v>6.3513349037911543E-5</v>
      </c>
      <c r="AA10" s="120">
        <f t="shared" si="4"/>
        <v>6.4153478160998407E-5</v>
      </c>
      <c r="AB10" s="120">
        <f t="shared" si="4"/>
        <v>6.4799812675734136E-5</v>
      </c>
      <c r="AC10" s="120">
        <f t="shared" si="4"/>
        <v>6.5440526970601023E-5</v>
      </c>
      <c r="AD10" s="120">
        <f t="shared" si="4"/>
        <v>6.6083632670351869E-5</v>
      </c>
      <c r="AE10" s="120">
        <f t="shared" si="4"/>
        <v>6.6714733566234217E-5</v>
      </c>
      <c r="AF10" s="120">
        <f t="shared" si="4"/>
        <v>6.7360395090701968E-5</v>
      </c>
      <c r="AG10" s="120">
        <f t="shared" si="4"/>
        <v>6.8020768011389649E-5</v>
      </c>
    </row>
    <row r="11" spans="1:33">
      <c r="A11" s="1" t="s">
        <v>322</v>
      </c>
      <c r="B11" s="120">
        <f>B4</f>
        <v>0</v>
      </c>
      <c r="C11" s="120">
        <f t="shared" ref="C11:AG11" si="5">C4</f>
        <v>4.6986801095974462E-5</v>
      </c>
      <c r="D11" s="120">
        <f t="shared" si="5"/>
        <v>4.9317819911485171E-5</v>
      </c>
      <c r="E11" s="120">
        <f t="shared" si="5"/>
        <v>4.8135558391912264E-5</v>
      </c>
      <c r="F11" s="120">
        <f t="shared" si="5"/>
        <v>4.8817106556237436E-5</v>
      </c>
      <c r="G11" s="120">
        <f t="shared" si="5"/>
        <v>4.9414567714491681E-5</v>
      </c>
      <c r="H11" s="120">
        <f t="shared" si="5"/>
        <v>5.0152799160989165E-5</v>
      </c>
      <c r="I11" s="120">
        <f t="shared" si="5"/>
        <v>5.1016723187831479E-5</v>
      </c>
      <c r="J11" s="120">
        <f t="shared" si="5"/>
        <v>5.1933959657348385E-5</v>
      </c>
      <c r="K11" s="120">
        <f t="shared" si="5"/>
        <v>5.283057416383122E-5</v>
      </c>
      <c r="L11" s="120">
        <f t="shared" si="5"/>
        <v>5.3744044954273362E-5</v>
      </c>
      <c r="M11" s="120">
        <f t="shared" si="5"/>
        <v>5.4705033424374188E-5</v>
      </c>
      <c r="N11" s="120">
        <f t="shared" si="5"/>
        <v>5.5525373495691936E-5</v>
      </c>
      <c r="O11" s="120">
        <f t="shared" si="5"/>
        <v>5.6301189353241666E-5</v>
      </c>
      <c r="P11" s="120">
        <f t="shared" si="5"/>
        <v>5.705014629823155E-5</v>
      </c>
      <c r="Q11" s="120">
        <f t="shared" si="5"/>
        <v>5.7773537404578185E-5</v>
      </c>
      <c r="R11" s="120">
        <f t="shared" si="5"/>
        <v>5.8459700633469831E-5</v>
      </c>
      <c r="S11" s="120">
        <f t="shared" si="5"/>
        <v>5.9128890999332881E-5</v>
      </c>
      <c r="T11" s="120">
        <f t="shared" si="5"/>
        <v>5.9790304176831497E-5</v>
      </c>
      <c r="U11" s="120">
        <f t="shared" si="5"/>
        <v>6.0425763016830828E-5</v>
      </c>
      <c r="V11" s="120">
        <f t="shared" si="5"/>
        <v>6.1043907423571401E-5</v>
      </c>
      <c r="W11" s="120">
        <f t="shared" si="5"/>
        <v>6.1642654798959741E-5</v>
      </c>
      <c r="X11" s="120">
        <f t="shared" si="5"/>
        <v>6.2253228035448599E-5</v>
      </c>
      <c r="Y11" s="120">
        <f t="shared" si="5"/>
        <v>6.2878101545256934E-5</v>
      </c>
      <c r="Z11" s="120">
        <f t="shared" si="5"/>
        <v>6.3513349037911543E-5</v>
      </c>
      <c r="AA11" s="120">
        <f t="shared" si="5"/>
        <v>6.4153478160998407E-5</v>
      </c>
      <c r="AB11" s="120">
        <f t="shared" si="5"/>
        <v>6.4799812675734136E-5</v>
      </c>
      <c r="AC11" s="120">
        <f t="shared" si="5"/>
        <v>6.5440526970601023E-5</v>
      </c>
      <c r="AD11" s="120">
        <f t="shared" si="5"/>
        <v>6.6083632670351869E-5</v>
      </c>
      <c r="AE11" s="120">
        <f t="shared" si="5"/>
        <v>6.6714733566234217E-5</v>
      </c>
      <c r="AF11" s="120">
        <f t="shared" si="5"/>
        <v>6.7360395090701968E-5</v>
      </c>
      <c r="AG11" s="120">
        <f t="shared" si="5"/>
        <v>6.8020768011389649E-5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AG11"/>
  <sheetViews>
    <sheetView topLeftCell="AF1" zoomScaleNormal="100" workbookViewId="0">
      <selection activeCell="AL7" sqref="AL7"/>
    </sheetView>
  </sheetViews>
  <sheetFormatPr defaultRowHeight="14.5"/>
  <cols>
    <col min="1" max="1" width="29.81640625" customWidth="1"/>
    <col min="2" max="32" width="10" customWidth="1"/>
    <col min="33" max="33" width="11.08984375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0</v>
      </c>
      <c r="C3" s="120">
        <f t="shared" ref="C3:AG3" si="0">C4</f>
        <v>8.9447496175339696E-6</v>
      </c>
      <c r="D3" s="120">
        <f t="shared" si="0"/>
        <v>9.0612648368949834E-6</v>
      </c>
      <c r="E3" s="120">
        <f t="shared" si="0"/>
        <v>9.1285986358226108E-6</v>
      </c>
      <c r="F3" s="120">
        <f t="shared" si="0"/>
        <v>9.1650836774078401E-6</v>
      </c>
      <c r="G3" s="120">
        <f t="shared" si="0"/>
        <v>9.1789906904645387E-6</v>
      </c>
      <c r="H3" s="120">
        <f t="shared" si="0"/>
        <v>9.20298261644773E-6</v>
      </c>
      <c r="I3" s="120">
        <f t="shared" si="0"/>
        <v>9.2359245028687306E-6</v>
      </c>
      <c r="J3" s="120">
        <f t="shared" si="0"/>
        <v>9.2732432154183887E-6</v>
      </c>
      <c r="K3" s="120">
        <f t="shared" si="0"/>
        <v>9.3035855199663933E-6</v>
      </c>
      <c r="L3" s="120">
        <f t="shared" si="0"/>
        <v>9.33014094916477E-6</v>
      </c>
      <c r="M3" s="120">
        <f t="shared" si="0"/>
        <v>9.3720239629683599E-6</v>
      </c>
      <c r="N3" s="120">
        <f t="shared" si="0"/>
        <v>9.4086453292806292E-6</v>
      </c>
      <c r="O3" s="120">
        <f t="shared" si="0"/>
        <v>9.436568758184178E-6</v>
      </c>
      <c r="P3" s="120">
        <f t="shared" si="0"/>
        <v>9.4582624382641574E-6</v>
      </c>
      <c r="Q3" s="120">
        <f t="shared" si="0"/>
        <v>9.4780465258887288E-6</v>
      </c>
      <c r="R3" s="120">
        <f t="shared" si="0"/>
        <v>9.4950706231346323E-6</v>
      </c>
      <c r="S3" s="120">
        <f t="shared" si="0"/>
        <v>9.5124138114574054E-6</v>
      </c>
      <c r="T3" s="120">
        <f t="shared" si="0"/>
        <v>9.5317449162035221E-6</v>
      </c>
      <c r="U3" s="120">
        <f t="shared" si="0"/>
        <v>9.5519487085579517E-6</v>
      </c>
      <c r="V3" s="120">
        <f t="shared" si="0"/>
        <v>9.5725488836314857E-6</v>
      </c>
      <c r="W3" s="120">
        <f t="shared" si="0"/>
        <v>9.593979627233775E-6</v>
      </c>
      <c r="X3" s="120">
        <f t="shared" si="0"/>
        <v>9.6176179157390412E-6</v>
      </c>
      <c r="Y3" s="120">
        <f t="shared" si="0"/>
        <v>9.641996505192648E-6</v>
      </c>
      <c r="Z3" s="120">
        <f t="shared" si="0"/>
        <v>9.6645378554143839E-6</v>
      </c>
      <c r="AA3" s="120">
        <f t="shared" si="0"/>
        <v>9.6847029312269019E-6</v>
      </c>
      <c r="AB3" s="120">
        <f t="shared" si="0"/>
        <v>9.7017810580318422E-6</v>
      </c>
      <c r="AC3" s="120">
        <f t="shared" si="0"/>
        <v>9.7150287314299474E-6</v>
      </c>
      <c r="AD3" s="120">
        <f t="shared" si="0"/>
        <v>9.7252424605608594E-6</v>
      </c>
      <c r="AE3" s="120">
        <f t="shared" si="0"/>
        <v>9.7313657869065903E-6</v>
      </c>
      <c r="AF3" s="120">
        <f t="shared" si="0"/>
        <v>9.7363923906150918E-6</v>
      </c>
      <c r="AG3" s="120">
        <f t="shared" si="0"/>
        <v>9.7423930916904569E-6</v>
      </c>
    </row>
    <row r="4" spans="1:33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3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3">
      <c r="A6" s="1" t="s">
        <v>318</v>
      </c>
      <c r="B6" s="120">
        <f>B4</f>
        <v>0</v>
      </c>
      <c r="C6" s="120">
        <f t="shared" ref="C6:AG7" si="1">C4</f>
        <v>8.9447496175339696E-6</v>
      </c>
      <c r="D6" s="120">
        <f t="shared" si="1"/>
        <v>9.0612648368949834E-6</v>
      </c>
      <c r="E6" s="120">
        <f t="shared" si="1"/>
        <v>9.1285986358226108E-6</v>
      </c>
      <c r="F6" s="120">
        <f t="shared" si="1"/>
        <v>9.1650836774078401E-6</v>
      </c>
      <c r="G6" s="120">
        <f t="shared" si="1"/>
        <v>9.1789906904645387E-6</v>
      </c>
      <c r="H6" s="120">
        <f t="shared" si="1"/>
        <v>9.20298261644773E-6</v>
      </c>
      <c r="I6" s="120">
        <f t="shared" si="1"/>
        <v>9.2359245028687306E-6</v>
      </c>
      <c r="J6" s="120">
        <f t="shared" si="1"/>
        <v>9.2732432154183887E-6</v>
      </c>
      <c r="K6" s="120">
        <f t="shared" si="1"/>
        <v>9.3035855199663933E-6</v>
      </c>
      <c r="L6" s="120">
        <f t="shared" si="1"/>
        <v>9.33014094916477E-6</v>
      </c>
      <c r="M6" s="120">
        <f t="shared" si="1"/>
        <v>9.3720239629683599E-6</v>
      </c>
      <c r="N6" s="120">
        <f t="shared" si="1"/>
        <v>9.4086453292806292E-6</v>
      </c>
      <c r="O6" s="120">
        <f t="shared" si="1"/>
        <v>9.436568758184178E-6</v>
      </c>
      <c r="P6" s="120">
        <f t="shared" si="1"/>
        <v>9.4582624382641574E-6</v>
      </c>
      <c r="Q6" s="120">
        <f t="shared" si="1"/>
        <v>9.4780465258887288E-6</v>
      </c>
      <c r="R6" s="120">
        <f t="shared" si="1"/>
        <v>9.4950706231346323E-6</v>
      </c>
      <c r="S6" s="120">
        <f t="shared" si="1"/>
        <v>9.5124138114574054E-6</v>
      </c>
      <c r="T6" s="120">
        <f t="shared" si="1"/>
        <v>9.5317449162035221E-6</v>
      </c>
      <c r="U6" s="120">
        <f t="shared" si="1"/>
        <v>9.5519487085579517E-6</v>
      </c>
      <c r="V6" s="120">
        <f t="shared" si="1"/>
        <v>9.5725488836314857E-6</v>
      </c>
      <c r="W6" s="120">
        <f t="shared" si="1"/>
        <v>9.593979627233775E-6</v>
      </c>
      <c r="X6" s="120">
        <f t="shared" si="1"/>
        <v>9.6176179157390412E-6</v>
      </c>
      <c r="Y6" s="120">
        <f t="shared" si="1"/>
        <v>9.641996505192648E-6</v>
      </c>
      <c r="Z6" s="120">
        <f t="shared" si="1"/>
        <v>9.6645378554143839E-6</v>
      </c>
      <c r="AA6" s="120">
        <f t="shared" si="1"/>
        <v>9.6847029312269019E-6</v>
      </c>
      <c r="AB6" s="120">
        <f t="shared" si="1"/>
        <v>9.7017810580318422E-6</v>
      </c>
      <c r="AC6" s="120">
        <f t="shared" si="1"/>
        <v>9.7150287314299474E-6</v>
      </c>
      <c r="AD6" s="120">
        <f t="shared" si="1"/>
        <v>9.7252424605608594E-6</v>
      </c>
      <c r="AE6" s="120">
        <f t="shared" si="1"/>
        <v>9.7313657869065903E-6</v>
      </c>
      <c r="AF6" s="120">
        <f t="shared" si="1"/>
        <v>9.7363923906150918E-6</v>
      </c>
      <c r="AG6" s="120">
        <f t="shared" si="1"/>
        <v>9.7423930916904569E-6</v>
      </c>
    </row>
    <row r="7" spans="1:33">
      <c r="A7" s="1" t="s">
        <v>207</v>
      </c>
      <c r="B7" s="120">
        <f>B5</f>
        <v>0</v>
      </c>
      <c r="C7" s="120">
        <f t="shared" si="1"/>
        <v>-2.5773740232572448E-5</v>
      </c>
      <c r="D7" s="120">
        <f t="shared" si="1"/>
        <v>-2.6222272756219751E-5</v>
      </c>
      <c r="E7" s="120">
        <f t="shared" si="1"/>
        <v>-2.6855921110816306E-5</v>
      </c>
      <c r="F7" s="120">
        <f t="shared" si="1"/>
        <v>-2.7695360489932262E-5</v>
      </c>
      <c r="G7" s="120">
        <f t="shared" si="1"/>
        <v>-2.8479783557657326E-5</v>
      </c>
      <c r="H7" s="120">
        <f t="shared" si="1"/>
        <v>-2.9119672843080487E-5</v>
      </c>
      <c r="I7" s="120">
        <f t="shared" si="1"/>
        <v>-2.9680128372044583E-5</v>
      </c>
      <c r="J7" s="120">
        <f t="shared" si="1"/>
        <v>-3.0120020894163024E-5</v>
      </c>
      <c r="K7" s="120">
        <f t="shared" si="1"/>
        <v>-3.0424872585285659E-5</v>
      </c>
      <c r="L7" s="120">
        <f t="shared" si="1"/>
        <v>-3.0604403892265655E-5</v>
      </c>
      <c r="M7" s="120">
        <f t="shared" si="1"/>
        <v>-3.0675902942505366E-5</v>
      </c>
      <c r="N7" s="120">
        <f t="shared" si="1"/>
        <v>-3.0746146799496163E-5</v>
      </c>
      <c r="O7" s="120">
        <f t="shared" si="1"/>
        <v>-3.0819416361629186E-5</v>
      </c>
      <c r="P7" s="120">
        <f t="shared" si="1"/>
        <v>-3.0891114520030685E-5</v>
      </c>
      <c r="Q7" s="120">
        <f t="shared" si="1"/>
        <v>-3.0965343974820143E-5</v>
      </c>
      <c r="R7" s="120">
        <f t="shared" si="1"/>
        <v>-3.1021284030696146E-5</v>
      </c>
      <c r="S7" s="120">
        <f t="shared" si="1"/>
        <v>-3.1068282347118689E-5</v>
      </c>
      <c r="T7" s="120">
        <f t="shared" si="1"/>
        <v>-3.1141031668658404E-5</v>
      </c>
      <c r="U7" s="120">
        <f t="shared" si="1"/>
        <v>-3.1245343105876321E-5</v>
      </c>
      <c r="V7" s="120">
        <f t="shared" si="1"/>
        <v>-3.1336193118937575E-5</v>
      </c>
      <c r="W7" s="120">
        <f t="shared" si="1"/>
        <v>-3.146349251060445E-5</v>
      </c>
      <c r="X7" s="120">
        <f t="shared" si="1"/>
        <v>-3.1594902847119152E-5</v>
      </c>
      <c r="Y7" s="120">
        <f t="shared" si="1"/>
        <v>-3.1719765067270732E-5</v>
      </c>
      <c r="Z7" s="120">
        <f t="shared" si="1"/>
        <v>-3.1830734873333794E-5</v>
      </c>
      <c r="AA7" s="120">
        <f t="shared" si="1"/>
        <v>-3.1936308911663536E-5</v>
      </c>
      <c r="AB7" s="120">
        <f t="shared" si="1"/>
        <v>-3.2043106306306312E-5</v>
      </c>
      <c r="AC7" s="120">
        <f t="shared" si="1"/>
        <v>-3.212885748261983E-5</v>
      </c>
      <c r="AD7" s="120">
        <f t="shared" si="1"/>
        <v>-3.2194454241692963E-5</v>
      </c>
      <c r="AE7" s="120">
        <f t="shared" si="1"/>
        <v>-3.223895309441349E-5</v>
      </c>
      <c r="AF7" s="120">
        <f t="shared" si="1"/>
        <v>-3.2286472092845694E-5</v>
      </c>
      <c r="AG7" s="120">
        <f t="shared" si="1"/>
        <v>-3.2333580471562971E-5</v>
      </c>
    </row>
    <row r="8" spans="1:33">
      <c r="A8" s="1" t="s">
        <v>319</v>
      </c>
      <c r="B8" s="120">
        <f>B5</f>
        <v>0</v>
      </c>
      <c r="C8" s="120">
        <f t="shared" ref="C8:AG8" si="2">C5</f>
        <v>-2.5773740232572448E-5</v>
      </c>
      <c r="D8" s="120">
        <f t="shared" si="2"/>
        <v>-2.6222272756219751E-5</v>
      </c>
      <c r="E8" s="120">
        <f t="shared" si="2"/>
        <v>-2.6855921110816306E-5</v>
      </c>
      <c r="F8" s="120">
        <f t="shared" si="2"/>
        <v>-2.7695360489932262E-5</v>
      </c>
      <c r="G8" s="120">
        <f t="shared" si="2"/>
        <v>-2.8479783557657326E-5</v>
      </c>
      <c r="H8" s="120">
        <f t="shared" si="2"/>
        <v>-2.9119672843080487E-5</v>
      </c>
      <c r="I8" s="120">
        <f t="shared" si="2"/>
        <v>-2.9680128372044583E-5</v>
      </c>
      <c r="J8" s="120">
        <f t="shared" si="2"/>
        <v>-3.0120020894163024E-5</v>
      </c>
      <c r="K8" s="120">
        <f t="shared" si="2"/>
        <v>-3.0424872585285659E-5</v>
      </c>
      <c r="L8" s="120">
        <f t="shared" si="2"/>
        <v>-3.0604403892265655E-5</v>
      </c>
      <c r="M8" s="120">
        <f t="shared" si="2"/>
        <v>-3.0675902942505366E-5</v>
      </c>
      <c r="N8" s="120">
        <f t="shared" si="2"/>
        <v>-3.0746146799496163E-5</v>
      </c>
      <c r="O8" s="120">
        <f t="shared" si="2"/>
        <v>-3.0819416361629186E-5</v>
      </c>
      <c r="P8" s="120">
        <f t="shared" si="2"/>
        <v>-3.0891114520030685E-5</v>
      </c>
      <c r="Q8" s="120">
        <f t="shared" si="2"/>
        <v>-3.0965343974820143E-5</v>
      </c>
      <c r="R8" s="120">
        <f t="shared" si="2"/>
        <v>-3.1021284030696146E-5</v>
      </c>
      <c r="S8" s="120">
        <f t="shared" si="2"/>
        <v>-3.1068282347118689E-5</v>
      </c>
      <c r="T8" s="120">
        <f t="shared" si="2"/>
        <v>-3.1141031668658404E-5</v>
      </c>
      <c r="U8" s="120">
        <f t="shared" si="2"/>
        <v>-3.1245343105876321E-5</v>
      </c>
      <c r="V8" s="120">
        <f t="shared" si="2"/>
        <v>-3.1336193118937575E-5</v>
      </c>
      <c r="W8" s="120">
        <f t="shared" si="2"/>
        <v>-3.146349251060445E-5</v>
      </c>
      <c r="X8" s="120">
        <f t="shared" si="2"/>
        <v>-3.1594902847119152E-5</v>
      </c>
      <c r="Y8" s="120">
        <f t="shared" si="2"/>
        <v>-3.1719765067270732E-5</v>
      </c>
      <c r="Z8" s="120">
        <f t="shared" si="2"/>
        <v>-3.1830734873333794E-5</v>
      </c>
      <c r="AA8" s="120">
        <f t="shared" si="2"/>
        <v>-3.1936308911663536E-5</v>
      </c>
      <c r="AB8" s="120">
        <f t="shared" si="2"/>
        <v>-3.2043106306306312E-5</v>
      </c>
      <c r="AC8" s="120">
        <f t="shared" si="2"/>
        <v>-3.212885748261983E-5</v>
      </c>
      <c r="AD8" s="120">
        <f t="shared" si="2"/>
        <v>-3.2194454241692963E-5</v>
      </c>
      <c r="AE8" s="120">
        <f t="shared" si="2"/>
        <v>-3.223895309441349E-5</v>
      </c>
      <c r="AF8" s="120">
        <f t="shared" si="2"/>
        <v>-3.2286472092845694E-5</v>
      </c>
      <c r="AG8" s="120">
        <f t="shared" si="2"/>
        <v>-3.2333580471562971E-5</v>
      </c>
    </row>
    <row r="9" spans="1:33">
      <c r="A9" s="1" t="s">
        <v>320</v>
      </c>
      <c r="B9" s="120">
        <f>B5</f>
        <v>0</v>
      </c>
      <c r="C9" s="120">
        <f t="shared" ref="C9:AG9" si="3">C5</f>
        <v>-2.5773740232572448E-5</v>
      </c>
      <c r="D9" s="120">
        <f t="shared" si="3"/>
        <v>-2.6222272756219751E-5</v>
      </c>
      <c r="E9" s="120">
        <f t="shared" si="3"/>
        <v>-2.6855921110816306E-5</v>
      </c>
      <c r="F9" s="120">
        <f t="shared" si="3"/>
        <v>-2.7695360489932262E-5</v>
      </c>
      <c r="G9" s="120">
        <f t="shared" si="3"/>
        <v>-2.8479783557657326E-5</v>
      </c>
      <c r="H9" s="120">
        <f t="shared" si="3"/>
        <v>-2.9119672843080487E-5</v>
      </c>
      <c r="I9" s="120">
        <f t="shared" si="3"/>
        <v>-2.9680128372044583E-5</v>
      </c>
      <c r="J9" s="120">
        <f t="shared" si="3"/>
        <v>-3.0120020894163024E-5</v>
      </c>
      <c r="K9" s="120">
        <f t="shared" si="3"/>
        <v>-3.0424872585285659E-5</v>
      </c>
      <c r="L9" s="120">
        <f t="shared" si="3"/>
        <v>-3.0604403892265655E-5</v>
      </c>
      <c r="M9" s="120">
        <f t="shared" si="3"/>
        <v>-3.0675902942505366E-5</v>
      </c>
      <c r="N9" s="120">
        <f t="shared" si="3"/>
        <v>-3.0746146799496163E-5</v>
      </c>
      <c r="O9" s="120">
        <f t="shared" si="3"/>
        <v>-3.0819416361629186E-5</v>
      </c>
      <c r="P9" s="120">
        <f t="shared" si="3"/>
        <v>-3.0891114520030685E-5</v>
      </c>
      <c r="Q9" s="120">
        <f t="shared" si="3"/>
        <v>-3.0965343974820143E-5</v>
      </c>
      <c r="R9" s="120">
        <f t="shared" si="3"/>
        <v>-3.1021284030696146E-5</v>
      </c>
      <c r="S9" s="120">
        <f t="shared" si="3"/>
        <v>-3.1068282347118689E-5</v>
      </c>
      <c r="T9" s="120">
        <f t="shared" si="3"/>
        <v>-3.1141031668658404E-5</v>
      </c>
      <c r="U9" s="120">
        <f t="shared" si="3"/>
        <v>-3.1245343105876321E-5</v>
      </c>
      <c r="V9" s="120">
        <f t="shared" si="3"/>
        <v>-3.1336193118937575E-5</v>
      </c>
      <c r="W9" s="120">
        <f t="shared" si="3"/>
        <v>-3.146349251060445E-5</v>
      </c>
      <c r="X9" s="120">
        <f t="shared" si="3"/>
        <v>-3.1594902847119152E-5</v>
      </c>
      <c r="Y9" s="120">
        <f t="shared" si="3"/>
        <v>-3.1719765067270732E-5</v>
      </c>
      <c r="Z9" s="120">
        <f t="shared" si="3"/>
        <v>-3.1830734873333794E-5</v>
      </c>
      <c r="AA9" s="120">
        <f t="shared" si="3"/>
        <v>-3.1936308911663536E-5</v>
      </c>
      <c r="AB9" s="120">
        <f t="shared" si="3"/>
        <v>-3.2043106306306312E-5</v>
      </c>
      <c r="AC9" s="120">
        <f t="shared" si="3"/>
        <v>-3.212885748261983E-5</v>
      </c>
      <c r="AD9" s="120">
        <f t="shared" si="3"/>
        <v>-3.2194454241692963E-5</v>
      </c>
      <c r="AE9" s="120">
        <f t="shared" si="3"/>
        <v>-3.223895309441349E-5</v>
      </c>
      <c r="AF9" s="120">
        <f t="shared" si="3"/>
        <v>-3.2286472092845694E-5</v>
      </c>
      <c r="AG9" s="120">
        <f t="shared" si="3"/>
        <v>-3.2333580471562971E-5</v>
      </c>
    </row>
    <row r="10" spans="1:33">
      <c r="A10" s="1" t="s">
        <v>321</v>
      </c>
      <c r="B10" s="120">
        <f>B4</f>
        <v>0</v>
      </c>
      <c r="C10" s="120">
        <f t="shared" ref="C10:AG10" si="4">C4</f>
        <v>8.9447496175339696E-6</v>
      </c>
      <c r="D10" s="120">
        <f t="shared" si="4"/>
        <v>9.0612648368949834E-6</v>
      </c>
      <c r="E10" s="120">
        <f t="shared" si="4"/>
        <v>9.1285986358226108E-6</v>
      </c>
      <c r="F10" s="120">
        <f t="shared" si="4"/>
        <v>9.1650836774078401E-6</v>
      </c>
      <c r="G10" s="120">
        <f t="shared" si="4"/>
        <v>9.1789906904645387E-6</v>
      </c>
      <c r="H10" s="120">
        <f t="shared" si="4"/>
        <v>9.20298261644773E-6</v>
      </c>
      <c r="I10" s="120">
        <f t="shared" si="4"/>
        <v>9.2359245028687306E-6</v>
      </c>
      <c r="J10" s="120">
        <f t="shared" si="4"/>
        <v>9.2732432154183887E-6</v>
      </c>
      <c r="K10" s="120">
        <f t="shared" si="4"/>
        <v>9.3035855199663933E-6</v>
      </c>
      <c r="L10" s="120">
        <f t="shared" si="4"/>
        <v>9.33014094916477E-6</v>
      </c>
      <c r="M10" s="120">
        <f t="shared" si="4"/>
        <v>9.3720239629683599E-6</v>
      </c>
      <c r="N10" s="120">
        <f t="shared" si="4"/>
        <v>9.4086453292806292E-6</v>
      </c>
      <c r="O10" s="120">
        <f t="shared" si="4"/>
        <v>9.436568758184178E-6</v>
      </c>
      <c r="P10" s="120">
        <f t="shared" si="4"/>
        <v>9.4582624382641574E-6</v>
      </c>
      <c r="Q10" s="120">
        <f t="shared" si="4"/>
        <v>9.4780465258887288E-6</v>
      </c>
      <c r="R10" s="120">
        <f t="shared" si="4"/>
        <v>9.4950706231346323E-6</v>
      </c>
      <c r="S10" s="120">
        <f t="shared" si="4"/>
        <v>9.5124138114574054E-6</v>
      </c>
      <c r="T10" s="120">
        <f t="shared" si="4"/>
        <v>9.5317449162035221E-6</v>
      </c>
      <c r="U10" s="120">
        <f t="shared" si="4"/>
        <v>9.5519487085579517E-6</v>
      </c>
      <c r="V10" s="120">
        <f t="shared" si="4"/>
        <v>9.5725488836314857E-6</v>
      </c>
      <c r="W10" s="120">
        <f t="shared" si="4"/>
        <v>9.593979627233775E-6</v>
      </c>
      <c r="X10" s="120">
        <f t="shared" si="4"/>
        <v>9.6176179157390412E-6</v>
      </c>
      <c r="Y10" s="120">
        <f t="shared" si="4"/>
        <v>9.641996505192648E-6</v>
      </c>
      <c r="Z10" s="120">
        <f t="shared" si="4"/>
        <v>9.6645378554143839E-6</v>
      </c>
      <c r="AA10" s="120">
        <f t="shared" si="4"/>
        <v>9.6847029312269019E-6</v>
      </c>
      <c r="AB10" s="120">
        <f t="shared" si="4"/>
        <v>9.7017810580318422E-6</v>
      </c>
      <c r="AC10" s="120">
        <f t="shared" si="4"/>
        <v>9.7150287314299474E-6</v>
      </c>
      <c r="AD10" s="120">
        <f t="shared" si="4"/>
        <v>9.7252424605608594E-6</v>
      </c>
      <c r="AE10" s="120">
        <f t="shared" si="4"/>
        <v>9.7313657869065903E-6</v>
      </c>
      <c r="AF10" s="120">
        <f t="shared" si="4"/>
        <v>9.7363923906150918E-6</v>
      </c>
      <c r="AG10" s="120">
        <f t="shared" si="4"/>
        <v>9.7423930916904569E-6</v>
      </c>
    </row>
    <row r="11" spans="1:33">
      <c r="A11" s="1" t="s">
        <v>322</v>
      </c>
      <c r="B11" s="120">
        <f>B4</f>
        <v>0</v>
      </c>
      <c r="C11" s="120">
        <f t="shared" ref="C11:AG11" si="5">C4</f>
        <v>8.9447496175339696E-6</v>
      </c>
      <c r="D11" s="120">
        <f t="shared" si="5"/>
        <v>9.0612648368949834E-6</v>
      </c>
      <c r="E11" s="120">
        <f t="shared" si="5"/>
        <v>9.1285986358226108E-6</v>
      </c>
      <c r="F11" s="120">
        <f t="shared" si="5"/>
        <v>9.1650836774078401E-6</v>
      </c>
      <c r="G11" s="120">
        <f t="shared" si="5"/>
        <v>9.1789906904645387E-6</v>
      </c>
      <c r="H11" s="120">
        <f t="shared" si="5"/>
        <v>9.20298261644773E-6</v>
      </c>
      <c r="I11" s="120">
        <f t="shared" si="5"/>
        <v>9.2359245028687306E-6</v>
      </c>
      <c r="J11" s="120">
        <f t="shared" si="5"/>
        <v>9.2732432154183887E-6</v>
      </c>
      <c r="K11" s="120">
        <f t="shared" si="5"/>
        <v>9.3035855199663933E-6</v>
      </c>
      <c r="L11" s="120">
        <f t="shared" si="5"/>
        <v>9.33014094916477E-6</v>
      </c>
      <c r="M11" s="120">
        <f t="shared" si="5"/>
        <v>9.3720239629683599E-6</v>
      </c>
      <c r="N11" s="120">
        <f t="shared" si="5"/>
        <v>9.4086453292806292E-6</v>
      </c>
      <c r="O11" s="120">
        <f t="shared" si="5"/>
        <v>9.436568758184178E-6</v>
      </c>
      <c r="P11" s="120">
        <f t="shared" si="5"/>
        <v>9.4582624382641574E-6</v>
      </c>
      <c r="Q11" s="120">
        <f t="shared" si="5"/>
        <v>9.4780465258887288E-6</v>
      </c>
      <c r="R11" s="120">
        <f t="shared" si="5"/>
        <v>9.4950706231346323E-6</v>
      </c>
      <c r="S11" s="120">
        <f t="shared" si="5"/>
        <v>9.5124138114574054E-6</v>
      </c>
      <c r="T11" s="120">
        <f t="shared" si="5"/>
        <v>9.5317449162035221E-6</v>
      </c>
      <c r="U11" s="120">
        <f t="shared" si="5"/>
        <v>9.5519487085579517E-6</v>
      </c>
      <c r="V11" s="120">
        <f t="shared" si="5"/>
        <v>9.5725488836314857E-6</v>
      </c>
      <c r="W11" s="120">
        <f t="shared" si="5"/>
        <v>9.593979627233775E-6</v>
      </c>
      <c r="X11" s="120">
        <f t="shared" si="5"/>
        <v>9.6176179157390412E-6</v>
      </c>
      <c r="Y11" s="120">
        <f t="shared" si="5"/>
        <v>9.641996505192648E-6</v>
      </c>
      <c r="Z11" s="120">
        <f t="shared" si="5"/>
        <v>9.6645378554143839E-6</v>
      </c>
      <c r="AA11" s="120">
        <f t="shared" si="5"/>
        <v>9.6847029312269019E-6</v>
      </c>
      <c r="AB11" s="120">
        <f t="shared" si="5"/>
        <v>9.7017810580318422E-6</v>
      </c>
      <c r="AC11" s="120">
        <f t="shared" si="5"/>
        <v>9.7150287314299474E-6</v>
      </c>
      <c r="AD11" s="120">
        <f t="shared" si="5"/>
        <v>9.7252424605608594E-6</v>
      </c>
      <c r="AE11" s="120">
        <f t="shared" si="5"/>
        <v>9.7313657869065903E-6</v>
      </c>
      <c r="AF11" s="120">
        <f t="shared" si="5"/>
        <v>9.7363923906150918E-6</v>
      </c>
      <c r="AG11" s="120">
        <f t="shared" si="5"/>
        <v>9.7423930916904569E-6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AG11"/>
  <sheetViews>
    <sheetView topLeftCell="AA1" zoomScaleNormal="100" workbookViewId="0">
      <selection activeCell="AH1" sqref="AH1:AQ1048576"/>
    </sheetView>
  </sheetViews>
  <sheetFormatPr defaultRowHeight="14.5"/>
  <cols>
    <col min="1" max="1" width="29.81640625" customWidth="1"/>
    <col min="2" max="33" width="10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0</v>
      </c>
      <c r="C3" s="120">
        <f t="shared" ref="C3:AG3" si="0">C4</f>
        <v>8.9447496175339696E-6</v>
      </c>
      <c r="D3" s="120">
        <f t="shared" si="0"/>
        <v>9.0612648368949834E-6</v>
      </c>
      <c r="E3" s="120">
        <f t="shared" si="0"/>
        <v>9.1285986358226108E-6</v>
      </c>
      <c r="F3" s="120">
        <f t="shared" si="0"/>
        <v>9.1650836774078401E-6</v>
      </c>
      <c r="G3" s="120">
        <f t="shared" si="0"/>
        <v>9.1789906904645387E-6</v>
      </c>
      <c r="H3" s="120">
        <f t="shared" si="0"/>
        <v>9.20298261644773E-6</v>
      </c>
      <c r="I3" s="120">
        <f t="shared" si="0"/>
        <v>9.2359245028687306E-6</v>
      </c>
      <c r="J3" s="120">
        <f t="shared" si="0"/>
        <v>9.2732432154183887E-6</v>
      </c>
      <c r="K3" s="120">
        <f t="shared" si="0"/>
        <v>9.3035855199663933E-6</v>
      </c>
      <c r="L3" s="120">
        <f t="shared" si="0"/>
        <v>9.33014094916477E-6</v>
      </c>
      <c r="M3" s="120">
        <f t="shared" si="0"/>
        <v>9.3720239629683599E-6</v>
      </c>
      <c r="N3" s="120">
        <f t="shared" si="0"/>
        <v>9.4086453292806292E-6</v>
      </c>
      <c r="O3" s="120">
        <f t="shared" si="0"/>
        <v>9.436568758184178E-6</v>
      </c>
      <c r="P3" s="120">
        <f t="shared" si="0"/>
        <v>9.4582624382641574E-6</v>
      </c>
      <c r="Q3" s="120">
        <f t="shared" si="0"/>
        <v>9.4780465258887288E-6</v>
      </c>
      <c r="R3" s="120">
        <f t="shared" si="0"/>
        <v>9.4950706231346323E-6</v>
      </c>
      <c r="S3" s="120">
        <f t="shared" si="0"/>
        <v>9.5124138114574054E-6</v>
      </c>
      <c r="T3" s="120">
        <f t="shared" si="0"/>
        <v>9.5317449162035221E-6</v>
      </c>
      <c r="U3" s="120">
        <f t="shared" si="0"/>
        <v>9.5519487085579517E-6</v>
      </c>
      <c r="V3" s="120">
        <f t="shared" si="0"/>
        <v>9.5725488836314857E-6</v>
      </c>
      <c r="W3" s="120">
        <f t="shared" si="0"/>
        <v>9.593979627233775E-6</v>
      </c>
      <c r="X3" s="120">
        <f t="shared" si="0"/>
        <v>9.6176179157390412E-6</v>
      </c>
      <c r="Y3" s="120">
        <f t="shared" si="0"/>
        <v>9.641996505192648E-6</v>
      </c>
      <c r="Z3" s="120">
        <f t="shared" si="0"/>
        <v>9.6645378554143839E-6</v>
      </c>
      <c r="AA3" s="120">
        <f t="shared" si="0"/>
        <v>9.6847029312269019E-6</v>
      </c>
      <c r="AB3" s="120">
        <f t="shared" si="0"/>
        <v>9.7017810580318422E-6</v>
      </c>
      <c r="AC3" s="120">
        <f t="shared" si="0"/>
        <v>9.7150287314299474E-6</v>
      </c>
      <c r="AD3" s="120">
        <f t="shared" si="0"/>
        <v>9.7252424605608594E-6</v>
      </c>
      <c r="AE3" s="120">
        <f t="shared" si="0"/>
        <v>9.7313657869065903E-6</v>
      </c>
      <c r="AF3" s="120">
        <f t="shared" si="0"/>
        <v>9.7363923906150918E-6</v>
      </c>
      <c r="AG3" s="120">
        <f t="shared" si="0"/>
        <v>9.7423930916904569E-6</v>
      </c>
    </row>
    <row r="4" spans="1:33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3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3">
      <c r="A6" s="1" t="s">
        <v>318</v>
      </c>
      <c r="B6" s="120">
        <f>B4</f>
        <v>0</v>
      </c>
      <c r="C6" s="120">
        <f t="shared" ref="C6:AG7" si="1">C4</f>
        <v>8.9447496175339696E-6</v>
      </c>
      <c r="D6" s="120">
        <f t="shared" si="1"/>
        <v>9.0612648368949834E-6</v>
      </c>
      <c r="E6" s="120">
        <f t="shared" si="1"/>
        <v>9.1285986358226108E-6</v>
      </c>
      <c r="F6" s="120">
        <f t="shared" si="1"/>
        <v>9.1650836774078401E-6</v>
      </c>
      <c r="G6" s="120">
        <f t="shared" si="1"/>
        <v>9.1789906904645387E-6</v>
      </c>
      <c r="H6" s="120">
        <f t="shared" si="1"/>
        <v>9.20298261644773E-6</v>
      </c>
      <c r="I6" s="120">
        <f t="shared" si="1"/>
        <v>9.2359245028687306E-6</v>
      </c>
      <c r="J6" s="120">
        <f t="shared" si="1"/>
        <v>9.2732432154183887E-6</v>
      </c>
      <c r="K6" s="120">
        <f t="shared" si="1"/>
        <v>9.3035855199663933E-6</v>
      </c>
      <c r="L6" s="120">
        <f t="shared" si="1"/>
        <v>9.33014094916477E-6</v>
      </c>
      <c r="M6" s="120">
        <f t="shared" si="1"/>
        <v>9.3720239629683599E-6</v>
      </c>
      <c r="N6" s="120">
        <f t="shared" si="1"/>
        <v>9.4086453292806292E-6</v>
      </c>
      <c r="O6" s="120">
        <f t="shared" si="1"/>
        <v>9.436568758184178E-6</v>
      </c>
      <c r="P6" s="120">
        <f t="shared" si="1"/>
        <v>9.4582624382641574E-6</v>
      </c>
      <c r="Q6" s="120">
        <f t="shared" si="1"/>
        <v>9.4780465258887288E-6</v>
      </c>
      <c r="R6" s="120">
        <f t="shared" si="1"/>
        <v>9.4950706231346323E-6</v>
      </c>
      <c r="S6" s="120">
        <f t="shared" si="1"/>
        <v>9.5124138114574054E-6</v>
      </c>
      <c r="T6" s="120">
        <f t="shared" si="1"/>
        <v>9.5317449162035221E-6</v>
      </c>
      <c r="U6" s="120">
        <f t="shared" si="1"/>
        <v>9.5519487085579517E-6</v>
      </c>
      <c r="V6" s="120">
        <f t="shared" si="1"/>
        <v>9.5725488836314857E-6</v>
      </c>
      <c r="W6" s="120">
        <f t="shared" si="1"/>
        <v>9.593979627233775E-6</v>
      </c>
      <c r="X6" s="120">
        <f t="shared" si="1"/>
        <v>9.6176179157390412E-6</v>
      </c>
      <c r="Y6" s="120">
        <f t="shared" si="1"/>
        <v>9.641996505192648E-6</v>
      </c>
      <c r="Z6" s="120">
        <f t="shared" si="1"/>
        <v>9.6645378554143839E-6</v>
      </c>
      <c r="AA6" s="120">
        <f t="shared" si="1"/>
        <v>9.6847029312269019E-6</v>
      </c>
      <c r="AB6" s="120">
        <f t="shared" si="1"/>
        <v>9.7017810580318422E-6</v>
      </c>
      <c r="AC6" s="120">
        <f t="shared" si="1"/>
        <v>9.7150287314299474E-6</v>
      </c>
      <c r="AD6" s="120">
        <f t="shared" si="1"/>
        <v>9.7252424605608594E-6</v>
      </c>
      <c r="AE6" s="120">
        <f t="shared" si="1"/>
        <v>9.7313657869065903E-6</v>
      </c>
      <c r="AF6" s="120">
        <f t="shared" si="1"/>
        <v>9.7363923906150918E-6</v>
      </c>
      <c r="AG6" s="120">
        <f t="shared" si="1"/>
        <v>9.7423930916904569E-6</v>
      </c>
    </row>
    <row r="7" spans="1:33">
      <c r="A7" s="1" t="s">
        <v>207</v>
      </c>
      <c r="B7" s="120">
        <f>B5</f>
        <v>0</v>
      </c>
      <c r="C7" s="120">
        <f t="shared" si="1"/>
        <v>-2.5773740232572448E-5</v>
      </c>
      <c r="D7" s="120">
        <f t="shared" si="1"/>
        <v>-2.6222272756219751E-5</v>
      </c>
      <c r="E7" s="120">
        <f t="shared" si="1"/>
        <v>-2.6855921110816306E-5</v>
      </c>
      <c r="F7" s="120">
        <f t="shared" si="1"/>
        <v>-2.7695360489932262E-5</v>
      </c>
      <c r="G7" s="120">
        <f t="shared" si="1"/>
        <v>-2.8479783557657326E-5</v>
      </c>
      <c r="H7" s="120">
        <f t="shared" si="1"/>
        <v>-2.9119672843080487E-5</v>
      </c>
      <c r="I7" s="120">
        <f t="shared" si="1"/>
        <v>-2.9680128372044583E-5</v>
      </c>
      <c r="J7" s="120">
        <f t="shared" si="1"/>
        <v>-3.0120020894163024E-5</v>
      </c>
      <c r="K7" s="120">
        <f t="shared" si="1"/>
        <v>-3.0424872585285659E-5</v>
      </c>
      <c r="L7" s="120">
        <f t="shared" si="1"/>
        <v>-3.0604403892265655E-5</v>
      </c>
      <c r="M7" s="120">
        <f t="shared" si="1"/>
        <v>-3.0675902942505366E-5</v>
      </c>
      <c r="N7" s="120">
        <f t="shared" si="1"/>
        <v>-3.0746146799496163E-5</v>
      </c>
      <c r="O7" s="120">
        <f t="shared" si="1"/>
        <v>-3.0819416361629186E-5</v>
      </c>
      <c r="P7" s="120">
        <f t="shared" si="1"/>
        <v>-3.0891114520030685E-5</v>
      </c>
      <c r="Q7" s="120">
        <f t="shared" si="1"/>
        <v>-3.0965343974820143E-5</v>
      </c>
      <c r="R7" s="120">
        <f t="shared" si="1"/>
        <v>-3.1021284030696146E-5</v>
      </c>
      <c r="S7" s="120">
        <f t="shared" si="1"/>
        <v>-3.1068282347118689E-5</v>
      </c>
      <c r="T7" s="120">
        <f t="shared" si="1"/>
        <v>-3.1141031668658404E-5</v>
      </c>
      <c r="U7" s="120">
        <f t="shared" si="1"/>
        <v>-3.1245343105876321E-5</v>
      </c>
      <c r="V7" s="120">
        <f t="shared" si="1"/>
        <v>-3.1336193118937575E-5</v>
      </c>
      <c r="W7" s="120">
        <f t="shared" si="1"/>
        <v>-3.146349251060445E-5</v>
      </c>
      <c r="X7" s="120">
        <f t="shared" si="1"/>
        <v>-3.1594902847119152E-5</v>
      </c>
      <c r="Y7" s="120">
        <f t="shared" si="1"/>
        <v>-3.1719765067270732E-5</v>
      </c>
      <c r="Z7" s="120">
        <f t="shared" si="1"/>
        <v>-3.1830734873333794E-5</v>
      </c>
      <c r="AA7" s="120">
        <f t="shared" si="1"/>
        <v>-3.1936308911663536E-5</v>
      </c>
      <c r="AB7" s="120">
        <f t="shared" si="1"/>
        <v>-3.2043106306306312E-5</v>
      </c>
      <c r="AC7" s="120">
        <f t="shared" si="1"/>
        <v>-3.212885748261983E-5</v>
      </c>
      <c r="AD7" s="120">
        <f t="shared" si="1"/>
        <v>-3.2194454241692963E-5</v>
      </c>
      <c r="AE7" s="120">
        <f t="shared" si="1"/>
        <v>-3.223895309441349E-5</v>
      </c>
      <c r="AF7" s="120">
        <f t="shared" si="1"/>
        <v>-3.2286472092845694E-5</v>
      </c>
      <c r="AG7" s="120">
        <f t="shared" si="1"/>
        <v>-3.2333580471562971E-5</v>
      </c>
    </row>
    <row r="8" spans="1:33">
      <c r="A8" s="1" t="s">
        <v>319</v>
      </c>
      <c r="B8" s="120">
        <f>B5</f>
        <v>0</v>
      </c>
      <c r="C8" s="120">
        <f t="shared" ref="C8:AG8" si="2">C5</f>
        <v>-2.5773740232572448E-5</v>
      </c>
      <c r="D8" s="120">
        <f t="shared" si="2"/>
        <v>-2.6222272756219751E-5</v>
      </c>
      <c r="E8" s="120">
        <f t="shared" si="2"/>
        <v>-2.6855921110816306E-5</v>
      </c>
      <c r="F8" s="120">
        <f t="shared" si="2"/>
        <v>-2.7695360489932262E-5</v>
      </c>
      <c r="G8" s="120">
        <f t="shared" si="2"/>
        <v>-2.8479783557657326E-5</v>
      </c>
      <c r="H8" s="120">
        <f t="shared" si="2"/>
        <v>-2.9119672843080487E-5</v>
      </c>
      <c r="I8" s="120">
        <f t="shared" si="2"/>
        <v>-2.9680128372044583E-5</v>
      </c>
      <c r="J8" s="120">
        <f t="shared" si="2"/>
        <v>-3.0120020894163024E-5</v>
      </c>
      <c r="K8" s="120">
        <f t="shared" si="2"/>
        <v>-3.0424872585285659E-5</v>
      </c>
      <c r="L8" s="120">
        <f t="shared" si="2"/>
        <v>-3.0604403892265655E-5</v>
      </c>
      <c r="M8" s="120">
        <f t="shared" si="2"/>
        <v>-3.0675902942505366E-5</v>
      </c>
      <c r="N8" s="120">
        <f t="shared" si="2"/>
        <v>-3.0746146799496163E-5</v>
      </c>
      <c r="O8" s="120">
        <f t="shared" si="2"/>
        <v>-3.0819416361629186E-5</v>
      </c>
      <c r="P8" s="120">
        <f t="shared" si="2"/>
        <v>-3.0891114520030685E-5</v>
      </c>
      <c r="Q8" s="120">
        <f t="shared" si="2"/>
        <v>-3.0965343974820143E-5</v>
      </c>
      <c r="R8" s="120">
        <f t="shared" si="2"/>
        <v>-3.1021284030696146E-5</v>
      </c>
      <c r="S8" s="120">
        <f t="shared" si="2"/>
        <v>-3.1068282347118689E-5</v>
      </c>
      <c r="T8" s="120">
        <f t="shared" si="2"/>
        <v>-3.1141031668658404E-5</v>
      </c>
      <c r="U8" s="120">
        <f t="shared" si="2"/>
        <v>-3.1245343105876321E-5</v>
      </c>
      <c r="V8" s="120">
        <f t="shared" si="2"/>
        <v>-3.1336193118937575E-5</v>
      </c>
      <c r="W8" s="120">
        <f t="shared" si="2"/>
        <v>-3.146349251060445E-5</v>
      </c>
      <c r="X8" s="120">
        <f t="shared" si="2"/>
        <v>-3.1594902847119152E-5</v>
      </c>
      <c r="Y8" s="120">
        <f t="shared" si="2"/>
        <v>-3.1719765067270732E-5</v>
      </c>
      <c r="Z8" s="120">
        <f t="shared" si="2"/>
        <v>-3.1830734873333794E-5</v>
      </c>
      <c r="AA8" s="120">
        <f t="shared" si="2"/>
        <v>-3.1936308911663536E-5</v>
      </c>
      <c r="AB8" s="120">
        <f t="shared" si="2"/>
        <v>-3.2043106306306312E-5</v>
      </c>
      <c r="AC8" s="120">
        <f t="shared" si="2"/>
        <v>-3.212885748261983E-5</v>
      </c>
      <c r="AD8" s="120">
        <f t="shared" si="2"/>
        <v>-3.2194454241692963E-5</v>
      </c>
      <c r="AE8" s="120">
        <f t="shared" si="2"/>
        <v>-3.223895309441349E-5</v>
      </c>
      <c r="AF8" s="120">
        <f t="shared" si="2"/>
        <v>-3.2286472092845694E-5</v>
      </c>
      <c r="AG8" s="120">
        <f t="shared" si="2"/>
        <v>-3.2333580471562971E-5</v>
      </c>
    </row>
    <row r="9" spans="1:33">
      <c r="A9" s="1" t="s">
        <v>320</v>
      </c>
      <c r="B9" s="120">
        <f>B5</f>
        <v>0</v>
      </c>
      <c r="C9" s="120">
        <f t="shared" ref="C9:AG9" si="3">C5</f>
        <v>-2.5773740232572448E-5</v>
      </c>
      <c r="D9" s="120">
        <f t="shared" si="3"/>
        <v>-2.6222272756219751E-5</v>
      </c>
      <c r="E9" s="120">
        <f t="shared" si="3"/>
        <v>-2.6855921110816306E-5</v>
      </c>
      <c r="F9" s="120">
        <f t="shared" si="3"/>
        <v>-2.7695360489932262E-5</v>
      </c>
      <c r="G9" s="120">
        <f t="shared" si="3"/>
        <v>-2.8479783557657326E-5</v>
      </c>
      <c r="H9" s="120">
        <f t="shared" si="3"/>
        <v>-2.9119672843080487E-5</v>
      </c>
      <c r="I9" s="120">
        <f t="shared" si="3"/>
        <v>-2.9680128372044583E-5</v>
      </c>
      <c r="J9" s="120">
        <f t="shared" si="3"/>
        <v>-3.0120020894163024E-5</v>
      </c>
      <c r="K9" s="120">
        <f t="shared" si="3"/>
        <v>-3.0424872585285659E-5</v>
      </c>
      <c r="L9" s="120">
        <f t="shared" si="3"/>
        <v>-3.0604403892265655E-5</v>
      </c>
      <c r="M9" s="120">
        <f t="shared" si="3"/>
        <v>-3.0675902942505366E-5</v>
      </c>
      <c r="N9" s="120">
        <f t="shared" si="3"/>
        <v>-3.0746146799496163E-5</v>
      </c>
      <c r="O9" s="120">
        <f t="shared" si="3"/>
        <v>-3.0819416361629186E-5</v>
      </c>
      <c r="P9" s="120">
        <f t="shared" si="3"/>
        <v>-3.0891114520030685E-5</v>
      </c>
      <c r="Q9" s="120">
        <f t="shared" si="3"/>
        <v>-3.0965343974820143E-5</v>
      </c>
      <c r="R9" s="120">
        <f t="shared" si="3"/>
        <v>-3.1021284030696146E-5</v>
      </c>
      <c r="S9" s="120">
        <f t="shared" si="3"/>
        <v>-3.1068282347118689E-5</v>
      </c>
      <c r="T9" s="120">
        <f t="shared" si="3"/>
        <v>-3.1141031668658404E-5</v>
      </c>
      <c r="U9" s="120">
        <f t="shared" si="3"/>
        <v>-3.1245343105876321E-5</v>
      </c>
      <c r="V9" s="120">
        <f t="shared" si="3"/>
        <v>-3.1336193118937575E-5</v>
      </c>
      <c r="W9" s="120">
        <f t="shared" si="3"/>
        <v>-3.146349251060445E-5</v>
      </c>
      <c r="X9" s="120">
        <f t="shared" si="3"/>
        <v>-3.1594902847119152E-5</v>
      </c>
      <c r="Y9" s="120">
        <f t="shared" si="3"/>
        <v>-3.1719765067270732E-5</v>
      </c>
      <c r="Z9" s="120">
        <f t="shared" si="3"/>
        <v>-3.1830734873333794E-5</v>
      </c>
      <c r="AA9" s="120">
        <f t="shared" si="3"/>
        <v>-3.1936308911663536E-5</v>
      </c>
      <c r="AB9" s="120">
        <f t="shared" si="3"/>
        <v>-3.2043106306306312E-5</v>
      </c>
      <c r="AC9" s="120">
        <f t="shared" si="3"/>
        <v>-3.212885748261983E-5</v>
      </c>
      <c r="AD9" s="120">
        <f t="shared" si="3"/>
        <v>-3.2194454241692963E-5</v>
      </c>
      <c r="AE9" s="120">
        <f t="shared" si="3"/>
        <v>-3.223895309441349E-5</v>
      </c>
      <c r="AF9" s="120">
        <f t="shared" si="3"/>
        <v>-3.2286472092845694E-5</v>
      </c>
      <c r="AG9" s="120">
        <f t="shared" si="3"/>
        <v>-3.2333580471562971E-5</v>
      </c>
    </row>
    <row r="10" spans="1:33">
      <c r="A10" s="1" t="s">
        <v>321</v>
      </c>
      <c r="B10" s="120">
        <f>B4</f>
        <v>0</v>
      </c>
      <c r="C10" s="120">
        <f t="shared" ref="C10:AG10" si="4">C4</f>
        <v>8.9447496175339696E-6</v>
      </c>
      <c r="D10" s="120">
        <f t="shared" si="4"/>
        <v>9.0612648368949834E-6</v>
      </c>
      <c r="E10" s="120">
        <f t="shared" si="4"/>
        <v>9.1285986358226108E-6</v>
      </c>
      <c r="F10" s="120">
        <f t="shared" si="4"/>
        <v>9.1650836774078401E-6</v>
      </c>
      <c r="G10" s="120">
        <f t="shared" si="4"/>
        <v>9.1789906904645387E-6</v>
      </c>
      <c r="H10" s="120">
        <f t="shared" si="4"/>
        <v>9.20298261644773E-6</v>
      </c>
      <c r="I10" s="120">
        <f t="shared" si="4"/>
        <v>9.2359245028687306E-6</v>
      </c>
      <c r="J10" s="120">
        <f t="shared" si="4"/>
        <v>9.2732432154183887E-6</v>
      </c>
      <c r="K10" s="120">
        <f t="shared" si="4"/>
        <v>9.3035855199663933E-6</v>
      </c>
      <c r="L10" s="120">
        <f t="shared" si="4"/>
        <v>9.33014094916477E-6</v>
      </c>
      <c r="M10" s="120">
        <f t="shared" si="4"/>
        <v>9.3720239629683599E-6</v>
      </c>
      <c r="N10" s="120">
        <f t="shared" si="4"/>
        <v>9.4086453292806292E-6</v>
      </c>
      <c r="O10" s="120">
        <f t="shared" si="4"/>
        <v>9.436568758184178E-6</v>
      </c>
      <c r="P10" s="120">
        <f t="shared" si="4"/>
        <v>9.4582624382641574E-6</v>
      </c>
      <c r="Q10" s="120">
        <f t="shared" si="4"/>
        <v>9.4780465258887288E-6</v>
      </c>
      <c r="R10" s="120">
        <f t="shared" si="4"/>
        <v>9.4950706231346323E-6</v>
      </c>
      <c r="S10" s="120">
        <f t="shared" si="4"/>
        <v>9.5124138114574054E-6</v>
      </c>
      <c r="T10" s="120">
        <f t="shared" si="4"/>
        <v>9.5317449162035221E-6</v>
      </c>
      <c r="U10" s="120">
        <f t="shared" si="4"/>
        <v>9.5519487085579517E-6</v>
      </c>
      <c r="V10" s="120">
        <f t="shared" si="4"/>
        <v>9.5725488836314857E-6</v>
      </c>
      <c r="W10" s="120">
        <f t="shared" si="4"/>
        <v>9.593979627233775E-6</v>
      </c>
      <c r="X10" s="120">
        <f t="shared" si="4"/>
        <v>9.6176179157390412E-6</v>
      </c>
      <c r="Y10" s="120">
        <f t="shared" si="4"/>
        <v>9.641996505192648E-6</v>
      </c>
      <c r="Z10" s="120">
        <f t="shared" si="4"/>
        <v>9.6645378554143839E-6</v>
      </c>
      <c r="AA10" s="120">
        <f t="shared" si="4"/>
        <v>9.6847029312269019E-6</v>
      </c>
      <c r="AB10" s="120">
        <f t="shared" si="4"/>
        <v>9.7017810580318422E-6</v>
      </c>
      <c r="AC10" s="120">
        <f t="shared" si="4"/>
        <v>9.7150287314299474E-6</v>
      </c>
      <c r="AD10" s="120">
        <f t="shared" si="4"/>
        <v>9.7252424605608594E-6</v>
      </c>
      <c r="AE10" s="120">
        <f t="shared" si="4"/>
        <v>9.7313657869065903E-6</v>
      </c>
      <c r="AF10" s="120">
        <f t="shared" si="4"/>
        <v>9.7363923906150918E-6</v>
      </c>
      <c r="AG10" s="120">
        <f t="shared" si="4"/>
        <v>9.7423930916904569E-6</v>
      </c>
    </row>
    <row r="11" spans="1:33">
      <c r="A11" s="1" t="s">
        <v>322</v>
      </c>
      <c r="B11" s="120">
        <f>B4</f>
        <v>0</v>
      </c>
      <c r="C11" s="120">
        <f t="shared" ref="C11:AG11" si="5">C4</f>
        <v>8.9447496175339696E-6</v>
      </c>
      <c r="D11" s="120">
        <f t="shared" si="5"/>
        <v>9.0612648368949834E-6</v>
      </c>
      <c r="E11" s="120">
        <f t="shared" si="5"/>
        <v>9.1285986358226108E-6</v>
      </c>
      <c r="F11" s="120">
        <f t="shared" si="5"/>
        <v>9.1650836774078401E-6</v>
      </c>
      <c r="G11" s="120">
        <f t="shared" si="5"/>
        <v>9.1789906904645387E-6</v>
      </c>
      <c r="H11" s="120">
        <f t="shared" si="5"/>
        <v>9.20298261644773E-6</v>
      </c>
      <c r="I11" s="120">
        <f t="shared" si="5"/>
        <v>9.2359245028687306E-6</v>
      </c>
      <c r="J11" s="120">
        <f t="shared" si="5"/>
        <v>9.2732432154183887E-6</v>
      </c>
      <c r="K11" s="120">
        <f t="shared" si="5"/>
        <v>9.3035855199663933E-6</v>
      </c>
      <c r="L11" s="120">
        <f t="shared" si="5"/>
        <v>9.33014094916477E-6</v>
      </c>
      <c r="M11" s="120">
        <f t="shared" si="5"/>
        <v>9.3720239629683599E-6</v>
      </c>
      <c r="N11" s="120">
        <f t="shared" si="5"/>
        <v>9.4086453292806292E-6</v>
      </c>
      <c r="O11" s="120">
        <f t="shared" si="5"/>
        <v>9.436568758184178E-6</v>
      </c>
      <c r="P11" s="120">
        <f t="shared" si="5"/>
        <v>9.4582624382641574E-6</v>
      </c>
      <c r="Q11" s="120">
        <f t="shared" si="5"/>
        <v>9.4780465258887288E-6</v>
      </c>
      <c r="R11" s="120">
        <f t="shared" si="5"/>
        <v>9.4950706231346323E-6</v>
      </c>
      <c r="S11" s="120">
        <f t="shared" si="5"/>
        <v>9.5124138114574054E-6</v>
      </c>
      <c r="T11" s="120">
        <f t="shared" si="5"/>
        <v>9.5317449162035221E-6</v>
      </c>
      <c r="U11" s="120">
        <f t="shared" si="5"/>
        <v>9.5519487085579517E-6</v>
      </c>
      <c r="V11" s="120">
        <f t="shared" si="5"/>
        <v>9.5725488836314857E-6</v>
      </c>
      <c r="W11" s="120">
        <f t="shared" si="5"/>
        <v>9.593979627233775E-6</v>
      </c>
      <c r="X11" s="120">
        <f t="shared" si="5"/>
        <v>9.6176179157390412E-6</v>
      </c>
      <c r="Y11" s="120">
        <f t="shared" si="5"/>
        <v>9.641996505192648E-6</v>
      </c>
      <c r="Z11" s="120">
        <f t="shared" si="5"/>
        <v>9.6645378554143839E-6</v>
      </c>
      <c r="AA11" s="120">
        <f t="shared" si="5"/>
        <v>9.6847029312269019E-6</v>
      </c>
      <c r="AB11" s="120">
        <f t="shared" si="5"/>
        <v>9.7017810580318422E-6</v>
      </c>
      <c r="AC11" s="120">
        <f t="shared" si="5"/>
        <v>9.7150287314299474E-6</v>
      </c>
      <c r="AD11" s="120">
        <f t="shared" si="5"/>
        <v>9.7252424605608594E-6</v>
      </c>
      <c r="AE11" s="120">
        <f t="shared" si="5"/>
        <v>9.7313657869065903E-6</v>
      </c>
      <c r="AF11" s="120">
        <f t="shared" si="5"/>
        <v>9.7363923906150918E-6</v>
      </c>
      <c r="AG11" s="120">
        <f t="shared" si="5"/>
        <v>9.7423930916904569E-6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AG11"/>
  <sheetViews>
    <sheetView topLeftCell="AE1" zoomScaleNormal="100" workbookViewId="0">
      <selection activeCell="AH1" sqref="AH1:AQ1048576"/>
    </sheetView>
  </sheetViews>
  <sheetFormatPr defaultRowHeight="14.5"/>
  <cols>
    <col min="1" max="1" width="29.81640625" customWidth="1"/>
    <col min="2" max="33" width="10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1.1184671093167476E-4</v>
      </c>
      <c r="C3" s="120">
        <f t="shared" ref="C3:AG3" si="0">C4</f>
        <v>1.0884364260412047E-4</v>
      </c>
      <c r="D3" s="120">
        <f t="shared" si="0"/>
        <v>1.0718889836402444E-4</v>
      </c>
      <c r="E3" s="120">
        <f t="shared" si="0"/>
        <v>1.0553415412392782E-4</v>
      </c>
      <c r="F3" s="120">
        <f t="shared" si="0"/>
        <v>1.0387940988383179E-4</v>
      </c>
      <c r="G3" s="120">
        <f t="shared" si="0"/>
        <v>1.0222466564373579E-4</v>
      </c>
      <c r="H3" s="120">
        <f t="shared" si="0"/>
        <v>1.0056992140363913E-4</v>
      </c>
      <c r="I3" s="120">
        <f t="shared" si="0"/>
        <v>9.8915177163543138E-5</v>
      </c>
      <c r="J3" s="120">
        <f t="shared" si="0"/>
        <v>9.7260432923446482E-5</v>
      </c>
      <c r="K3" s="120">
        <f t="shared" si="0"/>
        <v>9.5605688683350463E-5</v>
      </c>
      <c r="L3" s="120">
        <f t="shared" si="0"/>
        <v>9.3950944443254431E-5</v>
      </c>
      <c r="M3" s="120">
        <f t="shared" si="0"/>
        <v>9.2296200203157816E-5</v>
      </c>
      <c r="N3" s="120">
        <f t="shared" si="0"/>
        <v>9.0679216613890823E-5</v>
      </c>
      <c r="O3" s="120">
        <f t="shared" si="0"/>
        <v>8.9812174085886264E-5</v>
      </c>
      <c r="P3" s="120">
        <f t="shared" si="0"/>
        <v>8.8945131557881704E-5</v>
      </c>
      <c r="Q3" s="120">
        <f t="shared" si="0"/>
        <v>8.8078089029877145E-5</v>
      </c>
      <c r="R3" s="120">
        <f t="shared" si="0"/>
        <v>8.7211046501872586E-5</v>
      </c>
      <c r="S3" s="120">
        <f t="shared" si="0"/>
        <v>8.6344003973868027E-5</v>
      </c>
      <c r="T3" s="120">
        <f t="shared" si="0"/>
        <v>8.5476961445863468E-5</v>
      </c>
      <c r="U3" s="120">
        <f t="shared" si="0"/>
        <v>8.4609918917858909E-5</v>
      </c>
      <c r="V3" s="120">
        <f t="shared" si="0"/>
        <v>8.3742876389854363E-5</v>
      </c>
      <c r="W3" s="120">
        <f t="shared" si="0"/>
        <v>8.2875833861849478E-5</v>
      </c>
      <c r="X3" s="120">
        <f t="shared" si="0"/>
        <v>8.2008791333844919E-5</v>
      </c>
      <c r="Y3" s="120">
        <f t="shared" si="0"/>
        <v>8.114174880584036E-5</v>
      </c>
      <c r="Z3" s="120">
        <f t="shared" si="0"/>
        <v>8.0274706277835801E-5</v>
      </c>
      <c r="AA3" s="120">
        <f t="shared" si="0"/>
        <v>7.9407663749831255E-5</v>
      </c>
      <c r="AB3" s="120">
        <f t="shared" si="0"/>
        <v>7.8540621221826696E-5</v>
      </c>
      <c r="AC3" s="120">
        <f t="shared" si="0"/>
        <v>7.7673578693822137E-5</v>
      </c>
      <c r="AD3" s="120">
        <f t="shared" si="0"/>
        <v>7.6806536165817578E-5</v>
      </c>
      <c r="AE3" s="120">
        <f t="shared" si="0"/>
        <v>7.5939493637813019E-5</v>
      </c>
      <c r="AF3" s="120">
        <f t="shared" si="0"/>
        <v>7.5072451109808459E-5</v>
      </c>
      <c r="AG3" s="120">
        <f t="shared" si="0"/>
        <v>7.42054085818039E-5</v>
      </c>
    </row>
    <row r="4" spans="1:33">
      <c r="A4" s="1" t="s">
        <v>13</v>
      </c>
      <c r="B4" s="106">
        <f>Calculations!B58</f>
        <v>1.1184671093167476E-4</v>
      </c>
      <c r="C4" s="106">
        <f>Calculations!C58</f>
        <v>1.0884364260412047E-4</v>
      </c>
      <c r="D4" s="106">
        <f>Calculations!D58</f>
        <v>1.0718889836402444E-4</v>
      </c>
      <c r="E4" s="106">
        <f>Calculations!E58</f>
        <v>1.0553415412392782E-4</v>
      </c>
      <c r="F4" s="106">
        <f>Calculations!F58</f>
        <v>1.0387940988383179E-4</v>
      </c>
      <c r="G4" s="106">
        <f>Calculations!G58</f>
        <v>1.0222466564373579E-4</v>
      </c>
      <c r="H4" s="106">
        <f>Calculations!H58</f>
        <v>1.0056992140363913E-4</v>
      </c>
      <c r="I4" s="106">
        <f>Calculations!I58</f>
        <v>9.8915177163543138E-5</v>
      </c>
      <c r="J4" s="106">
        <f>Calculations!J58</f>
        <v>9.7260432923446482E-5</v>
      </c>
      <c r="K4" s="106">
        <f>Calculations!K58</f>
        <v>9.5605688683350463E-5</v>
      </c>
      <c r="L4" s="106">
        <f>Calculations!L58</f>
        <v>9.3950944443254431E-5</v>
      </c>
      <c r="M4" s="106">
        <f>Calculations!M58</f>
        <v>9.2296200203157816E-5</v>
      </c>
      <c r="N4" s="106">
        <f>Calculations!N58</f>
        <v>9.0679216613890823E-5</v>
      </c>
      <c r="O4" s="106">
        <f>Calculations!O58</f>
        <v>8.9812174085886264E-5</v>
      </c>
      <c r="P4" s="106">
        <f>Calculations!P58</f>
        <v>8.8945131557881704E-5</v>
      </c>
      <c r="Q4" s="106">
        <f>Calculations!Q58</f>
        <v>8.8078089029877145E-5</v>
      </c>
      <c r="R4" s="106">
        <f>Calculations!R58</f>
        <v>8.7211046501872586E-5</v>
      </c>
      <c r="S4" s="106">
        <f>Calculations!S58</f>
        <v>8.6344003973868027E-5</v>
      </c>
      <c r="T4" s="106">
        <f>Calculations!T58</f>
        <v>8.5476961445863468E-5</v>
      </c>
      <c r="U4" s="106">
        <f>Calculations!U58</f>
        <v>8.4609918917858909E-5</v>
      </c>
      <c r="V4" s="106">
        <f>Calculations!V58</f>
        <v>8.3742876389854363E-5</v>
      </c>
      <c r="W4" s="106">
        <f>Calculations!W58</f>
        <v>8.2875833861849478E-5</v>
      </c>
      <c r="X4" s="106">
        <f>Calculations!X58</f>
        <v>8.2008791333844919E-5</v>
      </c>
      <c r="Y4" s="106">
        <f>Calculations!Y58</f>
        <v>8.114174880584036E-5</v>
      </c>
      <c r="Z4" s="106">
        <f>Calculations!Z58</f>
        <v>8.0274706277835801E-5</v>
      </c>
      <c r="AA4" s="106">
        <f>Calculations!AA58</f>
        <v>7.9407663749831255E-5</v>
      </c>
      <c r="AB4" s="106">
        <f>Calculations!AB58</f>
        <v>7.8540621221826696E-5</v>
      </c>
      <c r="AC4" s="106">
        <f>Calculations!AC58</f>
        <v>7.7673578693822137E-5</v>
      </c>
      <c r="AD4" s="106">
        <f>Calculations!AD58</f>
        <v>7.6806536165817578E-5</v>
      </c>
      <c r="AE4" s="106">
        <f>Calculations!AE58</f>
        <v>7.5939493637813019E-5</v>
      </c>
      <c r="AF4" s="106">
        <f>Calculations!AF58</f>
        <v>7.5072451109808459E-5</v>
      </c>
      <c r="AG4" s="106">
        <f>Calculations!AG58</f>
        <v>7.42054085818039E-5</v>
      </c>
    </row>
    <row r="5" spans="1:33">
      <c r="A5" s="1" t="s">
        <v>317</v>
      </c>
      <c r="B5" s="106">
        <f>Calculations!B59</f>
        <v>9.6977507167811454E-5</v>
      </c>
      <c r="C5" s="106">
        <f>Calculations!C59</f>
        <v>9.3974438840257161E-5</v>
      </c>
      <c r="D5" s="106">
        <f>Calculations!D59</f>
        <v>9.2336401570682338E-5</v>
      </c>
      <c r="E5" s="106">
        <f>Calculations!E59</f>
        <v>9.0698364301106905E-5</v>
      </c>
      <c r="F5" s="106">
        <f>Calculations!F59</f>
        <v>8.9060327031532081E-5</v>
      </c>
      <c r="G5" s="106">
        <f>Calculations!G59</f>
        <v>8.7422289761957258E-5</v>
      </c>
      <c r="H5" s="106">
        <f>Calculations!H59</f>
        <v>8.5784252492381797E-5</v>
      </c>
      <c r="I5" s="106">
        <f>Calculations!I59</f>
        <v>8.4146215222807001E-5</v>
      </c>
      <c r="J5" s="106">
        <f>Calculations!J59</f>
        <v>8.250817795323154E-5</v>
      </c>
      <c r="K5" s="106">
        <f>Calculations!K59</f>
        <v>8.0870140683656717E-5</v>
      </c>
      <c r="L5" s="106">
        <f>Calculations!L59</f>
        <v>7.9232103414081893E-5</v>
      </c>
      <c r="M5" s="106">
        <f>Calculations!M59</f>
        <v>7.759406614450646E-5</v>
      </c>
      <c r="N5" s="106">
        <f>Calculations!N59</f>
        <v>7.5977082555239467E-5</v>
      </c>
      <c r="O5" s="106">
        <f>Calculations!O59</f>
        <v>7.5110040027234908E-5</v>
      </c>
      <c r="P5" s="106">
        <f>Calculations!P59</f>
        <v>7.4242997499230349E-5</v>
      </c>
      <c r="Q5" s="106">
        <f>Calculations!Q59</f>
        <v>7.337595497122579E-5</v>
      </c>
      <c r="R5" s="106">
        <f>Calculations!R59</f>
        <v>7.2508912443221231E-5</v>
      </c>
      <c r="S5" s="106">
        <f>Calculations!S59</f>
        <v>7.1641869915216671E-5</v>
      </c>
      <c r="T5" s="106">
        <f>Calculations!T59</f>
        <v>7.0774827387212112E-5</v>
      </c>
      <c r="U5" s="106">
        <f>Calculations!U59</f>
        <v>6.9907784859207553E-5</v>
      </c>
      <c r="V5" s="106">
        <f>Calculations!V59</f>
        <v>6.9040742331203007E-5</v>
      </c>
      <c r="W5" s="106">
        <f>Calculations!W59</f>
        <v>6.8173699803198123E-5</v>
      </c>
      <c r="X5" s="106">
        <f>Calculations!X59</f>
        <v>6.7306657275193564E-5</v>
      </c>
      <c r="Y5" s="106">
        <f>Calculations!Y59</f>
        <v>6.6439614747189005E-5</v>
      </c>
      <c r="Z5" s="106">
        <f>Calculations!Z59</f>
        <v>6.5572572219184445E-5</v>
      </c>
      <c r="AA5" s="106">
        <f>Calculations!AA59</f>
        <v>6.47055296911799E-5</v>
      </c>
      <c r="AB5" s="106">
        <f>Calculations!AB59</f>
        <v>6.3838487163175341E-5</v>
      </c>
      <c r="AC5" s="106">
        <f>Calculations!AC59</f>
        <v>6.2971444635170781E-5</v>
      </c>
      <c r="AD5" s="106">
        <f>Calculations!AD59</f>
        <v>6.2104402107166222E-5</v>
      </c>
      <c r="AE5" s="106">
        <f>Calculations!AE59</f>
        <v>6.1237359579161663E-5</v>
      </c>
      <c r="AF5" s="106">
        <f>Calculations!AF59</f>
        <v>6.0370317051157097E-5</v>
      </c>
      <c r="AG5" s="106">
        <f>Calculations!AG59</f>
        <v>5.9503274523152538E-5</v>
      </c>
    </row>
    <row r="6" spans="1:33">
      <c r="A6" s="1" t="s">
        <v>318</v>
      </c>
      <c r="B6" s="120">
        <f>B4</f>
        <v>1.1184671093167476E-4</v>
      </c>
      <c r="C6" s="120">
        <f t="shared" ref="C6:AG6" si="1">C4</f>
        <v>1.0884364260412047E-4</v>
      </c>
      <c r="D6" s="120">
        <f t="shared" si="1"/>
        <v>1.0718889836402444E-4</v>
      </c>
      <c r="E6" s="120">
        <f t="shared" si="1"/>
        <v>1.0553415412392782E-4</v>
      </c>
      <c r="F6" s="120">
        <f t="shared" si="1"/>
        <v>1.0387940988383179E-4</v>
      </c>
      <c r="G6" s="120">
        <f t="shared" si="1"/>
        <v>1.0222466564373579E-4</v>
      </c>
      <c r="H6" s="120">
        <f t="shared" si="1"/>
        <v>1.0056992140363913E-4</v>
      </c>
      <c r="I6" s="120">
        <f t="shared" si="1"/>
        <v>9.8915177163543138E-5</v>
      </c>
      <c r="J6" s="120">
        <f t="shared" si="1"/>
        <v>9.7260432923446482E-5</v>
      </c>
      <c r="K6" s="120">
        <f t="shared" si="1"/>
        <v>9.5605688683350463E-5</v>
      </c>
      <c r="L6" s="120">
        <f t="shared" si="1"/>
        <v>9.3950944443254431E-5</v>
      </c>
      <c r="M6" s="120">
        <f t="shared" si="1"/>
        <v>9.2296200203157816E-5</v>
      </c>
      <c r="N6" s="120">
        <f t="shared" si="1"/>
        <v>9.0679216613890823E-5</v>
      </c>
      <c r="O6" s="120">
        <f t="shared" si="1"/>
        <v>8.9812174085886264E-5</v>
      </c>
      <c r="P6" s="120">
        <f t="shared" si="1"/>
        <v>8.8945131557881704E-5</v>
      </c>
      <c r="Q6" s="120">
        <f t="shared" si="1"/>
        <v>8.8078089029877145E-5</v>
      </c>
      <c r="R6" s="120">
        <f t="shared" si="1"/>
        <v>8.7211046501872586E-5</v>
      </c>
      <c r="S6" s="120">
        <f t="shared" si="1"/>
        <v>8.6344003973868027E-5</v>
      </c>
      <c r="T6" s="120">
        <f t="shared" si="1"/>
        <v>8.5476961445863468E-5</v>
      </c>
      <c r="U6" s="120">
        <f t="shared" si="1"/>
        <v>8.4609918917858909E-5</v>
      </c>
      <c r="V6" s="120">
        <f t="shared" si="1"/>
        <v>8.3742876389854363E-5</v>
      </c>
      <c r="W6" s="120">
        <f t="shared" si="1"/>
        <v>8.2875833861849478E-5</v>
      </c>
      <c r="X6" s="120">
        <f t="shared" si="1"/>
        <v>8.2008791333844919E-5</v>
      </c>
      <c r="Y6" s="120">
        <f t="shared" si="1"/>
        <v>8.114174880584036E-5</v>
      </c>
      <c r="Z6" s="120">
        <f t="shared" si="1"/>
        <v>8.0274706277835801E-5</v>
      </c>
      <c r="AA6" s="120">
        <f t="shared" si="1"/>
        <v>7.9407663749831255E-5</v>
      </c>
      <c r="AB6" s="120">
        <f t="shared" si="1"/>
        <v>7.8540621221826696E-5</v>
      </c>
      <c r="AC6" s="120">
        <f t="shared" si="1"/>
        <v>7.7673578693822137E-5</v>
      </c>
      <c r="AD6" s="120">
        <f t="shared" si="1"/>
        <v>7.6806536165817578E-5</v>
      </c>
      <c r="AE6" s="120">
        <f t="shared" si="1"/>
        <v>7.5939493637813019E-5</v>
      </c>
      <c r="AF6" s="120">
        <f t="shared" si="1"/>
        <v>7.5072451109808459E-5</v>
      </c>
      <c r="AG6" s="120">
        <f t="shared" si="1"/>
        <v>7.42054085818039E-5</v>
      </c>
    </row>
    <row r="7" spans="1:33">
      <c r="A7" s="1" t="s">
        <v>207</v>
      </c>
      <c r="B7" s="120">
        <f>B5</f>
        <v>9.6977507167811454E-5</v>
      </c>
      <c r="C7" s="120">
        <f t="shared" ref="C7:AG7" si="2">C5</f>
        <v>9.3974438840257161E-5</v>
      </c>
      <c r="D7" s="120">
        <f t="shared" si="2"/>
        <v>9.2336401570682338E-5</v>
      </c>
      <c r="E7" s="120">
        <f t="shared" si="2"/>
        <v>9.0698364301106905E-5</v>
      </c>
      <c r="F7" s="120">
        <f t="shared" si="2"/>
        <v>8.9060327031532081E-5</v>
      </c>
      <c r="G7" s="120">
        <f t="shared" si="2"/>
        <v>8.7422289761957258E-5</v>
      </c>
      <c r="H7" s="120">
        <f t="shared" si="2"/>
        <v>8.5784252492381797E-5</v>
      </c>
      <c r="I7" s="120">
        <f t="shared" si="2"/>
        <v>8.4146215222807001E-5</v>
      </c>
      <c r="J7" s="120">
        <f t="shared" si="2"/>
        <v>8.250817795323154E-5</v>
      </c>
      <c r="K7" s="120">
        <f t="shared" si="2"/>
        <v>8.0870140683656717E-5</v>
      </c>
      <c r="L7" s="120">
        <f t="shared" si="2"/>
        <v>7.9232103414081893E-5</v>
      </c>
      <c r="M7" s="120">
        <f t="shared" si="2"/>
        <v>7.759406614450646E-5</v>
      </c>
      <c r="N7" s="120">
        <f t="shared" si="2"/>
        <v>7.5977082555239467E-5</v>
      </c>
      <c r="O7" s="120">
        <f t="shared" si="2"/>
        <v>7.5110040027234908E-5</v>
      </c>
      <c r="P7" s="120">
        <f t="shared" si="2"/>
        <v>7.4242997499230349E-5</v>
      </c>
      <c r="Q7" s="120">
        <f t="shared" si="2"/>
        <v>7.337595497122579E-5</v>
      </c>
      <c r="R7" s="120">
        <f t="shared" si="2"/>
        <v>7.2508912443221231E-5</v>
      </c>
      <c r="S7" s="120">
        <f t="shared" si="2"/>
        <v>7.1641869915216671E-5</v>
      </c>
      <c r="T7" s="120">
        <f t="shared" si="2"/>
        <v>7.0774827387212112E-5</v>
      </c>
      <c r="U7" s="120">
        <f t="shared" si="2"/>
        <v>6.9907784859207553E-5</v>
      </c>
      <c r="V7" s="120">
        <f t="shared" si="2"/>
        <v>6.9040742331203007E-5</v>
      </c>
      <c r="W7" s="120">
        <f t="shared" si="2"/>
        <v>6.8173699803198123E-5</v>
      </c>
      <c r="X7" s="120">
        <f t="shared" si="2"/>
        <v>6.7306657275193564E-5</v>
      </c>
      <c r="Y7" s="120">
        <f t="shared" si="2"/>
        <v>6.6439614747189005E-5</v>
      </c>
      <c r="Z7" s="120">
        <f t="shared" si="2"/>
        <v>6.5572572219184445E-5</v>
      </c>
      <c r="AA7" s="120">
        <f t="shared" si="2"/>
        <v>6.47055296911799E-5</v>
      </c>
      <c r="AB7" s="120">
        <f t="shared" si="2"/>
        <v>6.3838487163175341E-5</v>
      </c>
      <c r="AC7" s="120">
        <f t="shared" si="2"/>
        <v>6.2971444635170781E-5</v>
      </c>
      <c r="AD7" s="120">
        <f t="shared" si="2"/>
        <v>6.2104402107166222E-5</v>
      </c>
      <c r="AE7" s="120">
        <f t="shared" si="2"/>
        <v>6.1237359579161663E-5</v>
      </c>
      <c r="AF7" s="120">
        <f t="shared" si="2"/>
        <v>6.0370317051157097E-5</v>
      </c>
      <c r="AG7" s="120">
        <f t="shared" si="2"/>
        <v>5.9503274523152538E-5</v>
      </c>
    </row>
    <row r="8" spans="1:33">
      <c r="A8" s="1" t="s">
        <v>319</v>
      </c>
      <c r="B8" s="120">
        <f>B5</f>
        <v>9.6977507167811454E-5</v>
      </c>
      <c r="C8" s="120">
        <f t="shared" ref="C8:AG8" si="3">C5</f>
        <v>9.3974438840257161E-5</v>
      </c>
      <c r="D8" s="120">
        <f t="shared" si="3"/>
        <v>9.2336401570682338E-5</v>
      </c>
      <c r="E8" s="120">
        <f t="shared" si="3"/>
        <v>9.0698364301106905E-5</v>
      </c>
      <c r="F8" s="120">
        <f t="shared" si="3"/>
        <v>8.9060327031532081E-5</v>
      </c>
      <c r="G8" s="120">
        <f t="shared" si="3"/>
        <v>8.7422289761957258E-5</v>
      </c>
      <c r="H8" s="120">
        <f t="shared" si="3"/>
        <v>8.5784252492381797E-5</v>
      </c>
      <c r="I8" s="120">
        <f t="shared" si="3"/>
        <v>8.4146215222807001E-5</v>
      </c>
      <c r="J8" s="120">
        <f t="shared" si="3"/>
        <v>8.250817795323154E-5</v>
      </c>
      <c r="K8" s="120">
        <f t="shared" si="3"/>
        <v>8.0870140683656717E-5</v>
      </c>
      <c r="L8" s="120">
        <f t="shared" si="3"/>
        <v>7.9232103414081893E-5</v>
      </c>
      <c r="M8" s="120">
        <f t="shared" si="3"/>
        <v>7.759406614450646E-5</v>
      </c>
      <c r="N8" s="120">
        <f t="shared" si="3"/>
        <v>7.5977082555239467E-5</v>
      </c>
      <c r="O8" s="120">
        <f t="shared" si="3"/>
        <v>7.5110040027234908E-5</v>
      </c>
      <c r="P8" s="120">
        <f t="shared" si="3"/>
        <v>7.4242997499230349E-5</v>
      </c>
      <c r="Q8" s="120">
        <f t="shared" si="3"/>
        <v>7.337595497122579E-5</v>
      </c>
      <c r="R8" s="120">
        <f t="shared" si="3"/>
        <v>7.2508912443221231E-5</v>
      </c>
      <c r="S8" s="120">
        <f t="shared" si="3"/>
        <v>7.1641869915216671E-5</v>
      </c>
      <c r="T8" s="120">
        <f t="shared" si="3"/>
        <v>7.0774827387212112E-5</v>
      </c>
      <c r="U8" s="120">
        <f t="shared" si="3"/>
        <v>6.9907784859207553E-5</v>
      </c>
      <c r="V8" s="120">
        <f t="shared" si="3"/>
        <v>6.9040742331203007E-5</v>
      </c>
      <c r="W8" s="120">
        <f t="shared" si="3"/>
        <v>6.8173699803198123E-5</v>
      </c>
      <c r="X8" s="120">
        <f t="shared" si="3"/>
        <v>6.7306657275193564E-5</v>
      </c>
      <c r="Y8" s="120">
        <f t="shared" si="3"/>
        <v>6.6439614747189005E-5</v>
      </c>
      <c r="Z8" s="120">
        <f t="shared" si="3"/>
        <v>6.5572572219184445E-5</v>
      </c>
      <c r="AA8" s="120">
        <f t="shared" si="3"/>
        <v>6.47055296911799E-5</v>
      </c>
      <c r="AB8" s="120">
        <f t="shared" si="3"/>
        <v>6.3838487163175341E-5</v>
      </c>
      <c r="AC8" s="120">
        <f t="shared" si="3"/>
        <v>6.2971444635170781E-5</v>
      </c>
      <c r="AD8" s="120">
        <f t="shared" si="3"/>
        <v>6.2104402107166222E-5</v>
      </c>
      <c r="AE8" s="120">
        <f t="shared" si="3"/>
        <v>6.1237359579161663E-5</v>
      </c>
      <c r="AF8" s="120">
        <f t="shared" si="3"/>
        <v>6.0370317051157097E-5</v>
      </c>
      <c r="AG8" s="120">
        <f t="shared" si="3"/>
        <v>5.9503274523152538E-5</v>
      </c>
    </row>
    <row r="9" spans="1:33">
      <c r="A9" s="1" t="s">
        <v>320</v>
      </c>
      <c r="B9" s="120">
        <f>B5</f>
        <v>9.6977507167811454E-5</v>
      </c>
      <c r="C9" s="120">
        <f t="shared" ref="C9:AG9" si="4">C5</f>
        <v>9.3974438840257161E-5</v>
      </c>
      <c r="D9" s="120">
        <f t="shared" si="4"/>
        <v>9.2336401570682338E-5</v>
      </c>
      <c r="E9" s="120">
        <f t="shared" si="4"/>
        <v>9.0698364301106905E-5</v>
      </c>
      <c r="F9" s="120">
        <f t="shared" si="4"/>
        <v>8.9060327031532081E-5</v>
      </c>
      <c r="G9" s="120">
        <f t="shared" si="4"/>
        <v>8.7422289761957258E-5</v>
      </c>
      <c r="H9" s="120">
        <f t="shared" si="4"/>
        <v>8.5784252492381797E-5</v>
      </c>
      <c r="I9" s="120">
        <f t="shared" si="4"/>
        <v>8.4146215222807001E-5</v>
      </c>
      <c r="J9" s="120">
        <f t="shared" si="4"/>
        <v>8.250817795323154E-5</v>
      </c>
      <c r="K9" s="120">
        <f t="shared" si="4"/>
        <v>8.0870140683656717E-5</v>
      </c>
      <c r="L9" s="120">
        <f t="shared" si="4"/>
        <v>7.9232103414081893E-5</v>
      </c>
      <c r="M9" s="120">
        <f t="shared" si="4"/>
        <v>7.759406614450646E-5</v>
      </c>
      <c r="N9" s="120">
        <f t="shared" si="4"/>
        <v>7.5977082555239467E-5</v>
      </c>
      <c r="O9" s="120">
        <f t="shared" si="4"/>
        <v>7.5110040027234908E-5</v>
      </c>
      <c r="P9" s="120">
        <f t="shared" si="4"/>
        <v>7.4242997499230349E-5</v>
      </c>
      <c r="Q9" s="120">
        <f t="shared" si="4"/>
        <v>7.337595497122579E-5</v>
      </c>
      <c r="R9" s="120">
        <f t="shared" si="4"/>
        <v>7.2508912443221231E-5</v>
      </c>
      <c r="S9" s="120">
        <f t="shared" si="4"/>
        <v>7.1641869915216671E-5</v>
      </c>
      <c r="T9" s="120">
        <f t="shared" si="4"/>
        <v>7.0774827387212112E-5</v>
      </c>
      <c r="U9" s="120">
        <f t="shared" si="4"/>
        <v>6.9907784859207553E-5</v>
      </c>
      <c r="V9" s="120">
        <f t="shared" si="4"/>
        <v>6.9040742331203007E-5</v>
      </c>
      <c r="W9" s="120">
        <f t="shared" si="4"/>
        <v>6.8173699803198123E-5</v>
      </c>
      <c r="X9" s="120">
        <f t="shared" si="4"/>
        <v>6.7306657275193564E-5</v>
      </c>
      <c r="Y9" s="120">
        <f t="shared" si="4"/>
        <v>6.6439614747189005E-5</v>
      </c>
      <c r="Z9" s="120">
        <f t="shared" si="4"/>
        <v>6.5572572219184445E-5</v>
      </c>
      <c r="AA9" s="120">
        <f t="shared" si="4"/>
        <v>6.47055296911799E-5</v>
      </c>
      <c r="AB9" s="120">
        <f t="shared" si="4"/>
        <v>6.3838487163175341E-5</v>
      </c>
      <c r="AC9" s="120">
        <f t="shared" si="4"/>
        <v>6.2971444635170781E-5</v>
      </c>
      <c r="AD9" s="120">
        <f t="shared" si="4"/>
        <v>6.2104402107166222E-5</v>
      </c>
      <c r="AE9" s="120">
        <f t="shared" si="4"/>
        <v>6.1237359579161663E-5</v>
      </c>
      <c r="AF9" s="120">
        <f t="shared" si="4"/>
        <v>6.0370317051157097E-5</v>
      </c>
      <c r="AG9" s="120">
        <f t="shared" si="4"/>
        <v>5.9503274523152538E-5</v>
      </c>
    </row>
    <row r="10" spans="1:33">
      <c r="A10" s="1" t="s">
        <v>321</v>
      </c>
      <c r="B10" s="120">
        <f>B4</f>
        <v>1.1184671093167476E-4</v>
      </c>
      <c r="C10" s="120">
        <f t="shared" ref="C10:AG10" si="5">C4</f>
        <v>1.0884364260412047E-4</v>
      </c>
      <c r="D10" s="120">
        <f t="shared" si="5"/>
        <v>1.0718889836402444E-4</v>
      </c>
      <c r="E10" s="120">
        <f t="shared" si="5"/>
        <v>1.0553415412392782E-4</v>
      </c>
      <c r="F10" s="120">
        <f t="shared" si="5"/>
        <v>1.0387940988383179E-4</v>
      </c>
      <c r="G10" s="120">
        <f t="shared" si="5"/>
        <v>1.0222466564373579E-4</v>
      </c>
      <c r="H10" s="120">
        <f t="shared" si="5"/>
        <v>1.0056992140363913E-4</v>
      </c>
      <c r="I10" s="120">
        <f t="shared" si="5"/>
        <v>9.8915177163543138E-5</v>
      </c>
      <c r="J10" s="120">
        <f t="shared" si="5"/>
        <v>9.7260432923446482E-5</v>
      </c>
      <c r="K10" s="120">
        <f t="shared" si="5"/>
        <v>9.5605688683350463E-5</v>
      </c>
      <c r="L10" s="120">
        <f t="shared" si="5"/>
        <v>9.3950944443254431E-5</v>
      </c>
      <c r="M10" s="120">
        <f t="shared" si="5"/>
        <v>9.2296200203157816E-5</v>
      </c>
      <c r="N10" s="120">
        <f t="shared" si="5"/>
        <v>9.0679216613890823E-5</v>
      </c>
      <c r="O10" s="120">
        <f t="shared" si="5"/>
        <v>8.9812174085886264E-5</v>
      </c>
      <c r="P10" s="120">
        <f t="shared" si="5"/>
        <v>8.8945131557881704E-5</v>
      </c>
      <c r="Q10" s="120">
        <f t="shared" si="5"/>
        <v>8.8078089029877145E-5</v>
      </c>
      <c r="R10" s="120">
        <f t="shared" si="5"/>
        <v>8.7211046501872586E-5</v>
      </c>
      <c r="S10" s="120">
        <f t="shared" si="5"/>
        <v>8.6344003973868027E-5</v>
      </c>
      <c r="T10" s="120">
        <f t="shared" si="5"/>
        <v>8.5476961445863468E-5</v>
      </c>
      <c r="U10" s="120">
        <f t="shared" si="5"/>
        <v>8.4609918917858909E-5</v>
      </c>
      <c r="V10" s="120">
        <f t="shared" si="5"/>
        <v>8.3742876389854363E-5</v>
      </c>
      <c r="W10" s="120">
        <f t="shared" si="5"/>
        <v>8.2875833861849478E-5</v>
      </c>
      <c r="X10" s="120">
        <f t="shared" si="5"/>
        <v>8.2008791333844919E-5</v>
      </c>
      <c r="Y10" s="120">
        <f t="shared" si="5"/>
        <v>8.114174880584036E-5</v>
      </c>
      <c r="Z10" s="120">
        <f t="shared" si="5"/>
        <v>8.0274706277835801E-5</v>
      </c>
      <c r="AA10" s="120">
        <f t="shared" si="5"/>
        <v>7.9407663749831255E-5</v>
      </c>
      <c r="AB10" s="120">
        <f t="shared" si="5"/>
        <v>7.8540621221826696E-5</v>
      </c>
      <c r="AC10" s="120">
        <f t="shared" si="5"/>
        <v>7.7673578693822137E-5</v>
      </c>
      <c r="AD10" s="120">
        <f t="shared" si="5"/>
        <v>7.6806536165817578E-5</v>
      </c>
      <c r="AE10" s="120">
        <f t="shared" si="5"/>
        <v>7.5939493637813019E-5</v>
      </c>
      <c r="AF10" s="120">
        <f t="shared" si="5"/>
        <v>7.5072451109808459E-5</v>
      </c>
      <c r="AG10" s="120">
        <f t="shared" si="5"/>
        <v>7.42054085818039E-5</v>
      </c>
    </row>
    <row r="11" spans="1:33">
      <c r="A11" s="1" t="s">
        <v>322</v>
      </c>
      <c r="B11" s="120">
        <f>B4</f>
        <v>1.1184671093167476E-4</v>
      </c>
      <c r="C11" s="120">
        <f t="shared" ref="C11:AG11" si="6">C4</f>
        <v>1.0884364260412047E-4</v>
      </c>
      <c r="D11" s="120">
        <f t="shared" si="6"/>
        <v>1.0718889836402444E-4</v>
      </c>
      <c r="E11" s="120">
        <f t="shared" si="6"/>
        <v>1.0553415412392782E-4</v>
      </c>
      <c r="F11" s="120">
        <f t="shared" si="6"/>
        <v>1.0387940988383179E-4</v>
      </c>
      <c r="G11" s="120">
        <f t="shared" si="6"/>
        <v>1.0222466564373579E-4</v>
      </c>
      <c r="H11" s="120">
        <f t="shared" si="6"/>
        <v>1.0056992140363913E-4</v>
      </c>
      <c r="I11" s="120">
        <f t="shared" si="6"/>
        <v>9.8915177163543138E-5</v>
      </c>
      <c r="J11" s="120">
        <f t="shared" si="6"/>
        <v>9.7260432923446482E-5</v>
      </c>
      <c r="K11" s="120">
        <f t="shared" si="6"/>
        <v>9.5605688683350463E-5</v>
      </c>
      <c r="L11" s="120">
        <f t="shared" si="6"/>
        <v>9.3950944443254431E-5</v>
      </c>
      <c r="M11" s="120">
        <f t="shared" si="6"/>
        <v>9.2296200203157816E-5</v>
      </c>
      <c r="N11" s="120">
        <f t="shared" si="6"/>
        <v>9.0679216613890823E-5</v>
      </c>
      <c r="O11" s="120">
        <f t="shared" si="6"/>
        <v>8.9812174085886264E-5</v>
      </c>
      <c r="P11" s="120">
        <f t="shared" si="6"/>
        <v>8.8945131557881704E-5</v>
      </c>
      <c r="Q11" s="120">
        <f t="shared" si="6"/>
        <v>8.8078089029877145E-5</v>
      </c>
      <c r="R11" s="120">
        <f t="shared" si="6"/>
        <v>8.7211046501872586E-5</v>
      </c>
      <c r="S11" s="120">
        <f t="shared" si="6"/>
        <v>8.6344003973868027E-5</v>
      </c>
      <c r="T11" s="120">
        <f t="shared" si="6"/>
        <v>8.5476961445863468E-5</v>
      </c>
      <c r="U11" s="120">
        <f t="shared" si="6"/>
        <v>8.4609918917858909E-5</v>
      </c>
      <c r="V11" s="120">
        <f t="shared" si="6"/>
        <v>8.3742876389854363E-5</v>
      </c>
      <c r="W11" s="120">
        <f t="shared" si="6"/>
        <v>8.2875833861849478E-5</v>
      </c>
      <c r="X11" s="120">
        <f t="shared" si="6"/>
        <v>8.2008791333844919E-5</v>
      </c>
      <c r="Y11" s="120">
        <f t="shared" si="6"/>
        <v>8.114174880584036E-5</v>
      </c>
      <c r="Z11" s="120">
        <f t="shared" si="6"/>
        <v>8.0274706277835801E-5</v>
      </c>
      <c r="AA11" s="120">
        <f t="shared" si="6"/>
        <v>7.9407663749831255E-5</v>
      </c>
      <c r="AB11" s="120">
        <f t="shared" si="6"/>
        <v>7.8540621221826696E-5</v>
      </c>
      <c r="AC11" s="120">
        <f t="shared" si="6"/>
        <v>7.7673578693822137E-5</v>
      </c>
      <c r="AD11" s="120">
        <f t="shared" si="6"/>
        <v>7.6806536165817578E-5</v>
      </c>
      <c r="AE11" s="120">
        <f t="shared" si="6"/>
        <v>7.5939493637813019E-5</v>
      </c>
      <c r="AF11" s="120">
        <f t="shared" si="6"/>
        <v>7.5072451109808459E-5</v>
      </c>
      <c r="AG11" s="120">
        <f t="shared" si="6"/>
        <v>7.42054085818039E-5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G11"/>
  <sheetViews>
    <sheetView topLeftCell="AG1" zoomScaleNormal="100" workbookViewId="0">
      <selection activeCell="AQ1" sqref="AH1:AQ1048576"/>
    </sheetView>
  </sheetViews>
  <sheetFormatPr defaultRowHeight="14.5"/>
  <cols>
    <col min="1" max="1" width="29.81640625" customWidth="1"/>
    <col min="2" max="33" width="10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1.1922642736154889E-4</v>
      </c>
      <c r="C3" s="120">
        <f t="shared" ref="C3:AG3" si="0">C4</f>
        <v>1.1726233868227049E-4</v>
      </c>
      <c r="D3" s="120">
        <f t="shared" si="0"/>
        <v>1.1550674779120579E-4</v>
      </c>
      <c r="E3" s="120">
        <f t="shared" si="0"/>
        <v>1.1375115690014151E-4</v>
      </c>
      <c r="F3" s="120">
        <f t="shared" si="0"/>
        <v>1.1199556600907681E-4</v>
      </c>
      <c r="G3" s="120">
        <f t="shared" si="0"/>
        <v>1.1023997511801212E-4</v>
      </c>
      <c r="H3" s="120">
        <f t="shared" si="0"/>
        <v>1.0848438422694745E-4</v>
      </c>
      <c r="I3" s="120">
        <f t="shared" si="0"/>
        <v>1.0672879333588274E-4</v>
      </c>
      <c r="J3" s="120">
        <f t="shared" si="0"/>
        <v>1.0497320244481804E-4</v>
      </c>
      <c r="K3" s="120">
        <f t="shared" si="0"/>
        <v>1.0321761155375376E-4</v>
      </c>
      <c r="L3" s="120">
        <f t="shared" si="0"/>
        <v>1.0146202066268909E-4</v>
      </c>
      <c r="M3" s="120">
        <f t="shared" si="0"/>
        <v>9.9706429771624386E-5</v>
      </c>
      <c r="N3" s="120">
        <f t="shared" si="0"/>
        <v>9.787675384368551E-5</v>
      </c>
      <c r="O3" s="120">
        <f t="shared" si="0"/>
        <v>9.6503497069768613E-5</v>
      </c>
      <c r="P3" s="120">
        <f t="shared" si="0"/>
        <v>9.513024029585211E-5</v>
      </c>
      <c r="Q3" s="120">
        <f t="shared" si="0"/>
        <v>9.3756983521935228E-5</v>
      </c>
      <c r="R3" s="120">
        <f t="shared" si="0"/>
        <v>9.2383726748018305E-5</v>
      </c>
      <c r="S3" s="120">
        <f t="shared" si="0"/>
        <v>9.1010469974101802E-5</v>
      </c>
      <c r="T3" s="120">
        <f t="shared" si="0"/>
        <v>8.9637213200184919E-5</v>
      </c>
      <c r="U3" s="120">
        <f t="shared" si="0"/>
        <v>8.8263956426267996E-5</v>
      </c>
      <c r="V3" s="120">
        <f t="shared" si="0"/>
        <v>8.6890699652351493E-5</v>
      </c>
      <c r="W3" s="120">
        <f t="shared" si="0"/>
        <v>8.551744287843461E-5</v>
      </c>
      <c r="X3" s="120">
        <f t="shared" si="0"/>
        <v>8.4144186104517714E-5</v>
      </c>
      <c r="Y3" s="120">
        <f t="shared" si="0"/>
        <v>8.2770929330601211E-5</v>
      </c>
      <c r="Z3" s="120">
        <f t="shared" si="0"/>
        <v>8.1397672556684302E-5</v>
      </c>
      <c r="AA3" s="120">
        <f t="shared" si="0"/>
        <v>8.0024415782767799E-5</v>
      </c>
      <c r="AB3" s="120">
        <f t="shared" si="0"/>
        <v>7.8651159008850903E-5</v>
      </c>
      <c r="AC3" s="120">
        <f t="shared" si="0"/>
        <v>7.727790223493402E-5</v>
      </c>
      <c r="AD3" s="120">
        <f t="shared" si="0"/>
        <v>7.590464546101749E-5</v>
      </c>
      <c r="AE3" s="120">
        <f t="shared" si="0"/>
        <v>7.4531388687100594E-5</v>
      </c>
      <c r="AF3" s="120">
        <f t="shared" si="0"/>
        <v>7.3158131913183711E-5</v>
      </c>
      <c r="AG3" s="120">
        <f t="shared" si="0"/>
        <v>7.1784875139267208E-5</v>
      </c>
    </row>
    <row r="4" spans="1:33">
      <c r="A4" s="1" t="s">
        <v>13</v>
      </c>
      <c r="B4" s="106">
        <f>Calculations!B78</f>
        <v>1.1922642736154889E-4</v>
      </c>
      <c r="C4" s="106">
        <f>Calculations!C78</f>
        <v>1.1726233868227049E-4</v>
      </c>
      <c r="D4" s="106">
        <f>Calculations!D78</f>
        <v>1.1550674779120579E-4</v>
      </c>
      <c r="E4" s="106">
        <f>Calculations!E78</f>
        <v>1.1375115690014151E-4</v>
      </c>
      <c r="F4" s="106">
        <f>Calculations!F78</f>
        <v>1.1199556600907681E-4</v>
      </c>
      <c r="G4" s="106">
        <f>Calculations!G78</f>
        <v>1.1023997511801212E-4</v>
      </c>
      <c r="H4" s="106">
        <f>Calculations!H78</f>
        <v>1.0848438422694745E-4</v>
      </c>
      <c r="I4" s="106">
        <f>Calculations!I78</f>
        <v>1.0672879333588274E-4</v>
      </c>
      <c r="J4" s="106">
        <f>Calculations!J78</f>
        <v>1.0497320244481804E-4</v>
      </c>
      <c r="K4" s="106">
        <f>Calculations!K78</f>
        <v>1.0321761155375376E-4</v>
      </c>
      <c r="L4" s="106">
        <f>Calculations!L78</f>
        <v>1.0146202066268909E-4</v>
      </c>
      <c r="M4" s="106">
        <f>Calculations!M78</f>
        <v>9.9706429771624386E-5</v>
      </c>
      <c r="N4" s="106">
        <f>Calculations!N78</f>
        <v>9.787675384368551E-5</v>
      </c>
      <c r="O4" s="106">
        <f>Calculations!O78</f>
        <v>9.6503497069768613E-5</v>
      </c>
      <c r="P4" s="106">
        <f>Calculations!P78</f>
        <v>9.513024029585211E-5</v>
      </c>
      <c r="Q4" s="106">
        <f>Calculations!Q78</f>
        <v>9.3756983521935228E-5</v>
      </c>
      <c r="R4" s="106">
        <f>Calculations!R78</f>
        <v>9.2383726748018305E-5</v>
      </c>
      <c r="S4" s="106">
        <f>Calculations!S78</f>
        <v>9.1010469974101802E-5</v>
      </c>
      <c r="T4" s="106">
        <f>Calculations!T78</f>
        <v>8.9637213200184919E-5</v>
      </c>
      <c r="U4" s="106">
        <f>Calculations!U78</f>
        <v>8.8263956426267996E-5</v>
      </c>
      <c r="V4" s="106">
        <f>Calculations!V78</f>
        <v>8.6890699652351493E-5</v>
      </c>
      <c r="W4" s="106">
        <f>Calculations!W78</f>
        <v>8.551744287843461E-5</v>
      </c>
      <c r="X4" s="106">
        <f>Calculations!X78</f>
        <v>8.4144186104517714E-5</v>
      </c>
      <c r="Y4" s="106">
        <f>Calculations!Y78</f>
        <v>8.2770929330601211E-5</v>
      </c>
      <c r="Z4" s="106">
        <f>Calculations!Z78</f>
        <v>8.1397672556684302E-5</v>
      </c>
      <c r="AA4" s="106">
        <f>Calculations!AA78</f>
        <v>8.0024415782767799E-5</v>
      </c>
      <c r="AB4" s="106">
        <f>Calculations!AB78</f>
        <v>7.8651159008850903E-5</v>
      </c>
      <c r="AC4" s="106">
        <f>Calculations!AC78</f>
        <v>7.727790223493402E-5</v>
      </c>
      <c r="AD4" s="106">
        <f>Calculations!AD78</f>
        <v>7.590464546101749E-5</v>
      </c>
      <c r="AE4" s="106">
        <f>Calculations!AE78</f>
        <v>7.4531388687100594E-5</v>
      </c>
      <c r="AF4" s="106">
        <f>Calculations!AF78</f>
        <v>7.3158131913183711E-5</v>
      </c>
      <c r="AG4" s="106">
        <f>Calculations!AG78</f>
        <v>7.1784875139267208E-5</v>
      </c>
    </row>
    <row r="5" spans="1:33">
      <c r="A5" s="1" t="s">
        <v>317</v>
      </c>
      <c r="B5" s="106">
        <f>Calculations!B79</f>
        <v>1.2014128651515439E-4</v>
      </c>
      <c r="C5" s="106">
        <f>Calculations!C79</f>
        <v>1.1817719783587599E-4</v>
      </c>
      <c r="D5" s="106">
        <f>Calculations!D79</f>
        <v>1.1642160694481129E-4</v>
      </c>
      <c r="E5" s="106">
        <f>Calculations!E79</f>
        <v>1.1466601605374701E-4</v>
      </c>
      <c r="F5" s="106">
        <f>Calculations!F79</f>
        <v>1.1291042516268231E-4</v>
      </c>
      <c r="G5" s="106">
        <f>Calculations!G79</f>
        <v>1.1115483427161761E-4</v>
      </c>
      <c r="H5" s="106">
        <f>Calculations!H79</f>
        <v>1.0939924338055294E-4</v>
      </c>
      <c r="I5" s="106">
        <f>Calculations!I79</f>
        <v>1.0764365248948823E-4</v>
      </c>
      <c r="J5" s="106">
        <f>Calculations!J79</f>
        <v>1.0588806159842355E-4</v>
      </c>
      <c r="K5" s="106">
        <f>Calculations!K79</f>
        <v>1.0413247070735926E-4</v>
      </c>
      <c r="L5" s="106">
        <f>Calculations!L79</f>
        <v>1.0237687981629459E-4</v>
      </c>
      <c r="M5" s="106">
        <f>Calculations!M79</f>
        <v>1.0062128892522989E-4</v>
      </c>
      <c r="N5" s="106">
        <f>Calculations!N79</f>
        <v>9.8791612997290999E-5</v>
      </c>
      <c r="O5" s="106">
        <f>Calculations!O79</f>
        <v>9.7418356223374103E-5</v>
      </c>
      <c r="P5" s="106">
        <f>Calculations!P79</f>
        <v>9.6045099449457613E-5</v>
      </c>
      <c r="Q5" s="106">
        <f>Calculations!Q79</f>
        <v>9.4671842675540717E-5</v>
      </c>
      <c r="R5" s="106">
        <f>Calculations!R79</f>
        <v>9.3298585901623808E-5</v>
      </c>
      <c r="S5" s="106">
        <f>Calculations!S79</f>
        <v>9.1925329127707305E-5</v>
      </c>
      <c r="T5" s="106">
        <f>Calculations!T79</f>
        <v>9.0552072353790409E-5</v>
      </c>
      <c r="U5" s="106">
        <f>Calculations!U79</f>
        <v>8.9178815579873499E-5</v>
      </c>
      <c r="V5" s="106">
        <f>Calculations!V79</f>
        <v>8.7805558805956996E-5</v>
      </c>
      <c r="W5" s="106">
        <f>Calculations!W79</f>
        <v>8.64323020320401E-5</v>
      </c>
      <c r="X5" s="106">
        <f>Calculations!X79</f>
        <v>8.5059045258123217E-5</v>
      </c>
      <c r="Y5" s="106">
        <f>Calculations!Y79</f>
        <v>8.3685788484206714E-5</v>
      </c>
      <c r="Z5" s="106">
        <f>Calculations!Z79</f>
        <v>8.2312531710289791E-5</v>
      </c>
      <c r="AA5" s="106">
        <f>Calculations!AA79</f>
        <v>8.0939274936373288E-5</v>
      </c>
      <c r="AB5" s="106">
        <f>Calculations!AB79</f>
        <v>7.9566018162456406E-5</v>
      </c>
      <c r="AC5" s="106">
        <f>Calculations!AC79</f>
        <v>7.819276138853951E-5</v>
      </c>
      <c r="AD5" s="106">
        <f>Calculations!AD79</f>
        <v>7.681950461462298E-5</v>
      </c>
      <c r="AE5" s="106">
        <f>Calculations!AE79</f>
        <v>7.5446247840706097E-5</v>
      </c>
      <c r="AF5" s="106">
        <f>Calculations!AF79</f>
        <v>7.4072991066789201E-5</v>
      </c>
      <c r="AG5" s="106">
        <f>Calculations!AG79</f>
        <v>7.2699734292872698E-5</v>
      </c>
    </row>
    <row r="6" spans="1:33">
      <c r="A6" s="1" t="s">
        <v>318</v>
      </c>
      <c r="B6" s="120">
        <f>B4</f>
        <v>1.1922642736154889E-4</v>
      </c>
      <c r="C6" s="120">
        <f t="shared" ref="C6:AG7" si="1">C4</f>
        <v>1.1726233868227049E-4</v>
      </c>
      <c r="D6" s="120">
        <f t="shared" si="1"/>
        <v>1.1550674779120579E-4</v>
      </c>
      <c r="E6" s="120">
        <f t="shared" si="1"/>
        <v>1.1375115690014151E-4</v>
      </c>
      <c r="F6" s="120">
        <f t="shared" si="1"/>
        <v>1.1199556600907681E-4</v>
      </c>
      <c r="G6" s="120">
        <f t="shared" si="1"/>
        <v>1.1023997511801212E-4</v>
      </c>
      <c r="H6" s="120">
        <f t="shared" si="1"/>
        <v>1.0848438422694745E-4</v>
      </c>
      <c r="I6" s="120">
        <f t="shared" si="1"/>
        <v>1.0672879333588274E-4</v>
      </c>
      <c r="J6" s="120">
        <f t="shared" si="1"/>
        <v>1.0497320244481804E-4</v>
      </c>
      <c r="K6" s="120">
        <f t="shared" si="1"/>
        <v>1.0321761155375376E-4</v>
      </c>
      <c r="L6" s="120">
        <f t="shared" si="1"/>
        <v>1.0146202066268909E-4</v>
      </c>
      <c r="M6" s="120">
        <f t="shared" si="1"/>
        <v>9.9706429771624386E-5</v>
      </c>
      <c r="N6" s="120">
        <f t="shared" si="1"/>
        <v>9.787675384368551E-5</v>
      </c>
      <c r="O6" s="120">
        <f t="shared" si="1"/>
        <v>9.6503497069768613E-5</v>
      </c>
      <c r="P6" s="120">
        <f t="shared" si="1"/>
        <v>9.513024029585211E-5</v>
      </c>
      <c r="Q6" s="120">
        <f t="shared" si="1"/>
        <v>9.3756983521935228E-5</v>
      </c>
      <c r="R6" s="120">
        <f t="shared" si="1"/>
        <v>9.2383726748018305E-5</v>
      </c>
      <c r="S6" s="120">
        <f t="shared" si="1"/>
        <v>9.1010469974101802E-5</v>
      </c>
      <c r="T6" s="120">
        <f t="shared" si="1"/>
        <v>8.9637213200184919E-5</v>
      </c>
      <c r="U6" s="120">
        <f t="shared" si="1"/>
        <v>8.8263956426267996E-5</v>
      </c>
      <c r="V6" s="120">
        <f t="shared" si="1"/>
        <v>8.6890699652351493E-5</v>
      </c>
      <c r="W6" s="120">
        <f t="shared" si="1"/>
        <v>8.551744287843461E-5</v>
      </c>
      <c r="X6" s="120">
        <f t="shared" si="1"/>
        <v>8.4144186104517714E-5</v>
      </c>
      <c r="Y6" s="120">
        <f t="shared" si="1"/>
        <v>8.2770929330601211E-5</v>
      </c>
      <c r="Z6" s="120">
        <f t="shared" si="1"/>
        <v>8.1397672556684302E-5</v>
      </c>
      <c r="AA6" s="120">
        <f t="shared" si="1"/>
        <v>8.0024415782767799E-5</v>
      </c>
      <c r="AB6" s="120">
        <f t="shared" si="1"/>
        <v>7.8651159008850903E-5</v>
      </c>
      <c r="AC6" s="120">
        <f t="shared" si="1"/>
        <v>7.727790223493402E-5</v>
      </c>
      <c r="AD6" s="120">
        <f t="shared" si="1"/>
        <v>7.590464546101749E-5</v>
      </c>
      <c r="AE6" s="120">
        <f t="shared" si="1"/>
        <v>7.4531388687100594E-5</v>
      </c>
      <c r="AF6" s="120">
        <f t="shared" si="1"/>
        <v>7.3158131913183711E-5</v>
      </c>
      <c r="AG6" s="120">
        <f t="shared" si="1"/>
        <v>7.1784875139267208E-5</v>
      </c>
    </row>
    <row r="7" spans="1:33">
      <c r="A7" s="1" t="s">
        <v>207</v>
      </c>
      <c r="B7" s="120">
        <f>B5</f>
        <v>1.2014128651515439E-4</v>
      </c>
      <c r="C7" s="120">
        <f t="shared" si="1"/>
        <v>1.1817719783587599E-4</v>
      </c>
      <c r="D7" s="120">
        <f t="shared" si="1"/>
        <v>1.1642160694481129E-4</v>
      </c>
      <c r="E7" s="120">
        <f t="shared" si="1"/>
        <v>1.1466601605374701E-4</v>
      </c>
      <c r="F7" s="120">
        <f t="shared" si="1"/>
        <v>1.1291042516268231E-4</v>
      </c>
      <c r="G7" s="120">
        <f t="shared" si="1"/>
        <v>1.1115483427161761E-4</v>
      </c>
      <c r="H7" s="120">
        <f t="shared" si="1"/>
        <v>1.0939924338055294E-4</v>
      </c>
      <c r="I7" s="120">
        <f t="shared" si="1"/>
        <v>1.0764365248948823E-4</v>
      </c>
      <c r="J7" s="120">
        <f t="shared" si="1"/>
        <v>1.0588806159842355E-4</v>
      </c>
      <c r="K7" s="120">
        <f t="shared" si="1"/>
        <v>1.0413247070735926E-4</v>
      </c>
      <c r="L7" s="120">
        <f t="shared" si="1"/>
        <v>1.0237687981629459E-4</v>
      </c>
      <c r="M7" s="120">
        <f t="shared" si="1"/>
        <v>1.0062128892522989E-4</v>
      </c>
      <c r="N7" s="120">
        <f t="shared" si="1"/>
        <v>9.8791612997290999E-5</v>
      </c>
      <c r="O7" s="120">
        <f t="shared" si="1"/>
        <v>9.7418356223374103E-5</v>
      </c>
      <c r="P7" s="120">
        <f t="shared" si="1"/>
        <v>9.6045099449457613E-5</v>
      </c>
      <c r="Q7" s="120">
        <f t="shared" si="1"/>
        <v>9.4671842675540717E-5</v>
      </c>
      <c r="R7" s="120">
        <f t="shared" si="1"/>
        <v>9.3298585901623808E-5</v>
      </c>
      <c r="S7" s="120">
        <f t="shared" si="1"/>
        <v>9.1925329127707305E-5</v>
      </c>
      <c r="T7" s="120">
        <f t="shared" si="1"/>
        <v>9.0552072353790409E-5</v>
      </c>
      <c r="U7" s="120">
        <f t="shared" si="1"/>
        <v>8.9178815579873499E-5</v>
      </c>
      <c r="V7" s="120">
        <f t="shared" si="1"/>
        <v>8.7805558805956996E-5</v>
      </c>
      <c r="W7" s="120">
        <f t="shared" si="1"/>
        <v>8.64323020320401E-5</v>
      </c>
      <c r="X7" s="120">
        <f t="shared" si="1"/>
        <v>8.5059045258123217E-5</v>
      </c>
      <c r="Y7" s="120">
        <f t="shared" si="1"/>
        <v>8.3685788484206714E-5</v>
      </c>
      <c r="Z7" s="120">
        <f t="shared" si="1"/>
        <v>8.2312531710289791E-5</v>
      </c>
      <c r="AA7" s="120">
        <f t="shared" si="1"/>
        <v>8.0939274936373288E-5</v>
      </c>
      <c r="AB7" s="120">
        <f t="shared" si="1"/>
        <v>7.9566018162456406E-5</v>
      </c>
      <c r="AC7" s="120">
        <f t="shared" si="1"/>
        <v>7.819276138853951E-5</v>
      </c>
      <c r="AD7" s="120">
        <f t="shared" si="1"/>
        <v>7.681950461462298E-5</v>
      </c>
      <c r="AE7" s="120">
        <f t="shared" si="1"/>
        <v>7.5446247840706097E-5</v>
      </c>
      <c r="AF7" s="120">
        <f t="shared" si="1"/>
        <v>7.4072991066789201E-5</v>
      </c>
      <c r="AG7" s="120">
        <f t="shared" si="1"/>
        <v>7.2699734292872698E-5</v>
      </c>
    </row>
    <row r="8" spans="1:33">
      <c r="A8" s="1" t="s">
        <v>319</v>
      </c>
      <c r="B8" s="120">
        <f>B5</f>
        <v>1.2014128651515439E-4</v>
      </c>
      <c r="C8" s="120">
        <f t="shared" ref="C8:AG8" si="2">C5</f>
        <v>1.1817719783587599E-4</v>
      </c>
      <c r="D8" s="120">
        <f t="shared" si="2"/>
        <v>1.1642160694481129E-4</v>
      </c>
      <c r="E8" s="120">
        <f t="shared" si="2"/>
        <v>1.1466601605374701E-4</v>
      </c>
      <c r="F8" s="120">
        <f t="shared" si="2"/>
        <v>1.1291042516268231E-4</v>
      </c>
      <c r="G8" s="120">
        <f t="shared" si="2"/>
        <v>1.1115483427161761E-4</v>
      </c>
      <c r="H8" s="120">
        <f t="shared" si="2"/>
        <v>1.0939924338055294E-4</v>
      </c>
      <c r="I8" s="120">
        <f t="shared" si="2"/>
        <v>1.0764365248948823E-4</v>
      </c>
      <c r="J8" s="120">
        <f t="shared" si="2"/>
        <v>1.0588806159842355E-4</v>
      </c>
      <c r="K8" s="120">
        <f t="shared" si="2"/>
        <v>1.0413247070735926E-4</v>
      </c>
      <c r="L8" s="120">
        <f t="shared" si="2"/>
        <v>1.0237687981629459E-4</v>
      </c>
      <c r="M8" s="120">
        <f t="shared" si="2"/>
        <v>1.0062128892522989E-4</v>
      </c>
      <c r="N8" s="120">
        <f t="shared" si="2"/>
        <v>9.8791612997290999E-5</v>
      </c>
      <c r="O8" s="120">
        <f t="shared" si="2"/>
        <v>9.7418356223374103E-5</v>
      </c>
      <c r="P8" s="120">
        <f t="shared" si="2"/>
        <v>9.6045099449457613E-5</v>
      </c>
      <c r="Q8" s="120">
        <f t="shared" si="2"/>
        <v>9.4671842675540717E-5</v>
      </c>
      <c r="R8" s="120">
        <f t="shared" si="2"/>
        <v>9.3298585901623808E-5</v>
      </c>
      <c r="S8" s="120">
        <f t="shared" si="2"/>
        <v>9.1925329127707305E-5</v>
      </c>
      <c r="T8" s="120">
        <f t="shared" si="2"/>
        <v>9.0552072353790409E-5</v>
      </c>
      <c r="U8" s="120">
        <f t="shared" si="2"/>
        <v>8.9178815579873499E-5</v>
      </c>
      <c r="V8" s="120">
        <f t="shared" si="2"/>
        <v>8.7805558805956996E-5</v>
      </c>
      <c r="W8" s="120">
        <f t="shared" si="2"/>
        <v>8.64323020320401E-5</v>
      </c>
      <c r="X8" s="120">
        <f t="shared" si="2"/>
        <v>8.5059045258123217E-5</v>
      </c>
      <c r="Y8" s="120">
        <f t="shared" si="2"/>
        <v>8.3685788484206714E-5</v>
      </c>
      <c r="Z8" s="120">
        <f t="shared" si="2"/>
        <v>8.2312531710289791E-5</v>
      </c>
      <c r="AA8" s="120">
        <f t="shared" si="2"/>
        <v>8.0939274936373288E-5</v>
      </c>
      <c r="AB8" s="120">
        <f t="shared" si="2"/>
        <v>7.9566018162456406E-5</v>
      </c>
      <c r="AC8" s="120">
        <f t="shared" si="2"/>
        <v>7.819276138853951E-5</v>
      </c>
      <c r="AD8" s="120">
        <f t="shared" si="2"/>
        <v>7.681950461462298E-5</v>
      </c>
      <c r="AE8" s="120">
        <f t="shared" si="2"/>
        <v>7.5446247840706097E-5</v>
      </c>
      <c r="AF8" s="120">
        <f t="shared" si="2"/>
        <v>7.4072991066789201E-5</v>
      </c>
      <c r="AG8" s="120">
        <f t="shared" si="2"/>
        <v>7.2699734292872698E-5</v>
      </c>
    </row>
    <row r="9" spans="1:33">
      <c r="A9" s="1" t="s">
        <v>320</v>
      </c>
      <c r="B9" s="120">
        <f>B5</f>
        <v>1.2014128651515439E-4</v>
      </c>
      <c r="C9" s="120">
        <f t="shared" ref="C9:AG9" si="3">C5</f>
        <v>1.1817719783587599E-4</v>
      </c>
      <c r="D9" s="120">
        <f t="shared" si="3"/>
        <v>1.1642160694481129E-4</v>
      </c>
      <c r="E9" s="120">
        <f t="shared" si="3"/>
        <v>1.1466601605374701E-4</v>
      </c>
      <c r="F9" s="120">
        <f t="shared" si="3"/>
        <v>1.1291042516268231E-4</v>
      </c>
      <c r="G9" s="120">
        <f t="shared" si="3"/>
        <v>1.1115483427161761E-4</v>
      </c>
      <c r="H9" s="120">
        <f t="shared" si="3"/>
        <v>1.0939924338055294E-4</v>
      </c>
      <c r="I9" s="120">
        <f t="shared" si="3"/>
        <v>1.0764365248948823E-4</v>
      </c>
      <c r="J9" s="120">
        <f t="shared" si="3"/>
        <v>1.0588806159842355E-4</v>
      </c>
      <c r="K9" s="120">
        <f t="shared" si="3"/>
        <v>1.0413247070735926E-4</v>
      </c>
      <c r="L9" s="120">
        <f t="shared" si="3"/>
        <v>1.0237687981629459E-4</v>
      </c>
      <c r="M9" s="120">
        <f t="shared" si="3"/>
        <v>1.0062128892522989E-4</v>
      </c>
      <c r="N9" s="120">
        <f t="shared" si="3"/>
        <v>9.8791612997290999E-5</v>
      </c>
      <c r="O9" s="120">
        <f t="shared" si="3"/>
        <v>9.7418356223374103E-5</v>
      </c>
      <c r="P9" s="120">
        <f t="shared" si="3"/>
        <v>9.6045099449457613E-5</v>
      </c>
      <c r="Q9" s="120">
        <f t="shared" si="3"/>
        <v>9.4671842675540717E-5</v>
      </c>
      <c r="R9" s="120">
        <f t="shared" si="3"/>
        <v>9.3298585901623808E-5</v>
      </c>
      <c r="S9" s="120">
        <f t="shared" si="3"/>
        <v>9.1925329127707305E-5</v>
      </c>
      <c r="T9" s="120">
        <f t="shared" si="3"/>
        <v>9.0552072353790409E-5</v>
      </c>
      <c r="U9" s="120">
        <f t="shared" si="3"/>
        <v>8.9178815579873499E-5</v>
      </c>
      <c r="V9" s="120">
        <f t="shared" si="3"/>
        <v>8.7805558805956996E-5</v>
      </c>
      <c r="W9" s="120">
        <f t="shared" si="3"/>
        <v>8.64323020320401E-5</v>
      </c>
      <c r="X9" s="120">
        <f t="shared" si="3"/>
        <v>8.5059045258123217E-5</v>
      </c>
      <c r="Y9" s="120">
        <f t="shared" si="3"/>
        <v>8.3685788484206714E-5</v>
      </c>
      <c r="Z9" s="120">
        <f t="shared" si="3"/>
        <v>8.2312531710289791E-5</v>
      </c>
      <c r="AA9" s="120">
        <f t="shared" si="3"/>
        <v>8.0939274936373288E-5</v>
      </c>
      <c r="AB9" s="120">
        <f t="shared" si="3"/>
        <v>7.9566018162456406E-5</v>
      </c>
      <c r="AC9" s="120">
        <f t="shared" si="3"/>
        <v>7.819276138853951E-5</v>
      </c>
      <c r="AD9" s="120">
        <f t="shared" si="3"/>
        <v>7.681950461462298E-5</v>
      </c>
      <c r="AE9" s="120">
        <f t="shared" si="3"/>
        <v>7.5446247840706097E-5</v>
      </c>
      <c r="AF9" s="120">
        <f t="shared" si="3"/>
        <v>7.4072991066789201E-5</v>
      </c>
      <c r="AG9" s="120">
        <f t="shared" si="3"/>
        <v>7.2699734292872698E-5</v>
      </c>
    </row>
    <row r="10" spans="1:33">
      <c r="A10" s="1" t="s">
        <v>321</v>
      </c>
      <c r="B10" s="120">
        <f>B4</f>
        <v>1.1922642736154889E-4</v>
      </c>
      <c r="C10" s="120">
        <f t="shared" ref="C10:AG10" si="4">C4</f>
        <v>1.1726233868227049E-4</v>
      </c>
      <c r="D10" s="120">
        <f t="shared" si="4"/>
        <v>1.1550674779120579E-4</v>
      </c>
      <c r="E10" s="120">
        <f t="shared" si="4"/>
        <v>1.1375115690014151E-4</v>
      </c>
      <c r="F10" s="120">
        <f t="shared" si="4"/>
        <v>1.1199556600907681E-4</v>
      </c>
      <c r="G10" s="120">
        <f t="shared" si="4"/>
        <v>1.1023997511801212E-4</v>
      </c>
      <c r="H10" s="120">
        <f t="shared" si="4"/>
        <v>1.0848438422694745E-4</v>
      </c>
      <c r="I10" s="120">
        <f t="shared" si="4"/>
        <v>1.0672879333588274E-4</v>
      </c>
      <c r="J10" s="120">
        <f t="shared" si="4"/>
        <v>1.0497320244481804E-4</v>
      </c>
      <c r="K10" s="120">
        <f t="shared" si="4"/>
        <v>1.0321761155375376E-4</v>
      </c>
      <c r="L10" s="120">
        <f t="shared" si="4"/>
        <v>1.0146202066268909E-4</v>
      </c>
      <c r="M10" s="120">
        <f t="shared" si="4"/>
        <v>9.9706429771624386E-5</v>
      </c>
      <c r="N10" s="120">
        <f t="shared" si="4"/>
        <v>9.787675384368551E-5</v>
      </c>
      <c r="O10" s="120">
        <f t="shared" si="4"/>
        <v>9.6503497069768613E-5</v>
      </c>
      <c r="P10" s="120">
        <f t="shared" si="4"/>
        <v>9.513024029585211E-5</v>
      </c>
      <c r="Q10" s="120">
        <f t="shared" si="4"/>
        <v>9.3756983521935228E-5</v>
      </c>
      <c r="R10" s="120">
        <f t="shared" si="4"/>
        <v>9.2383726748018305E-5</v>
      </c>
      <c r="S10" s="120">
        <f t="shared" si="4"/>
        <v>9.1010469974101802E-5</v>
      </c>
      <c r="T10" s="120">
        <f t="shared" si="4"/>
        <v>8.9637213200184919E-5</v>
      </c>
      <c r="U10" s="120">
        <f t="shared" si="4"/>
        <v>8.8263956426267996E-5</v>
      </c>
      <c r="V10" s="120">
        <f t="shared" si="4"/>
        <v>8.6890699652351493E-5</v>
      </c>
      <c r="W10" s="120">
        <f t="shared" si="4"/>
        <v>8.551744287843461E-5</v>
      </c>
      <c r="X10" s="120">
        <f t="shared" si="4"/>
        <v>8.4144186104517714E-5</v>
      </c>
      <c r="Y10" s="120">
        <f t="shared" si="4"/>
        <v>8.2770929330601211E-5</v>
      </c>
      <c r="Z10" s="120">
        <f t="shared" si="4"/>
        <v>8.1397672556684302E-5</v>
      </c>
      <c r="AA10" s="120">
        <f t="shared" si="4"/>
        <v>8.0024415782767799E-5</v>
      </c>
      <c r="AB10" s="120">
        <f t="shared" si="4"/>
        <v>7.8651159008850903E-5</v>
      </c>
      <c r="AC10" s="120">
        <f t="shared" si="4"/>
        <v>7.727790223493402E-5</v>
      </c>
      <c r="AD10" s="120">
        <f t="shared" si="4"/>
        <v>7.590464546101749E-5</v>
      </c>
      <c r="AE10" s="120">
        <f t="shared" si="4"/>
        <v>7.4531388687100594E-5</v>
      </c>
      <c r="AF10" s="120">
        <f t="shared" si="4"/>
        <v>7.3158131913183711E-5</v>
      </c>
      <c r="AG10" s="120">
        <f t="shared" si="4"/>
        <v>7.1784875139267208E-5</v>
      </c>
    </row>
    <row r="11" spans="1:33">
      <c r="A11" s="1" t="s">
        <v>322</v>
      </c>
      <c r="B11" s="120">
        <f>B4</f>
        <v>1.1922642736154889E-4</v>
      </c>
      <c r="C11" s="120">
        <f t="shared" ref="C11:AG11" si="5">C4</f>
        <v>1.1726233868227049E-4</v>
      </c>
      <c r="D11" s="120">
        <f t="shared" si="5"/>
        <v>1.1550674779120579E-4</v>
      </c>
      <c r="E11" s="120">
        <f t="shared" si="5"/>
        <v>1.1375115690014151E-4</v>
      </c>
      <c r="F11" s="120">
        <f t="shared" si="5"/>
        <v>1.1199556600907681E-4</v>
      </c>
      <c r="G11" s="120">
        <f t="shared" si="5"/>
        <v>1.1023997511801212E-4</v>
      </c>
      <c r="H11" s="120">
        <f t="shared" si="5"/>
        <v>1.0848438422694745E-4</v>
      </c>
      <c r="I11" s="120">
        <f t="shared" si="5"/>
        <v>1.0672879333588274E-4</v>
      </c>
      <c r="J11" s="120">
        <f t="shared" si="5"/>
        <v>1.0497320244481804E-4</v>
      </c>
      <c r="K11" s="120">
        <f t="shared" si="5"/>
        <v>1.0321761155375376E-4</v>
      </c>
      <c r="L11" s="120">
        <f t="shared" si="5"/>
        <v>1.0146202066268909E-4</v>
      </c>
      <c r="M11" s="120">
        <f t="shared" si="5"/>
        <v>9.9706429771624386E-5</v>
      </c>
      <c r="N11" s="120">
        <f t="shared" si="5"/>
        <v>9.787675384368551E-5</v>
      </c>
      <c r="O11" s="120">
        <f t="shared" si="5"/>
        <v>9.6503497069768613E-5</v>
      </c>
      <c r="P11" s="120">
        <f t="shared" si="5"/>
        <v>9.513024029585211E-5</v>
      </c>
      <c r="Q11" s="120">
        <f t="shared" si="5"/>
        <v>9.3756983521935228E-5</v>
      </c>
      <c r="R11" s="120">
        <f t="shared" si="5"/>
        <v>9.2383726748018305E-5</v>
      </c>
      <c r="S11" s="120">
        <f t="shared" si="5"/>
        <v>9.1010469974101802E-5</v>
      </c>
      <c r="T11" s="120">
        <f t="shared" si="5"/>
        <v>8.9637213200184919E-5</v>
      </c>
      <c r="U11" s="120">
        <f t="shared" si="5"/>
        <v>8.8263956426267996E-5</v>
      </c>
      <c r="V11" s="120">
        <f t="shared" si="5"/>
        <v>8.6890699652351493E-5</v>
      </c>
      <c r="W11" s="120">
        <f t="shared" si="5"/>
        <v>8.551744287843461E-5</v>
      </c>
      <c r="X11" s="120">
        <f t="shared" si="5"/>
        <v>8.4144186104517714E-5</v>
      </c>
      <c r="Y11" s="120">
        <f t="shared" si="5"/>
        <v>8.2770929330601211E-5</v>
      </c>
      <c r="Z11" s="120">
        <f t="shared" si="5"/>
        <v>8.1397672556684302E-5</v>
      </c>
      <c r="AA11" s="120">
        <f t="shared" si="5"/>
        <v>8.0024415782767799E-5</v>
      </c>
      <c r="AB11" s="120">
        <f t="shared" si="5"/>
        <v>7.8651159008850903E-5</v>
      </c>
      <c r="AC11" s="120">
        <f t="shared" si="5"/>
        <v>7.727790223493402E-5</v>
      </c>
      <c r="AD11" s="120">
        <f t="shared" si="5"/>
        <v>7.590464546101749E-5</v>
      </c>
      <c r="AE11" s="120">
        <f t="shared" si="5"/>
        <v>7.4531388687100594E-5</v>
      </c>
      <c r="AF11" s="120">
        <f t="shared" si="5"/>
        <v>7.3158131913183711E-5</v>
      </c>
      <c r="AG11" s="120">
        <f t="shared" si="5"/>
        <v>7.1784875139267208E-5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1:AG11"/>
  <sheetViews>
    <sheetView tabSelected="1" topLeftCell="Z1" zoomScaleNormal="100" workbookViewId="0">
      <selection activeCell="AI14" sqref="AI14"/>
    </sheetView>
  </sheetViews>
  <sheetFormatPr defaultRowHeight="14.5"/>
  <cols>
    <col min="1" max="1" width="29.81640625" customWidth="1"/>
    <col min="2" max="33" width="10" customWidth="1"/>
  </cols>
  <sheetData>
    <row r="1" spans="1:33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</row>
    <row r="3" spans="1:33">
      <c r="A3" s="1" t="s">
        <v>316</v>
      </c>
      <c r="B3" s="120">
        <f>B4</f>
        <v>1.1922642736154889E-4</v>
      </c>
      <c r="C3" s="120">
        <f t="shared" ref="C3:AG3" si="0">C4</f>
        <v>1.1726233868227049E-4</v>
      </c>
      <c r="D3" s="120">
        <f t="shared" si="0"/>
        <v>1.1550674779120579E-4</v>
      </c>
      <c r="E3" s="120">
        <f t="shared" si="0"/>
        <v>1.1375115690014151E-4</v>
      </c>
      <c r="F3" s="120">
        <f t="shared" si="0"/>
        <v>1.1199556600907681E-4</v>
      </c>
      <c r="G3" s="120">
        <f t="shared" si="0"/>
        <v>1.1023997511801212E-4</v>
      </c>
      <c r="H3" s="120">
        <f t="shared" si="0"/>
        <v>1.0848438422694745E-4</v>
      </c>
      <c r="I3" s="120">
        <f t="shared" si="0"/>
        <v>1.0672879333588274E-4</v>
      </c>
      <c r="J3" s="120">
        <f t="shared" si="0"/>
        <v>1.0497320244481804E-4</v>
      </c>
      <c r="K3" s="120">
        <f t="shared" si="0"/>
        <v>1.0321761155375376E-4</v>
      </c>
      <c r="L3" s="120">
        <f t="shared" si="0"/>
        <v>1.0146202066268909E-4</v>
      </c>
      <c r="M3" s="120">
        <f t="shared" si="0"/>
        <v>9.9706429771624386E-5</v>
      </c>
      <c r="N3" s="120">
        <f t="shared" si="0"/>
        <v>9.787675384368551E-5</v>
      </c>
      <c r="O3" s="120">
        <f t="shared" si="0"/>
        <v>9.6503497069768613E-5</v>
      </c>
      <c r="P3" s="120">
        <f t="shared" si="0"/>
        <v>9.513024029585211E-5</v>
      </c>
      <c r="Q3" s="120">
        <f t="shared" si="0"/>
        <v>9.3756983521935228E-5</v>
      </c>
      <c r="R3" s="120">
        <f t="shared" si="0"/>
        <v>9.2383726748018305E-5</v>
      </c>
      <c r="S3" s="120">
        <f t="shared" si="0"/>
        <v>9.1010469974101802E-5</v>
      </c>
      <c r="T3" s="120">
        <f t="shared" si="0"/>
        <v>8.9637213200184919E-5</v>
      </c>
      <c r="U3" s="120">
        <f t="shared" si="0"/>
        <v>8.8263956426267996E-5</v>
      </c>
      <c r="V3" s="120">
        <f t="shared" si="0"/>
        <v>8.6890699652351493E-5</v>
      </c>
      <c r="W3" s="120">
        <f t="shared" si="0"/>
        <v>8.551744287843461E-5</v>
      </c>
      <c r="X3" s="120">
        <f t="shared" si="0"/>
        <v>8.4144186104517714E-5</v>
      </c>
      <c r="Y3" s="120">
        <f t="shared" si="0"/>
        <v>8.2770929330601211E-5</v>
      </c>
      <c r="Z3" s="120">
        <f t="shared" si="0"/>
        <v>8.1397672556684302E-5</v>
      </c>
      <c r="AA3" s="120">
        <f t="shared" si="0"/>
        <v>8.0024415782767799E-5</v>
      </c>
      <c r="AB3" s="120">
        <f t="shared" si="0"/>
        <v>7.8651159008850903E-5</v>
      </c>
      <c r="AC3" s="120">
        <f t="shared" si="0"/>
        <v>7.727790223493402E-5</v>
      </c>
      <c r="AD3" s="120">
        <f t="shared" si="0"/>
        <v>7.590464546101749E-5</v>
      </c>
      <c r="AE3" s="120">
        <f t="shared" si="0"/>
        <v>7.4531388687100594E-5</v>
      </c>
      <c r="AF3" s="120">
        <f t="shared" si="0"/>
        <v>7.3158131913183711E-5</v>
      </c>
      <c r="AG3" s="120">
        <f t="shared" si="0"/>
        <v>7.1784875139267208E-5</v>
      </c>
    </row>
    <row r="4" spans="1:33">
      <c r="A4" s="1" t="s">
        <v>13</v>
      </c>
      <c r="B4" s="106">
        <f>Calculations!B78</f>
        <v>1.1922642736154889E-4</v>
      </c>
      <c r="C4" s="106">
        <f>Calculations!C78</f>
        <v>1.1726233868227049E-4</v>
      </c>
      <c r="D4" s="106">
        <f>Calculations!D78</f>
        <v>1.1550674779120579E-4</v>
      </c>
      <c r="E4" s="106">
        <f>Calculations!E78</f>
        <v>1.1375115690014151E-4</v>
      </c>
      <c r="F4" s="106">
        <f>Calculations!F78</f>
        <v>1.1199556600907681E-4</v>
      </c>
      <c r="G4" s="106">
        <f>Calculations!G78</f>
        <v>1.1023997511801212E-4</v>
      </c>
      <c r="H4" s="106">
        <f>Calculations!H78</f>
        <v>1.0848438422694745E-4</v>
      </c>
      <c r="I4" s="106">
        <f>Calculations!I78</f>
        <v>1.0672879333588274E-4</v>
      </c>
      <c r="J4" s="106">
        <f>Calculations!J78</f>
        <v>1.0497320244481804E-4</v>
      </c>
      <c r="K4" s="106">
        <f>Calculations!K78</f>
        <v>1.0321761155375376E-4</v>
      </c>
      <c r="L4" s="106">
        <f>Calculations!L78</f>
        <v>1.0146202066268909E-4</v>
      </c>
      <c r="M4" s="106">
        <f>Calculations!M78</f>
        <v>9.9706429771624386E-5</v>
      </c>
      <c r="N4" s="106">
        <f>Calculations!N78</f>
        <v>9.787675384368551E-5</v>
      </c>
      <c r="O4" s="106">
        <f>Calculations!O78</f>
        <v>9.6503497069768613E-5</v>
      </c>
      <c r="P4" s="106">
        <f>Calculations!P78</f>
        <v>9.513024029585211E-5</v>
      </c>
      <c r="Q4" s="106">
        <f>Calculations!Q78</f>
        <v>9.3756983521935228E-5</v>
      </c>
      <c r="R4" s="106">
        <f>Calculations!R78</f>
        <v>9.2383726748018305E-5</v>
      </c>
      <c r="S4" s="106">
        <f>Calculations!S78</f>
        <v>9.1010469974101802E-5</v>
      </c>
      <c r="T4" s="106">
        <f>Calculations!T78</f>
        <v>8.9637213200184919E-5</v>
      </c>
      <c r="U4" s="106">
        <f>Calculations!U78</f>
        <v>8.8263956426267996E-5</v>
      </c>
      <c r="V4" s="106">
        <f>Calculations!V78</f>
        <v>8.6890699652351493E-5</v>
      </c>
      <c r="W4" s="106">
        <f>Calculations!W78</f>
        <v>8.551744287843461E-5</v>
      </c>
      <c r="X4" s="106">
        <f>Calculations!X78</f>
        <v>8.4144186104517714E-5</v>
      </c>
      <c r="Y4" s="106">
        <f>Calculations!Y78</f>
        <v>8.2770929330601211E-5</v>
      </c>
      <c r="Z4" s="106">
        <f>Calculations!Z78</f>
        <v>8.1397672556684302E-5</v>
      </c>
      <c r="AA4" s="106">
        <f>Calculations!AA78</f>
        <v>8.0024415782767799E-5</v>
      </c>
      <c r="AB4" s="106">
        <f>Calculations!AB78</f>
        <v>7.8651159008850903E-5</v>
      </c>
      <c r="AC4" s="106">
        <f>Calculations!AC78</f>
        <v>7.727790223493402E-5</v>
      </c>
      <c r="AD4" s="106">
        <f>Calculations!AD78</f>
        <v>7.590464546101749E-5</v>
      </c>
      <c r="AE4" s="106">
        <f>Calculations!AE78</f>
        <v>7.4531388687100594E-5</v>
      </c>
      <c r="AF4" s="106">
        <f>Calculations!AF78</f>
        <v>7.3158131913183711E-5</v>
      </c>
      <c r="AG4" s="106">
        <f>Calculations!AG78</f>
        <v>7.1784875139267208E-5</v>
      </c>
    </row>
    <row r="5" spans="1:33">
      <c r="A5" s="1" t="s">
        <v>317</v>
      </c>
      <c r="B5" s="106">
        <f>Calculations!B79</f>
        <v>1.2014128651515439E-4</v>
      </c>
      <c r="C5" s="106">
        <f>Calculations!C79</f>
        <v>1.1817719783587599E-4</v>
      </c>
      <c r="D5" s="106">
        <f>Calculations!D79</f>
        <v>1.1642160694481129E-4</v>
      </c>
      <c r="E5" s="106">
        <f>Calculations!E79</f>
        <v>1.1466601605374701E-4</v>
      </c>
      <c r="F5" s="106">
        <f>Calculations!F79</f>
        <v>1.1291042516268231E-4</v>
      </c>
      <c r="G5" s="106">
        <f>Calculations!G79</f>
        <v>1.1115483427161761E-4</v>
      </c>
      <c r="H5" s="106">
        <f>Calculations!H79</f>
        <v>1.0939924338055294E-4</v>
      </c>
      <c r="I5" s="106">
        <f>Calculations!I79</f>
        <v>1.0764365248948823E-4</v>
      </c>
      <c r="J5" s="106">
        <f>Calculations!J79</f>
        <v>1.0588806159842355E-4</v>
      </c>
      <c r="K5" s="106">
        <f>Calculations!K79</f>
        <v>1.0413247070735926E-4</v>
      </c>
      <c r="L5" s="106">
        <f>Calculations!L79</f>
        <v>1.0237687981629459E-4</v>
      </c>
      <c r="M5" s="106">
        <f>Calculations!M79</f>
        <v>1.0062128892522989E-4</v>
      </c>
      <c r="N5" s="106">
        <f>Calculations!N79</f>
        <v>9.8791612997290999E-5</v>
      </c>
      <c r="O5" s="106">
        <f>Calculations!O79</f>
        <v>9.7418356223374103E-5</v>
      </c>
      <c r="P5" s="106">
        <f>Calculations!P79</f>
        <v>9.6045099449457613E-5</v>
      </c>
      <c r="Q5" s="106">
        <f>Calculations!Q79</f>
        <v>9.4671842675540717E-5</v>
      </c>
      <c r="R5" s="106">
        <f>Calculations!R79</f>
        <v>9.3298585901623808E-5</v>
      </c>
      <c r="S5" s="106">
        <f>Calculations!S79</f>
        <v>9.1925329127707305E-5</v>
      </c>
      <c r="T5" s="106">
        <f>Calculations!T79</f>
        <v>9.0552072353790409E-5</v>
      </c>
      <c r="U5" s="106">
        <f>Calculations!U79</f>
        <v>8.9178815579873499E-5</v>
      </c>
      <c r="V5" s="106">
        <f>Calculations!V79</f>
        <v>8.7805558805956996E-5</v>
      </c>
      <c r="W5" s="106">
        <f>Calculations!W79</f>
        <v>8.64323020320401E-5</v>
      </c>
      <c r="X5" s="106">
        <f>Calculations!X79</f>
        <v>8.5059045258123217E-5</v>
      </c>
      <c r="Y5" s="106">
        <f>Calculations!Y79</f>
        <v>8.3685788484206714E-5</v>
      </c>
      <c r="Z5" s="106">
        <f>Calculations!Z79</f>
        <v>8.2312531710289791E-5</v>
      </c>
      <c r="AA5" s="106">
        <f>Calculations!AA79</f>
        <v>8.0939274936373288E-5</v>
      </c>
      <c r="AB5" s="106">
        <f>Calculations!AB79</f>
        <v>7.9566018162456406E-5</v>
      </c>
      <c r="AC5" s="106">
        <f>Calculations!AC79</f>
        <v>7.819276138853951E-5</v>
      </c>
      <c r="AD5" s="106">
        <f>Calculations!AD79</f>
        <v>7.681950461462298E-5</v>
      </c>
      <c r="AE5" s="106">
        <f>Calculations!AE79</f>
        <v>7.5446247840706097E-5</v>
      </c>
      <c r="AF5" s="106">
        <f>Calculations!AF79</f>
        <v>7.4072991066789201E-5</v>
      </c>
      <c r="AG5" s="106">
        <f>Calculations!AG79</f>
        <v>7.2699734292872698E-5</v>
      </c>
    </row>
    <row r="6" spans="1:33">
      <c r="A6" s="1" t="s">
        <v>318</v>
      </c>
      <c r="B6" s="120">
        <f>B4</f>
        <v>1.1922642736154889E-4</v>
      </c>
      <c r="C6" s="120">
        <f t="shared" ref="C6:AG7" si="1">C4</f>
        <v>1.1726233868227049E-4</v>
      </c>
      <c r="D6" s="120">
        <f t="shared" si="1"/>
        <v>1.1550674779120579E-4</v>
      </c>
      <c r="E6" s="120">
        <f t="shared" si="1"/>
        <v>1.1375115690014151E-4</v>
      </c>
      <c r="F6" s="120">
        <f t="shared" si="1"/>
        <v>1.1199556600907681E-4</v>
      </c>
      <c r="G6" s="120">
        <f t="shared" si="1"/>
        <v>1.1023997511801212E-4</v>
      </c>
      <c r="H6" s="120">
        <f t="shared" si="1"/>
        <v>1.0848438422694745E-4</v>
      </c>
      <c r="I6" s="120">
        <f t="shared" si="1"/>
        <v>1.0672879333588274E-4</v>
      </c>
      <c r="J6" s="120">
        <f t="shared" si="1"/>
        <v>1.0497320244481804E-4</v>
      </c>
      <c r="K6" s="120">
        <f t="shared" si="1"/>
        <v>1.0321761155375376E-4</v>
      </c>
      <c r="L6" s="120">
        <f t="shared" si="1"/>
        <v>1.0146202066268909E-4</v>
      </c>
      <c r="M6" s="120">
        <f t="shared" si="1"/>
        <v>9.9706429771624386E-5</v>
      </c>
      <c r="N6" s="120">
        <f t="shared" si="1"/>
        <v>9.787675384368551E-5</v>
      </c>
      <c r="O6" s="120">
        <f t="shared" si="1"/>
        <v>9.6503497069768613E-5</v>
      </c>
      <c r="P6" s="120">
        <f t="shared" si="1"/>
        <v>9.513024029585211E-5</v>
      </c>
      <c r="Q6" s="120">
        <f t="shared" si="1"/>
        <v>9.3756983521935228E-5</v>
      </c>
      <c r="R6" s="120">
        <f t="shared" si="1"/>
        <v>9.2383726748018305E-5</v>
      </c>
      <c r="S6" s="120">
        <f t="shared" si="1"/>
        <v>9.1010469974101802E-5</v>
      </c>
      <c r="T6" s="120">
        <f t="shared" si="1"/>
        <v>8.9637213200184919E-5</v>
      </c>
      <c r="U6" s="120">
        <f t="shared" si="1"/>
        <v>8.8263956426267996E-5</v>
      </c>
      <c r="V6" s="120">
        <f t="shared" si="1"/>
        <v>8.6890699652351493E-5</v>
      </c>
      <c r="W6" s="120">
        <f t="shared" si="1"/>
        <v>8.551744287843461E-5</v>
      </c>
      <c r="X6" s="120">
        <f t="shared" si="1"/>
        <v>8.4144186104517714E-5</v>
      </c>
      <c r="Y6" s="120">
        <f t="shared" si="1"/>
        <v>8.2770929330601211E-5</v>
      </c>
      <c r="Z6" s="120">
        <f t="shared" si="1"/>
        <v>8.1397672556684302E-5</v>
      </c>
      <c r="AA6" s="120">
        <f t="shared" si="1"/>
        <v>8.0024415782767799E-5</v>
      </c>
      <c r="AB6" s="120">
        <f t="shared" si="1"/>
        <v>7.8651159008850903E-5</v>
      </c>
      <c r="AC6" s="120">
        <f t="shared" si="1"/>
        <v>7.727790223493402E-5</v>
      </c>
      <c r="AD6" s="120">
        <f t="shared" si="1"/>
        <v>7.590464546101749E-5</v>
      </c>
      <c r="AE6" s="120">
        <f t="shared" si="1"/>
        <v>7.4531388687100594E-5</v>
      </c>
      <c r="AF6" s="120">
        <f t="shared" si="1"/>
        <v>7.3158131913183711E-5</v>
      </c>
      <c r="AG6" s="120">
        <f t="shared" si="1"/>
        <v>7.1784875139267208E-5</v>
      </c>
    </row>
    <row r="7" spans="1:33">
      <c r="A7" s="1" t="s">
        <v>207</v>
      </c>
      <c r="B7" s="120">
        <f>B5</f>
        <v>1.2014128651515439E-4</v>
      </c>
      <c r="C7" s="120">
        <f t="shared" si="1"/>
        <v>1.1817719783587599E-4</v>
      </c>
      <c r="D7" s="120">
        <f t="shared" si="1"/>
        <v>1.1642160694481129E-4</v>
      </c>
      <c r="E7" s="120">
        <f t="shared" si="1"/>
        <v>1.1466601605374701E-4</v>
      </c>
      <c r="F7" s="120">
        <f t="shared" si="1"/>
        <v>1.1291042516268231E-4</v>
      </c>
      <c r="G7" s="120">
        <f t="shared" si="1"/>
        <v>1.1115483427161761E-4</v>
      </c>
      <c r="H7" s="120">
        <f t="shared" si="1"/>
        <v>1.0939924338055294E-4</v>
      </c>
      <c r="I7" s="120">
        <f t="shared" si="1"/>
        <v>1.0764365248948823E-4</v>
      </c>
      <c r="J7" s="120">
        <f t="shared" si="1"/>
        <v>1.0588806159842355E-4</v>
      </c>
      <c r="K7" s="120">
        <f t="shared" si="1"/>
        <v>1.0413247070735926E-4</v>
      </c>
      <c r="L7" s="120">
        <f t="shared" si="1"/>
        <v>1.0237687981629459E-4</v>
      </c>
      <c r="M7" s="120">
        <f t="shared" si="1"/>
        <v>1.0062128892522989E-4</v>
      </c>
      <c r="N7" s="120">
        <f t="shared" si="1"/>
        <v>9.8791612997290999E-5</v>
      </c>
      <c r="O7" s="120">
        <f t="shared" si="1"/>
        <v>9.7418356223374103E-5</v>
      </c>
      <c r="P7" s="120">
        <f t="shared" si="1"/>
        <v>9.6045099449457613E-5</v>
      </c>
      <c r="Q7" s="120">
        <f t="shared" si="1"/>
        <v>9.4671842675540717E-5</v>
      </c>
      <c r="R7" s="120">
        <f t="shared" si="1"/>
        <v>9.3298585901623808E-5</v>
      </c>
      <c r="S7" s="120">
        <f t="shared" si="1"/>
        <v>9.1925329127707305E-5</v>
      </c>
      <c r="T7" s="120">
        <f t="shared" si="1"/>
        <v>9.0552072353790409E-5</v>
      </c>
      <c r="U7" s="120">
        <f t="shared" si="1"/>
        <v>8.9178815579873499E-5</v>
      </c>
      <c r="V7" s="120">
        <f t="shared" si="1"/>
        <v>8.7805558805956996E-5</v>
      </c>
      <c r="W7" s="120">
        <f t="shared" si="1"/>
        <v>8.64323020320401E-5</v>
      </c>
      <c r="X7" s="120">
        <f t="shared" si="1"/>
        <v>8.5059045258123217E-5</v>
      </c>
      <c r="Y7" s="120">
        <f t="shared" si="1"/>
        <v>8.3685788484206714E-5</v>
      </c>
      <c r="Z7" s="120">
        <f t="shared" si="1"/>
        <v>8.2312531710289791E-5</v>
      </c>
      <c r="AA7" s="120">
        <f t="shared" si="1"/>
        <v>8.0939274936373288E-5</v>
      </c>
      <c r="AB7" s="120">
        <f t="shared" si="1"/>
        <v>7.9566018162456406E-5</v>
      </c>
      <c r="AC7" s="120">
        <f t="shared" si="1"/>
        <v>7.819276138853951E-5</v>
      </c>
      <c r="AD7" s="120">
        <f t="shared" si="1"/>
        <v>7.681950461462298E-5</v>
      </c>
      <c r="AE7" s="120">
        <f t="shared" si="1"/>
        <v>7.5446247840706097E-5</v>
      </c>
      <c r="AF7" s="120">
        <f t="shared" si="1"/>
        <v>7.4072991066789201E-5</v>
      </c>
      <c r="AG7" s="120">
        <f t="shared" si="1"/>
        <v>7.2699734292872698E-5</v>
      </c>
    </row>
    <row r="8" spans="1:33">
      <c r="A8" s="1" t="s">
        <v>319</v>
      </c>
      <c r="B8" s="120">
        <f>B5</f>
        <v>1.2014128651515439E-4</v>
      </c>
      <c r="C8" s="120">
        <f t="shared" ref="C8:AG8" si="2">C5</f>
        <v>1.1817719783587599E-4</v>
      </c>
      <c r="D8" s="120">
        <f t="shared" si="2"/>
        <v>1.1642160694481129E-4</v>
      </c>
      <c r="E8" s="120">
        <f t="shared" si="2"/>
        <v>1.1466601605374701E-4</v>
      </c>
      <c r="F8" s="120">
        <f t="shared" si="2"/>
        <v>1.1291042516268231E-4</v>
      </c>
      <c r="G8" s="120">
        <f t="shared" si="2"/>
        <v>1.1115483427161761E-4</v>
      </c>
      <c r="H8" s="120">
        <f t="shared" si="2"/>
        <v>1.0939924338055294E-4</v>
      </c>
      <c r="I8" s="120">
        <f t="shared" si="2"/>
        <v>1.0764365248948823E-4</v>
      </c>
      <c r="J8" s="120">
        <f t="shared" si="2"/>
        <v>1.0588806159842355E-4</v>
      </c>
      <c r="K8" s="120">
        <f t="shared" si="2"/>
        <v>1.0413247070735926E-4</v>
      </c>
      <c r="L8" s="120">
        <f t="shared" si="2"/>
        <v>1.0237687981629459E-4</v>
      </c>
      <c r="M8" s="120">
        <f t="shared" si="2"/>
        <v>1.0062128892522989E-4</v>
      </c>
      <c r="N8" s="120">
        <f t="shared" si="2"/>
        <v>9.8791612997290999E-5</v>
      </c>
      <c r="O8" s="120">
        <f t="shared" si="2"/>
        <v>9.7418356223374103E-5</v>
      </c>
      <c r="P8" s="120">
        <f t="shared" si="2"/>
        <v>9.6045099449457613E-5</v>
      </c>
      <c r="Q8" s="120">
        <f t="shared" si="2"/>
        <v>9.4671842675540717E-5</v>
      </c>
      <c r="R8" s="120">
        <f t="shared" si="2"/>
        <v>9.3298585901623808E-5</v>
      </c>
      <c r="S8" s="120">
        <f t="shared" si="2"/>
        <v>9.1925329127707305E-5</v>
      </c>
      <c r="T8" s="120">
        <f t="shared" si="2"/>
        <v>9.0552072353790409E-5</v>
      </c>
      <c r="U8" s="120">
        <f t="shared" si="2"/>
        <v>8.9178815579873499E-5</v>
      </c>
      <c r="V8" s="120">
        <f t="shared" si="2"/>
        <v>8.7805558805956996E-5</v>
      </c>
      <c r="W8" s="120">
        <f t="shared" si="2"/>
        <v>8.64323020320401E-5</v>
      </c>
      <c r="X8" s="120">
        <f t="shared" si="2"/>
        <v>8.5059045258123217E-5</v>
      </c>
      <c r="Y8" s="120">
        <f t="shared" si="2"/>
        <v>8.3685788484206714E-5</v>
      </c>
      <c r="Z8" s="120">
        <f t="shared" si="2"/>
        <v>8.2312531710289791E-5</v>
      </c>
      <c r="AA8" s="120">
        <f t="shared" si="2"/>
        <v>8.0939274936373288E-5</v>
      </c>
      <c r="AB8" s="120">
        <f t="shared" si="2"/>
        <v>7.9566018162456406E-5</v>
      </c>
      <c r="AC8" s="120">
        <f t="shared" si="2"/>
        <v>7.819276138853951E-5</v>
      </c>
      <c r="AD8" s="120">
        <f t="shared" si="2"/>
        <v>7.681950461462298E-5</v>
      </c>
      <c r="AE8" s="120">
        <f t="shared" si="2"/>
        <v>7.5446247840706097E-5</v>
      </c>
      <c r="AF8" s="120">
        <f t="shared" si="2"/>
        <v>7.4072991066789201E-5</v>
      </c>
      <c r="AG8" s="120">
        <f t="shared" si="2"/>
        <v>7.2699734292872698E-5</v>
      </c>
    </row>
    <row r="9" spans="1:33">
      <c r="A9" s="1" t="s">
        <v>320</v>
      </c>
      <c r="B9" s="120">
        <f>B5</f>
        <v>1.2014128651515439E-4</v>
      </c>
      <c r="C9" s="120">
        <f t="shared" ref="C9:AG9" si="3">C5</f>
        <v>1.1817719783587599E-4</v>
      </c>
      <c r="D9" s="120">
        <f t="shared" si="3"/>
        <v>1.1642160694481129E-4</v>
      </c>
      <c r="E9" s="120">
        <f t="shared" si="3"/>
        <v>1.1466601605374701E-4</v>
      </c>
      <c r="F9" s="120">
        <f t="shared" si="3"/>
        <v>1.1291042516268231E-4</v>
      </c>
      <c r="G9" s="120">
        <f t="shared" si="3"/>
        <v>1.1115483427161761E-4</v>
      </c>
      <c r="H9" s="120">
        <f t="shared" si="3"/>
        <v>1.0939924338055294E-4</v>
      </c>
      <c r="I9" s="120">
        <f t="shared" si="3"/>
        <v>1.0764365248948823E-4</v>
      </c>
      <c r="J9" s="120">
        <f t="shared" si="3"/>
        <v>1.0588806159842355E-4</v>
      </c>
      <c r="K9" s="120">
        <f t="shared" si="3"/>
        <v>1.0413247070735926E-4</v>
      </c>
      <c r="L9" s="120">
        <f t="shared" si="3"/>
        <v>1.0237687981629459E-4</v>
      </c>
      <c r="M9" s="120">
        <f t="shared" si="3"/>
        <v>1.0062128892522989E-4</v>
      </c>
      <c r="N9" s="120">
        <f t="shared" si="3"/>
        <v>9.8791612997290999E-5</v>
      </c>
      <c r="O9" s="120">
        <f t="shared" si="3"/>
        <v>9.7418356223374103E-5</v>
      </c>
      <c r="P9" s="120">
        <f t="shared" si="3"/>
        <v>9.6045099449457613E-5</v>
      </c>
      <c r="Q9" s="120">
        <f t="shared" si="3"/>
        <v>9.4671842675540717E-5</v>
      </c>
      <c r="R9" s="120">
        <f t="shared" si="3"/>
        <v>9.3298585901623808E-5</v>
      </c>
      <c r="S9" s="120">
        <f t="shared" si="3"/>
        <v>9.1925329127707305E-5</v>
      </c>
      <c r="T9" s="120">
        <f t="shared" si="3"/>
        <v>9.0552072353790409E-5</v>
      </c>
      <c r="U9" s="120">
        <f t="shared" si="3"/>
        <v>8.9178815579873499E-5</v>
      </c>
      <c r="V9" s="120">
        <f t="shared" si="3"/>
        <v>8.7805558805956996E-5</v>
      </c>
      <c r="W9" s="120">
        <f t="shared" si="3"/>
        <v>8.64323020320401E-5</v>
      </c>
      <c r="X9" s="120">
        <f t="shared" si="3"/>
        <v>8.5059045258123217E-5</v>
      </c>
      <c r="Y9" s="120">
        <f t="shared" si="3"/>
        <v>8.3685788484206714E-5</v>
      </c>
      <c r="Z9" s="120">
        <f t="shared" si="3"/>
        <v>8.2312531710289791E-5</v>
      </c>
      <c r="AA9" s="120">
        <f t="shared" si="3"/>
        <v>8.0939274936373288E-5</v>
      </c>
      <c r="AB9" s="120">
        <f t="shared" si="3"/>
        <v>7.9566018162456406E-5</v>
      </c>
      <c r="AC9" s="120">
        <f t="shared" si="3"/>
        <v>7.819276138853951E-5</v>
      </c>
      <c r="AD9" s="120">
        <f t="shared" si="3"/>
        <v>7.681950461462298E-5</v>
      </c>
      <c r="AE9" s="120">
        <f t="shared" si="3"/>
        <v>7.5446247840706097E-5</v>
      </c>
      <c r="AF9" s="120">
        <f t="shared" si="3"/>
        <v>7.4072991066789201E-5</v>
      </c>
      <c r="AG9" s="120">
        <f t="shared" si="3"/>
        <v>7.2699734292872698E-5</v>
      </c>
    </row>
    <row r="10" spans="1:33">
      <c r="A10" s="1" t="s">
        <v>321</v>
      </c>
      <c r="B10" s="120">
        <f>B4</f>
        <v>1.1922642736154889E-4</v>
      </c>
      <c r="C10" s="120">
        <f t="shared" ref="C10:AG10" si="4">C4</f>
        <v>1.1726233868227049E-4</v>
      </c>
      <c r="D10" s="120">
        <f t="shared" si="4"/>
        <v>1.1550674779120579E-4</v>
      </c>
      <c r="E10" s="120">
        <f t="shared" si="4"/>
        <v>1.1375115690014151E-4</v>
      </c>
      <c r="F10" s="120">
        <f t="shared" si="4"/>
        <v>1.1199556600907681E-4</v>
      </c>
      <c r="G10" s="120">
        <f t="shared" si="4"/>
        <v>1.1023997511801212E-4</v>
      </c>
      <c r="H10" s="120">
        <f t="shared" si="4"/>
        <v>1.0848438422694745E-4</v>
      </c>
      <c r="I10" s="120">
        <f t="shared" si="4"/>
        <v>1.0672879333588274E-4</v>
      </c>
      <c r="J10" s="120">
        <f t="shared" si="4"/>
        <v>1.0497320244481804E-4</v>
      </c>
      <c r="K10" s="120">
        <f t="shared" si="4"/>
        <v>1.0321761155375376E-4</v>
      </c>
      <c r="L10" s="120">
        <f t="shared" si="4"/>
        <v>1.0146202066268909E-4</v>
      </c>
      <c r="M10" s="120">
        <f t="shared" si="4"/>
        <v>9.9706429771624386E-5</v>
      </c>
      <c r="N10" s="120">
        <f t="shared" si="4"/>
        <v>9.787675384368551E-5</v>
      </c>
      <c r="O10" s="120">
        <f t="shared" si="4"/>
        <v>9.6503497069768613E-5</v>
      </c>
      <c r="P10" s="120">
        <f t="shared" si="4"/>
        <v>9.513024029585211E-5</v>
      </c>
      <c r="Q10" s="120">
        <f t="shared" si="4"/>
        <v>9.3756983521935228E-5</v>
      </c>
      <c r="R10" s="120">
        <f t="shared" si="4"/>
        <v>9.2383726748018305E-5</v>
      </c>
      <c r="S10" s="120">
        <f t="shared" si="4"/>
        <v>9.1010469974101802E-5</v>
      </c>
      <c r="T10" s="120">
        <f t="shared" si="4"/>
        <v>8.9637213200184919E-5</v>
      </c>
      <c r="U10" s="120">
        <f t="shared" si="4"/>
        <v>8.8263956426267996E-5</v>
      </c>
      <c r="V10" s="120">
        <f t="shared" si="4"/>
        <v>8.6890699652351493E-5</v>
      </c>
      <c r="W10" s="120">
        <f t="shared" si="4"/>
        <v>8.551744287843461E-5</v>
      </c>
      <c r="X10" s="120">
        <f t="shared" si="4"/>
        <v>8.4144186104517714E-5</v>
      </c>
      <c r="Y10" s="120">
        <f t="shared" si="4"/>
        <v>8.2770929330601211E-5</v>
      </c>
      <c r="Z10" s="120">
        <f t="shared" si="4"/>
        <v>8.1397672556684302E-5</v>
      </c>
      <c r="AA10" s="120">
        <f t="shared" si="4"/>
        <v>8.0024415782767799E-5</v>
      </c>
      <c r="AB10" s="120">
        <f t="shared" si="4"/>
        <v>7.8651159008850903E-5</v>
      </c>
      <c r="AC10" s="120">
        <f t="shared" si="4"/>
        <v>7.727790223493402E-5</v>
      </c>
      <c r="AD10" s="120">
        <f t="shared" si="4"/>
        <v>7.590464546101749E-5</v>
      </c>
      <c r="AE10" s="120">
        <f t="shared" si="4"/>
        <v>7.4531388687100594E-5</v>
      </c>
      <c r="AF10" s="120">
        <f t="shared" si="4"/>
        <v>7.3158131913183711E-5</v>
      </c>
      <c r="AG10" s="120">
        <f t="shared" si="4"/>
        <v>7.1784875139267208E-5</v>
      </c>
    </row>
    <row r="11" spans="1:33">
      <c r="A11" s="1" t="s">
        <v>322</v>
      </c>
      <c r="B11" s="120">
        <f>B4</f>
        <v>1.1922642736154889E-4</v>
      </c>
      <c r="C11" s="120">
        <f t="shared" ref="C11:AG11" si="5">C4</f>
        <v>1.1726233868227049E-4</v>
      </c>
      <c r="D11" s="120">
        <f t="shared" si="5"/>
        <v>1.1550674779120579E-4</v>
      </c>
      <c r="E11" s="120">
        <f t="shared" si="5"/>
        <v>1.1375115690014151E-4</v>
      </c>
      <c r="F11" s="120">
        <f t="shared" si="5"/>
        <v>1.1199556600907681E-4</v>
      </c>
      <c r="G11" s="120">
        <f t="shared" si="5"/>
        <v>1.1023997511801212E-4</v>
      </c>
      <c r="H11" s="120">
        <f t="shared" si="5"/>
        <v>1.0848438422694745E-4</v>
      </c>
      <c r="I11" s="120">
        <f t="shared" si="5"/>
        <v>1.0672879333588274E-4</v>
      </c>
      <c r="J11" s="120">
        <f t="shared" si="5"/>
        <v>1.0497320244481804E-4</v>
      </c>
      <c r="K11" s="120">
        <f t="shared" si="5"/>
        <v>1.0321761155375376E-4</v>
      </c>
      <c r="L11" s="120">
        <f t="shared" si="5"/>
        <v>1.0146202066268909E-4</v>
      </c>
      <c r="M11" s="120">
        <f t="shared" si="5"/>
        <v>9.9706429771624386E-5</v>
      </c>
      <c r="N11" s="120">
        <f t="shared" si="5"/>
        <v>9.787675384368551E-5</v>
      </c>
      <c r="O11" s="120">
        <f t="shared" si="5"/>
        <v>9.6503497069768613E-5</v>
      </c>
      <c r="P11" s="120">
        <f t="shared" si="5"/>
        <v>9.513024029585211E-5</v>
      </c>
      <c r="Q11" s="120">
        <f t="shared" si="5"/>
        <v>9.3756983521935228E-5</v>
      </c>
      <c r="R11" s="120">
        <f t="shared" si="5"/>
        <v>9.2383726748018305E-5</v>
      </c>
      <c r="S11" s="120">
        <f t="shared" si="5"/>
        <v>9.1010469974101802E-5</v>
      </c>
      <c r="T11" s="120">
        <f t="shared" si="5"/>
        <v>8.9637213200184919E-5</v>
      </c>
      <c r="U11" s="120">
        <f t="shared" si="5"/>
        <v>8.8263956426267996E-5</v>
      </c>
      <c r="V11" s="120">
        <f t="shared" si="5"/>
        <v>8.6890699652351493E-5</v>
      </c>
      <c r="W11" s="120">
        <f t="shared" si="5"/>
        <v>8.551744287843461E-5</v>
      </c>
      <c r="X11" s="120">
        <f t="shared" si="5"/>
        <v>8.4144186104517714E-5</v>
      </c>
      <c r="Y11" s="120">
        <f t="shared" si="5"/>
        <v>8.2770929330601211E-5</v>
      </c>
      <c r="Z11" s="120">
        <f t="shared" si="5"/>
        <v>8.1397672556684302E-5</v>
      </c>
      <c r="AA11" s="120">
        <f t="shared" si="5"/>
        <v>8.0024415782767799E-5</v>
      </c>
      <c r="AB11" s="120">
        <f t="shared" si="5"/>
        <v>7.8651159008850903E-5</v>
      </c>
      <c r="AC11" s="120">
        <f t="shared" si="5"/>
        <v>7.727790223493402E-5</v>
      </c>
      <c r="AD11" s="120">
        <f t="shared" si="5"/>
        <v>7.590464546101749E-5</v>
      </c>
      <c r="AE11" s="120">
        <f t="shared" si="5"/>
        <v>7.4531388687100594E-5</v>
      </c>
      <c r="AF11" s="120">
        <f t="shared" si="5"/>
        <v>7.3158131913183711E-5</v>
      </c>
      <c r="AG11" s="120">
        <f t="shared" si="5"/>
        <v>7.1784875139267208E-5</v>
      </c>
    </row>
  </sheetData>
  <phoneticPr fontId="2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5D5DE895D8AE54A972C2171818FD093" ma:contentTypeVersion="19" ma:contentTypeDescription="新建文档。" ma:contentTypeScope="" ma:versionID="09d630b7276fc9625605a93267f3b74e">
  <xsd:schema xmlns:xsd="http://www.w3.org/2001/XMLSchema" xmlns:xs="http://www.w3.org/2001/XMLSchema" xmlns:p="http://schemas.microsoft.com/office/2006/metadata/properties" xmlns:ns1="http://schemas.microsoft.com/sharepoint/v3" xmlns:ns2="01f24951-2a3e-4fd5-a813-71a74687f653" xmlns:ns3="80a27e12-bb1f-4e28-b766-51f62aa5c67e" targetNamespace="http://schemas.microsoft.com/office/2006/metadata/properties" ma:root="true" ma:fieldsID="dcfe0f6e5297c37e9bd63728a80b829c" ns1:_="" ns2:_="" ns3:_="">
    <xsd:import namespace="http://schemas.microsoft.com/sharepoint/v3"/>
    <xsd:import namespace="01f24951-2a3e-4fd5-a813-71a74687f653"/>
    <xsd:import namespace="80a27e12-bb1f-4e28-b766-51f62aa5c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24951-2a3e-4fd5-a813-71a74687f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7e12-bb1f-4e28-b766-51f62aa5c6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fc8f95-dcd6-4d49-91dc-ca93cc16fb99}" ma:internalName="TaxCatchAll" ma:showField="CatchAllData" ma:web="80a27e12-bb1f-4e28-b766-51f62aa5c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5D4BD-6D83-4D62-8610-DB78FD61D0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D48E6F-0D96-4A3A-9F31-04BC0D00E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24951-2a3e-4fd5-a813-71a74687f653"/>
    <ds:schemaRef ds:uri="80a27e12-bb1f-4e28-b766-51f62aa5c6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EIA Costs</vt:lpstr>
      <vt:lpstr>EIA AEO Table 4</vt:lpstr>
      <vt:lpstr>EIA AEO Table 21</vt:lpstr>
      <vt:lpstr>NREL EF Table 22</vt:lpstr>
      <vt:lpstr>NREL EF Table 23</vt:lpstr>
      <vt:lpstr>Calculations</vt:lpstr>
      <vt:lpstr>ICpUEfEBE-urb-res-heating</vt:lpstr>
      <vt:lpstr>ICpUEfEBE-urb-res-appl</vt:lpstr>
      <vt:lpstr>ICpUEfEBE-urb-res-other</vt:lpstr>
      <vt:lpstr>ICpUEfEBE-rur-res-heating</vt:lpstr>
      <vt:lpstr>ICpUEfEBE-rur-res-appl</vt:lpstr>
      <vt:lpstr>ICpUEfEBE-rur-res-other</vt:lpstr>
      <vt:lpstr>ICpUEfEBE-com-heating</vt:lpstr>
      <vt:lpstr>ICpUEfEBE-com-appl</vt:lpstr>
      <vt:lpstr>ICpUEfEBE-com-other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Daiyang Zhang</cp:lastModifiedBy>
  <dcterms:created xsi:type="dcterms:W3CDTF">2020-08-26T21:37:25Z</dcterms:created>
  <dcterms:modified xsi:type="dcterms:W3CDTF">2024-01-17T03:36:06Z</dcterms:modified>
</cp:coreProperties>
</file>