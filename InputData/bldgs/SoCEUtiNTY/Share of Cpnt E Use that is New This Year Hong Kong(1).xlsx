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bldgs\SoCEUtiNTY\"/>
    </mc:Choice>
  </mc:AlternateContent>
  <xr:revisionPtr revIDLastSave="0" documentId="13_ncr:1_{42C6B5E1-D044-46D7-879B-CFF9D0A3782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About" sheetId="1" r:id="rId1"/>
    <sheet name="Component Lifetimes" sheetId="3" r:id="rId2"/>
    <sheet name="China Calculations" sheetId="8" r:id="rId3"/>
    <sheet name="SoCEUtiNTY" sheetId="2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4" i="8" l="1"/>
  <c r="B42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L20" i="8"/>
  <c r="M20" i="8"/>
  <c r="N20" i="8"/>
  <c r="I20" i="8"/>
  <c r="J20" i="8"/>
  <c r="K20" i="8"/>
  <c r="H20" i="8"/>
  <c r="H15" i="8"/>
  <c r="H18" i="8"/>
  <c r="I18" i="8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M21" i="8" l="1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M13" i="8" l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H13" i="8"/>
  <c r="I13" i="8" s="1"/>
  <c r="J13" i="8" s="1"/>
  <c r="K13" i="8" s="1"/>
  <c r="K5" i="8"/>
  <c r="L5" i="8"/>
  <c r="I5" i="8"/>
  <c r="J5" i="8"/>
  <c r="H5" i="8"/>
  <c r="E7" i="8"/>
  <c r="F7" i="8"/>
  <c r="G7" i="8"/>
  <c r="D7" i="8"/>
  <c r="C7" i="8"/>
  <c r="B7" i="8"/>
  <c r="O25" i="8" l="1"/>
  <c r="O26" i="8" s="1"/>
  <c r="P25" i="8"/>
  <c r="P26" i="8" s="1"/>
  <c r="Q25" i="8"/>
  <c r="Q26" i="8" s="1"/>
  <c r="R25" i="8"/>
  <c r="R26" i="8" s="1"/>
  <c r="V25" i="8"/>
  <c r="V26" i="8" s="1"/>
  <c r="W25" i="8"/>
  <c r="W26" i="8" s="1"/>
  <c r="AD25" i="8"/>
  <c r="AD26" i="8" s="1"/>
  <c r="AE25" i="8"/>
  <c r="AE26" i="8" s="1"/>
  <c r="AG25" i="8"/>
  <c r="AG26" i="8" s="1"/>
  <c r="AM25" i="8"/>
  <c r="AM26" i="8" s="1"/>
  <c r="AN25" i="8"/>
  <c r="AN26" i="8" s="1"/>
  <c r="AO25" i="8"/>
  <c r="AO26" i="8" s="1"/>
  <c r="AP25" i="8"/>
  <c r="AP26" i="8" s="1"/>
  <c r="D31" i="8"/>
  <c r="D30" i="8"/>
  <c r="Z25" i="8"/>
  <c r="Z26" i="8" s="1"/>
  <c r="M16" i="8"/>
  <c r="M17" i="8" s="1"/>
  <c r="O16" i="8"/>
  <c r="O17" i="8" s="1"/>
  <c r="P16" i="8"/>
  <c r="P17" i="8" s="1"/>
  <c r="X16" i="8"/>
  <c r="X17" i="8" s="1"/>
  <c r="Y16" i="8"/>
  <c r="Y17" i="8" s="1"/>
  <c r="Z16" i="8"/>
  <c r="Z17" i="8" s="1"/>
  <c r="AA16" i="8"/>
  <c r="AA17" i="8" s="1"/>
  <c r="AI16" i="8"/>
  <c r="AI17" i="8" s="1"/>
  <c r="AJ16" i="8"/>
  <c r="AJ17" i="8" s="1"/>
  <c r="AK16" i="8"/>
  <c r="AK17" i="8" s="1"/>
  <c r="AM16" i="8"/>
  <c r="AM17" i="8" s="1"/>
  <c r="D29" i="8"/>
  <c r="B47" i="8"/>
  <c r="B48" i="8"/>
  <c r="B49" i="8"/>
  <c r="B50" i="8"/>
  <c r="B46" i="8"/>
  <c r="N25" i="8"/>
  <c r="N26" i="8" s="1"/>
  <c r="Y25" i="8"/>
  <c r="Y26" i="8" s="1"/>
  <c r="AL25" i="8"/>
  <c r="AL26" i="8" s="1"/>
  <c r="W16" i="8"/>
  <c r="W17" i="8" s="1"/>
  <c r="AF16" i="8"/>
  <c r="AF17" i="8" s="1"/>
  <c r="AH16" i="8"/>
  <c r="AH17" i="8" s="1"/>
  <c r="L23" i="8"/>
  <c r="B7" i="3"/>
  <c r="B6" i="3"/>
  <c r="B5" i="3"/>
  <c r="B4" i="3"/>
  <c r="B3" i="3"/>
  <c r="B2" i="3"/>
  <c r="AL22" i="8" l="1"/>
  <c r="AB22" i="8"/>
  <c r="Q22" i="8"/>
  <c r="O22" i="8"/>
  <c r="X22" i="8"/>
  <c r="U22" i="8"/>
  <c r="AK22" i="8"/>
  <c r="AH22" i="8"/>
  <c r="AE22" i="8"/>
  <c r="T22" i="8"/>
  <c r="AA22" i="8"/>
  <c r="V22" i="8"/>
  <c r="AD22" i="8"/>
  <c r="W22" i="8"/>
  <c r="R22" i="8"/>
  <c r="AO16" i="8"/>
  <c r="AO17" i="8" s="1"/>
  <c r="AE16" i="8"/>
  <c r="AE17" i="8" s="1"/>
  <c r="S16" i="8"/>
  <c r="S17" i="8" s="1"/>
  <c r="AB16" i="8"/>
  <c r="AB17" i="8" s="1"/>
  <c r="Q16" i="8"/>
  <c r="Q17" i="8" s="1"/>
  <c r="N22" i="8"/>
  <c r="AM22" i="8"/>
  <c r="U16" i="8"/>
  <c r="U17" i="8" s="1"/>
  <c r="X25" i="8"/>
  <c r="X26" i="8" s="1"/>
  <c r="AN16" i="8"/>
  <c r="AN17" i="8" s="1"/>
  <c r="AC16" i="8"/>
  <c r="AC17" i="8" s="1"/>
  <c r="R16" i="8"/>
  <c r="R17" i="8" s="1"/>
  <c r="AN22" i="8"/>
  <c r="T16" i="8"/>
  <c r="T17" i="8" s="1"/>
  <c r="AJ22" i="8"/>
  <c r="T25" i="8"/>
  <c r="T26" i="8" s="1"/>
  <c r="AG22" i="8"/>
  <c r="N16" i="8"/>
  <c r="N17" i="8" s="1"/>
  <c r="S22" i="8"/>
  <c r="AK25" i="8"/>
  <c r="AK26" i="8" s="1"/>
  <c r="Y22" i="8"/>
  <c r="AC22" i="8"/>
  <c r="AC25" i="8"/>
  <c r="AC26" i="8" s="1"/>
  <c r="AF25" i="8"/>
  <c r="AF26" i="8" s="1"/>
  <c r="AF22" i="8"/>
  <c r="AG16" i="8"/>
  <c r="AG17" i="8" s="1"/>
  <c r="P22" i="8"/>
  <c r="AH25" i="8"/>
  <c r="AH26" i="8" s="1"/>
  <c r="AP16" i="8"/>
  <c r="AP17" i="8" s="1"/>
  <c r="AJ25" i="8"/>
  <c r="AJ26" i="8" s="1"/>
  <c r="U25" i="8"/>
  <c r="U26" i="8" s="1"/>
  <c r="AB25" i="8"/>
  <c r="AB26" i="8" s="1"/>
  <c r="AO22" i="8"/>
  <c r="M22" i="8"/>
  <c r="AI25" i="8"/>
  <c r="AI26" i="8" s="1"/>
  <c r="AA25" i="8"/>
  <c r="AA26" i="8" s="1"/>
  <c r="S25" i="8"/>
  <c r="S26" i="8" s="1"/>
  <c r="M25" i="8"/>
  <c r="M26" i="8" s="1"/>
  <c r="AI22" i="8"/>
  <c r="AP22" i="8"/>
  <c r="Z22" i="8"/>
  <c r="AL16" i="8"/>
  <c r="AL17" i="8" s="1"/>
  <c r="AD16" i="8"/>
  <c r="AD17" i="8" s="1"/>
  <c r="V16" i="8"/>
  <c r="V17" i="8" s="1"/>
  <c r="B29" i="8" l="1"/>
  <c r="B41" i="8" s="1"/>
  <c r="B54" i="8" s="1"/>
  <c r="B2" i="2" s="1"/>
  <c r="B31" i="8"/>
  <c r="B43" i="8" s="1"/>
  <c r="D55" i="8" s="1"/>
  <c r="D3" i="2" s="1"/>
  <c r="B30" i="8"/>
  <c r="C55" i="8" s="1"/>
  <c r="C3" i="2" s="1"/>
  <c r="C58" i="8" l="1"/>
  <c r="C7" i="2" s="1"/>
  <c r="C2" i="2"/>
  <c r="C57" i="8"/>
  <c r="C6" i="2" s="1"/>
  <c r="C56" i="8"/>
  <c r="C5" i="2" s="1"/>
  <c r="B57" i="8"/>
  <c r="B6" i="2" s="1"/>
  <c r="B58" i="8"/>
  <c r="B7" i="2" s="1"/>
  <c r="B55" i="8"/>
  <c r="B3" i="2" s="1"/>
  <c r="B56" i="8"/>
  <c r="B5" i="2" s="1"/>
  <c r="D54" i="8"/>
  <c r="D2" i="2" s="1"/>
  <c r="D56" i="8"/>
  <c r="D5" i="2" s="1"/>
  <c r="D57" i="8"/>
  <c r="D6" i="2" s="1"/>
  <c r="B32" i="8"/>
  <c r="D58" i="8"/>
  <c r="D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Daiyang Zhang</author>
    <author>tc={7C45960F-7740-E048-A556-4192A02F0054}</author>
  </authors>
  <commentList>
    <comment ref="K13" authorId="0" shapeId="0" xr:uid="{2E4133D6-898A-4510-9754-52A9DB8FEFB9}">
      <text>
        <r>
          <rPr>
            <b/>
            <sz val="9"/>
            <color rgb="FF000000"/>
            <rFont val="Tahoma"/>
            <family val="2"/>
          </rPr>
          <t>Daiyang Zhang: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http://tjj.zj.gov.cn/art/2020/9/2/art_1229129214_2363751.html</t>
        </r>
      </text>
    </comment>
    <comment ref="A19" authorId="1" shapeId="0" xr:uid="{7C45960F-7740-E048-A556-4192A02F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public estate</t>
      </text>
    </comment>
    <comment ref="A40" authorId="0" shapeId="0" xr:uid="{88E02464-644E-41F6-9126-730E8A9A837B}">
      <text>
        <r>
          <rPr>
            <b/>
            <sz val="9"/>
            <color indexed="81"/>
            <rFont val="Tahoma"/>
            <family val="2"/>
          </rPr>
          <t>Daiyang Zhang:</t>
        </r>
        <r>
          <rPr>
            <sz val="9"/>
            <color indexed="81"/>
            <rFont val="Tahoma"/>
            <family val="2"/>
          </rPr>
          <t xml:space="preserve">
不确定，农村已经不再新建建筑，增长率为负</t>
        </r>
      </text>
    </comment>
  </commentList>
</comments>
</file>

<file path=xl/sharedStrings.xml><?xml version="1.0" encoding="utf-8"?>
<sst xmlns="http://schemas.openxmlformats.org/spreadsheetml/2006/main" count="106" uniqueCount="82">
  <si>
    <t>SoCEUtiNTY Share of Components Energy Use that is New This Year</t>
  </si>
  <si>
    <t>Sources:</t>
  </si>
  <si>
    <t>About</t>
  </si>
  <si>
    <t>heating</t>
  </si>
  <si>
    <t>cooling and ventilation</t>
  </si>
  <si>
    <t>envelope</t>
  </si>
  <si>
    <t>lighting</t>
  </si>
  <si>
    <t>appliances</t>
  </si>
  <si>
    <t>other component</t>
  </si>
  <si>
    <t>Building Component</t>
  </si>
  <si>
    <t>Lifetime (yr)</t>
  </si>
  <si>
    <t>This variable is used to estimate the share of BAU component energy use</t>
  </si>
  <si>
    <t>both components to serve new buildings (demand growth) and components</t>
  </si>
  <si>
    <t>to replace retiring components.</t>
  </si>
  <si>
    <t>The "envelope" value in this variable does not matter, because envelope</t>
  </si>
  <si>
    <t>does not itself use energy.  To avoid confusion, envelope is assigned</t>
  </si>
  <si>
    <t>a value of zero.</t>
  </si>
  <si>
    <t>Annual Energy Outlook 2017</t>
  </si>
  <si>
    <t>Fraction of Commercial Floorspace that is New</t>
  </si>
  <si>
    <t>4. Residential Sector Key Indicators and Consumption</t>
  </si>
  <si>
    <t>Weighted average fraction of homes that are new</t>
  </si>
  <si>
    <t>urban residential</t>
  </si>
  <si>
    <t>rural residential</t>
  </si>
  <si>
    <t>commercial</t>
  </si>
  <si>
    <t>Share of Components That is New This Year</t>
  </si>
  <si>
    <t>The share of new components is the share of old components that are replaced in surviving</t>
  </si>
  <si>
    <t>buildings, plus the share of components in new buildings (which equals the share of new</t>
  </si>
  <si>
    <t>buildings, because all components in new buildings are new components).</t>
  </si>
  <si>
    <t>Share of Buildings that are Surviving</t>
  </si>
  <si>
    <t>Replacement rate of components in surviving buildings</t>
  </si>
  <si>
    <t>Replacement rate of all components</t>
  </si>
  <si>
    <t>Share of commercial floorspace that is new</t>
  </si>
  <si>
    <t>EIA</t>
  </si>
  <si>
    <t>Number of homes</t>
  </si>
  <si>
    <t>Share of homes that are new</t>
  </si>
  <si>
    <t>See bldgs/CL variable</t>
  </si>
  <si>
    <t>https://www.eia.gov/outlooks/aeo/excel/aeotab_4.xlsx</t>
  </si>
  <si>
    <t>We separately estimate the share of buildings that are new (whose components</t>
  </si>
  <si>
    <t>are all new) and the share of components in surviving buildings that are</t>
  </si>
  <si>
    <t>replaced each year.  We consider the share of surviving buildings and</t>
  </si>
  <si>
    <t>new buildings to properly calculate overall component replacement rates.</t>
  </si>
  <si>
    <t>to new regions.</t>
  </si>
  <si>
    <t>This variable may need to be recalibrated when adapting the model</t>
  </si>
  <si>
    <t>Share of New Components Energy Use (dimensionless)</t>
  </si>
  <si>
    <r>
      <t xml:space="preserve">that is new (i.e. from </t>
    </r>
    <r>
      <rPr>
        <sz val="11"/>
        <color rgb="FFFF0000"/>
        <rFont val="Calibri"/>
        <family val="2"/>
        <scheme val="minor"/>
      </rPr>
      <t>newly installed</t>
    </r>
    <r>
      <rPr>
        <sz val="11"/>
        <color theme="1"/>
        <rFont val="Calibri"/>
        <family val="2"/>
        <scheme val="minor"/>
      </rPr>
      <t xml:space="preserve"> components) each year.  This includes</t>
    </r>
  </si>
  <si>
    <t>Zhejiang Statistical Year Book</t>
  </si>
  <si>
    <t>Table 8-8</t>
  </si>
  <si>
    <t>Commercial New Floorspace</t>
  </si>
  <si>
    <t>Unit:10^4 m2</t>
  </si>
  <si>
    <t>商业和公共建筑人均面积</t>
  </si>
  <si>
    <t>总建筑面积</t>
  </si>
  <si>
    <t>新建（竣工）建筑面积</t>
  </si>
  <si>
    <t>新增城镇居住面积</t>
  </si>
  <si>
    <t>新增农村居住面积</t>
  </si>
  <si>
    <t>新增比例-commercial</t>
  </si>
  <si>
    <t>新增比例-urban residential</t>
  </si>
  <si>
    <t>新增比例-rural residential</t>
  </si>
  <si>
    <t>新增公建面积</t>
  </si>
  <si>
    <t>UR-RE</t>
  </si>
  <si>
    <t>RU-RE</t>
  </si>
  <si>
    <t>COM</t>
  </si>
  <si>
    <t>total</t>
  </si>
  <si>
    <t>住宅</t>
    <phoneticPr fontId="10" type="noConversion"/>
  </si>
  <si>
    <t>非住宅</t>
    <phoneticPr fontId="10" type="noConversion"/>
  </si>
  <si>
    <t>^1</t>
    <phoneticPr fontId="10" type="noConversion"/>
  </si>
  <si>
    <t>https://www.statistics.gov.hk/pub/B10100032016AN16B0100.pdf</t>
  </si>
  <si>
    <t>table 8.3 Usable floor area of newly completed buildings by end-use and
geographic area</t>
    <phoneticPr fontId="10" type="noConversion"/>
  </si>
  <si>
    <t>https://www.statistics.gov.hk/pub/B10100022019MM06B0100.pdf</t>
  </si>
  <si>
    <t>Table:8.4 Newly completed private buildings by type of building</t>
    <phoneticPr fontId="10" type="noConversion"/>
  </si>
  <si>
    <t>^2</t>
    <phoneticPr fontId="10" type="noConversion"/>
  </si>
  <si>
    <t>城镇居民人均居住面积^2</t>
    <phoneticPr fontId="10" type="noConversion"/>
  </si>
  <si>
    <t>Household size</t>
    <phoneticPr fontId="10" type="noConversion"/>
  </si>
  <si>
    <t>the median per capita floor area of accommodation of domestic households in Hong Kong</t>
  </si>
  <si>
    <t>https://www.censtatd.gov.hk/en/scode600.html</t>
  </si>
  <si>
    <t>城镇居住总面积 Mil. M2</t>
    <phoneticPr fontId="10" type="noConversion"/>
  </si>
  <si>
    <t>公共建筑总面积 Mil. M2</t>
    <phoneticPr fontId="10" type="noConversion"/>
  </si>
  <si>
    <t>Hong Kong urbanization rate</t>
    <phoneticPr fontId="10" type="noConversion"/>
  </si>
  <si>
    <t>城镇居住人口</t>
    <phoneticPr fontId="10" type="noConversion"/>
  </si>
  <si>
    <t>农村住人口</t>
    <phoneticPr fontId="10" type="noConversion"/>
  </si>
  <si>
    <t>农村居民人均居住面积</t>
    <phoneticPr fontId="10" type="noConversion"/>
  </si>
  <si>
    <t>https://www.info.gov.hk/gia/general/202303/29/P2023032900422.htm</t>
    <phoneticPr fontId="10" type="noConversion"/>
  </si>
  <si>
    <t>农村居住总面积 Mil. M2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</si>
</sst>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0.0%"/>
    <numFmt numFmtId="167" formatCode="_-* #,##0.00_-;\-* #,##0.00_-;_-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Calibri"/>
      <family val="3"/>
      <charset val="134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164" fontId="2" fillId="0" borderId="0" applyFont="0" applyFill="0" applyBorder="0" applyAlignment="0" applyProtection="0">
      <alignment vertical="center"/>
    </xf>
    <xf numFmtId="167" fontId="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0" borderId="0" xfId="1" applyNumberFormat="1" applyFont="1"/>
    <xf numFmtId="10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right"/>
    </xf>
    <xf numFmtId="0" fontId="1" fillId="3" borderId="0" xfId="0" applyFont="1" applyFill="1"/>
    <xf numFmtId="0" fontId="0" fillId="0" borderId="0" xfId="0" applyAlignment="1">
      <alignment horizontal="left"/>
    </xf>
    <xf numFmtId="0" fontId="6" fillId="0" borderId="0" xfId="0" applyFont="1"/>
    <xf numFmtId="165" fontId="0" fillId="4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5" borderId="0" xfId="0" applyFill="1"/>
    <xf numFmtId="9" fontId="0" fillId="5" borderId="0" xfId="0" applyNumberFormat="1" applyFill="1"/>
    <xf numFmtId="0" fontId="0" fillId="4" borderId="0" xfId="0" applyFill="1"/>
    <xf numFmtId="0" fontId="0" fillId="4" borderId="0" xfId="0" applyFill="1" applyAlignment="1">
      <alignment vertical="center"/>
    </xf>
    <xf numFmtId="0" fontId="7" fillId="0" borderId="0" xfId="0" applyFont="1"/>
    <xf numFmtId="10" fontId="0" fillId="0" borderId="0" xfId="0" applyNumberFormat="1"/>
    <xf numFmtId="166" fontId="0" fillId="0" borderId="0" xfId="1" applyNumberFormat="1" applyFont="1" applyFill="1"/>
    <xf numFmtId="9" fontId="0" fillId="0" borderId="0" xfId="1" applyFont="1"/>
    <xf numFmtId="10" fontId="7" fillId="0" borderId="0" xfId="1" applyNumberFormat="1" applyFont="1"/>
    <xf numFmtId="0" fontId="1" fillId="6" borderId="0" xfId="0" applyFont="1" applyFill="1"/>
    <xf numFmtId="1" fontId="0" fillId="5" borderId="0" xfId="0" applyNumberFormat="1" applyFill="1"/>
    <xf numFmtId="167" fontId="0" fillId="0" borderId="0" xfId="10" applyFont="1" applyFill="1"/>
    <xf numFmtId="0" fontId="13" fillId="0" borderId="0" xfId="0" applyFont="1"/>
    <xf numFmtId="164" fontId="0" fillId="4" borderId="0" xfId="9" applyFont="1" applyFill="1" applyAlignment="1"/>
    <xf numFmtId="2" fontId="0" fillId="0" borderId="0" xfId="0" applyNumberFormat="1"/>
    <xf numFmtId="0" fontId="14" fillId="0" borderId="0" xfId="11"/>
    <xf numFmtId="164" fontId="0" fillId="4" borderId="0" xfId="0" applyNumberFormat="1" applyFill="1"/>
    <xf numFmtId="164" fontId="0" fillId="0" borderId="0" xfId="0" applyNumberFormat="1"/>
  </cellXfs>
  <cellStyles count="12">
    <cellStyle name="Body: normal cell" xfId="5" xr:uid="{00000000-0005-0000-0000-000000000000}"/>
    <cellStyle name="Comma" xfId="9" builtinId="3"/>
    <cellStyle name="Comma 2" xfId="10" xr:uid="{61E28F48-0E07-F94D-BFE3-73C04E02C6B4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11" builtinId="8"/>
    <cellStyle name="Normal" xfId="0" builtinId="0"/>
    <cellStyle name="Normal 2" xfId="2" xr:uid="{00000000-0005-0000-0000-000005000000}"/>
    <cellStyle name="Parent row" xfId="4" xr:uid="{00000000-0005-0000-0000-000006000000}"/>
    <cellStyle name="Percent" xfId="1" builtinId="5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177800</xdr:colOff>
      <xdr:row>39</xdr:row>
      <xdr:rowOff>169706</xdr:rowOff>
    </xdr:from>
    <xdr:to>
      <xdr:col>23</xdr:col>
      <xdr:colOff>568325</xdr:colOff>
      <xdr:row>59</xdr:row>
      <xdr:rowOff>105019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61765-EA96-AB60-BBB4-00D668AF0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0850" y="6513356"/>
          <a:ext cx="6524625" cy="35548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4</xdr:col>
      <xdr:colOff>136914</xdr:colOff>
      <xdr:row>78</xdr:row>
      <xdr:rowOff>16402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B4EE966-EBE2-3743-82B1-111245FBF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100" y="12026900"/>
          <a:ext cx="2562614" cy="26834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-my.sharepoint.com/Users/daiyang.zhang/OneDrive%20-%20World%20Resources%20Institute/EPS%20Zhejiang/bldgs/CL/Component%20Lifetime_2022zj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-my.sharepoint.com/Users/daiyang.zhang/OneDrive%20-%20World%20Resources%20Institute/EPS%20Zhejiang/bldgs/BCEU/BAU%20Compnents%20Energy%20Use%202022z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hina Lifetime"/>
      <sheetName val="US H C E A Lifetime"/>
      <sheetName val="CL"/>
    </sheetNames>
    <sheetDataSet>
      <sheetData sheetId="0" refreshError="1"/>
      <sheetData sheetId="1" refreshError="1"/>
      <sheetData sheetId="2" refreshError="1"/>
      <sheetData sheetId="3">
        <row r="2">
          <cell r="B2">
            <v>17.333333333333332</v>
          </cell>
        </row>
        <row r="3">
          <cell r="B3">
            <v>14</v>
          </cell>
        </row>
        <row r="4">
          <cell r="B4">
            <v>51.81818181818182</v>
          </cell>
        </row>
        <row r="5">
          <cell r="B5">
            <v>9.1324200913242013</v>
          </cell>
        </row>
        <row r="6">
          <cell r="B6">
            <v>11.4</v>
          </cell>
        </row>
        <row r="7">
          <cell r="B7">
            <v>15.4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基础数据"/>
      <sheetName val="Data"/>
      <sheetName val="电力折标煤"/>
      <sheetName val="相关数据"/>
      <sheetName val="检验结果用 - 浙江省2019年能源平衡表"/>
      <sheetName val="Energy Strcture by Use"/>
      <sheetName val="BDEQ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</sheetNames>
    <sheetDataSet>
      <sheetData sheetId="0"/>
      <sheetData sheetId="1">
        <row r="22">
          <cell r="B22">
            <v>13.620902906617193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wrence Iu" id="{3EC6D266-6497-7D43-9AF8-9E907645835E}" userId="S::liu@civic-exchange.org::19f8d6f0-2df7-4d05-bce5-6870bff563a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" dT="2024-07-22T09:29:46.70" personId="{3EC6D266-6497-7D43-9AF8-9E907645835E}" id="{7C45960F-7740-E048-A556-4192A02F0054}">
    <text>Should be public estate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fo.gov.hk/gia/general/202303/29/P2023032900422.ht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opLeftCell="A22" workbookViewId="0">
      <selection activeCell="B45" sqref="B45"/>
    </sheetView>
  </sheetViews>
  <sheetFormatPr defaultColWidth="9" defaultRowHeight="14.5"/>
  <cols>
    <col min="2" max="2" width="52" customWidth="1"/>
  </cols>
  <sheetData>
    <row r="1" spans="1:2">
      <c r="A1" s="1" t="s">
        <v>0</v>
      </c>
    </row>
    <row r="3" spans="1:2">
      <c r="A3" s="1" t="s">
        <v>1</v>
      </c>
      <c r="B3" s="10" t="s">
        <v>31</v>
      </c>
    </row>
    <row r="4" spans="1:2">
      <c r="B4" t="s">
        <v>45</v>
      </c>
    </row>
    <row r="5" spans="1:2">
      <c r="B5" s="11">
        <v>2021</v>
      </c>
    </row>
    <row r="6" spans="1:2">
      <c r="B6" t="s">
        <v>46</v>
      </c>
    </row>
    <row r="10" spans="1:2">
      <c r="B10" s="10" t="s">
        <v>33</v>
      </c>
    </row>
    <row r="11" spans="1:2">
      <c r="B11" t="s">
        <v>32</v>
      </c>
    </row>
    <row r="12" spans="1:2">
      <c r="B12" s="11">
        <v>2017</v>
      </c>
    </row>
    <row r="13" spans="1:2">
      <c r="B13" t="s">
        <v>17</v>
      </c>
    </row>
    <row r="14" spans="1:2">
      <c r="B14" t="s">
        <v>36</v>
      </c>
    </row>
    <row r="15" spans="1:2">
      <c r="B15" t="s">
        <v>19</v>
      </c>
    </row>
    <row r="17" spans="1:2">
      <c r="B17" s="10" t="s">
        <v>34</v>
      </c>
    </row>
    <row r="18" spans="1:2">
      <c r="B18" t="s">
        <v>45</v>
      </c>
    </row>
    <row r="19" spans="1:2">
      <c r="B19" s="11">
        <v>2021</v>
      </c>
    </row>
    <row r="24" spans="1:2">
      <c r="B24" s="10" t="s">
        <v>29</v>
      </c>
    </row>
    <row r="25" spans="1:2">
      <c r="B25" s="12" t="s">
        <v>35</v>
      </c>
    </row>
    <row r="27" spans="1:2">
      <c r="A27" s="1" t="s">
        <v>2</v>
      </c>
    </row>
    <row r="28" spans="1:2">
      <c r="A28" t="s">
        <v>11</v>
      </c>
    </row>
    <row r="29" spans="1:2">
      <c r="A29" t="s">
        <v>44</v>
      </c>
    </row>
    <row r="30" spans="1:2">
      <c r="A30" t="s">
        <v>12</v>
      </c>
    </row>
    <row r="31" spans="1:2">
      <c r="A31" t="s">
        <v>13</v>
      </c>
    </row>
    <row r="33" spans="1:1">
      <c r="A33" t="s">
        <v>14</v>
      </c>
    </row>
    <row r="34" spans="1:1">
      <c r="A34" t="s">
        <v>15</v>
      </c>
    </row>
    <row r="35" spans="1:1">
      <c r="A35" t="s">
        <v>16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2" spans="1:1">
      <c r="A42" t="s">
        <v>42</v>
      </c>
    </row>
    <row r="43" spans="1:1">
      <c r="A43" t="s">
        <v>41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4" sqref="D14"/>
    </sheetView>
  </sheetViews>
  <sheetFormatPr defaultColWidth="9" defaultRowHeight="14.5"/>
  <cols>
    <col min="1" max="1" width="25.36328125" customWidth="1"/>
    <col min="2" max="2" width="14.36328125" customWidth="1"/>
  </cols>
  <sheetData>
    <row r="1" spans="1:2">
      <c r="A1" s="1" t="s">
        <v>9</v>
      </c>
      <c r="B1" s="2" t="s">
        <v>10</v>
      </c>
    </row>
    <row r="2" spans="1:2">
      <c r="A2" t="s">
        <v>3</v>
      </c>
      <c r="B2" s="3">
        <f>[1]CL!$B$2</f>
        <v>17.333333333333332</v>
      </c>
    </row>
    <row r="3" spans="1:2">
      <c r="A3" t="s">
        <v>4</v>
      </c>
      <c r="B3" s="3">
        <f>[1]CL!$B$3</f>
        <v>14</v>
      </c>
    </row>
    <row r="4" spans="1:2">
      <c r="A4" t="s">
        <v>5</v>
      </c>
      <c r="B4" s="3">
        <f>[1]CL!$B$4</f>
        <v>51.81818181818182</v>
      </c>
    </row>
    <row r="5" spans="1:2">
      <c r="A5" t="s">
        <v>6</v>
      </c>
      <c r="B5" s="3">
        <f>[1]CL!$B$5</f>
        <v>9.1324200913242013</v>
      </c>
    </row>
    <row r="6" spans="1:2">
      <c r="A6" t="s">
        <v>7</v>
      </c>
      <c r="B6" s="3">
        <f>[1]CL!$B$6</f>
        <v>11.4</v>
      </c>
    </row>
    <row r="7" spans="1:2">
      <c r="A7" t="s">
        <v>8</v>
      </c>
      <c r="B7" s="3">
        <f>[1]CL!$B$7</f>
        <v>15.4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5C6D-93D4-4AB6-9BB2-D8FCC4AB123B}">
  <dimension ref="A1:AQ88"/>
  <sheetViews>
    <sheetView topLeftCell="A19" workbookViewId="0">
      <pane xSplit="1" topLeftCell="B1" activePane="topRight" state="frozen"/>
      <selection pane="topRight" activeCell="D58" sqref="D58"/>
    </sheetView>
  </sheetViews>
  <sheetFormatPr defaultColWidth="9" defaultRowHeight="14.5"/>
  <cols>
    <col min="1" max="1" width="36.6328125" customWidth="1"/>
    <col min="2" max="2" width="14" customWidth="1"/>
    <col min="3" max="3" width="12.36328125" customWidth="1"/>
    <col min="4" max="4" width="11.81640625" customWidth="1"/>
    <col min="7" max="7" width="9.81640625" bestFit="1" customWidth="1"/>
    <col min="12" max="12" width="8.81640625" style="17"/>
  </cols>
  <sheetData>
    <row r="1" spans="1:43">
      <c r="A1" s="10" t="s">
        <v>18</v>
      </c>
    </row>
    <row r="3" spans="1:43">
      <c r="A3" t="s">
        <v>48</v>
      </c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 s="17">
        <v>2020</v>
      </c>
      <c r="M3">
        <v>2021</v>
      </c>
      <c r="N3">
        <v>2022</v>
      </c>
      <c r="O3">
        <v>2023</v>
      </c>
      <c r="P3">
        <v>2024</v>
      </c>
      <c r="Q3">
        <v>2025</v>
      </c>
      <c r="R3">
        <v>2026</v>
      </c>
      <c r="S3">
        <v>2027</v>
      </c>
      <c r="T3">
        <v>2028</v>
      </c>
      <c r="U3">
        <v>2029</v>
      </c>
      <c r="V3">
        <v>2030</v>
      </c>
      <c r="W3">
        <v>2031</v>
      </c>
      <c r="X3">
        <v>2032</v>
      </c>
      <c r="Y3">
        <v>2033</v>
      </c>
      <c r="Z3">
        <v>2034</v>
      </c>
      <c r="AA3">
        <v>2035</v>
      </c>
      <c r="AB3">
        <v>2036</v>
      </c>
      <c r="AC3">
        <v>2037</v>
      </c>
      <c r="AD3">
        <v>2038</v>
      </c>
      <c r="AE3">
        <v>2039</v>
      </c>
      <c r="AF3">
        <v>2040</v>
      </c>
      <c r="AG3">
        <v>2041</v>
      </c>
      <c r="AH3">
        <v>2042</v>
      </c>
      <c r="AI3">
        <v>2043</v>
      </c>
      <c r="AJ3">
        <v>2044</v>
      </c>
      <c r="AK3">
        <v>2045</v>
      </c>
      <c r="AL3">
        <v>2046</v>
      </c>
      <c r="AM3">
        <v>2047</v>
      </c>
      <c r="AN3">
        <v>2048</v>
      </c>
      <c r="AO3">
        <v>2049</v>
      </c>
      <c r="AP3">
        <v>2050</v>
      </c>
    </row>
    <row r="4" spans="1:43">
      <c r="A4" t="s">
        <v>62</v>
      </c>
      <c r="B4">
        <v>611.70000000000005</v>
      </c>
      <c r="C4">
        <v>471.9</v>
      </c>
      <c r="D4">
        <v>557.6</v>
      </c>
      <c r="E4">
        <v>348</v>
      </c>
      <c r="F4">
        <v>645</v>
      </c>
      <c r="G4">
        <v>616</v>
      </c>
      <c r="H4">
        <v>330.4</v>
      </c>
      <c r="I4">
        <v>394.7</v>
      </c>
      <c r="J4">
        <v>467.4</v>
      </c>
      <c r="K4">
        <v>380.3</v>
      </c>
      <c r="L4" s="17">
        <v>483.7</v>
      </c>
    </row>
    <row r="5" spans="1:43">
      <c r="A5" t="s">
        <v>63</v>
      </c>
      <c r="B5">
        <v>527.6</v>
      </c>
      <c r="C5">
        <v>519.5</v>
      </c>
      <c r="D5">
        <v>836.9</v>
      </c>
      <c r="E5">
        <v>483</v>
      </c>
      <c r="F5">
        <v>454</v>
      </c>
      <c r="G5">
        <v>448</v>
      </c>
      <c r="H5">
        <f>H7-H4</f>
        <v>898.19999999999993</v>
      </c>
      <c r="I5">
        <f t="shared" ref="I5:J5" si="0">I7-I4</f>
        <v>978.2</v>
      </c>
      <c r="J5">
        <f t="shared" si="0"/>
        <v>942.1</v>
      </c>
      <c r="K5">
        <f t="shared" ref="K5" si="1">K7-K4</f>
        <v>763.2</v>
      </c>
      <c r="L5" s="17">
        <f t="shared" ref="L5" si="2">L7-L4</f>
        <v>604.5</v>
      </c>
    </row>
    <row r="6" spans="1:43">
      <c r="A6" t="s">
        <v>50</v>
      </c>
    </row>
    <row r="7" spans="1:43">
      <c r="A7" t="s">
        <v>51</v>
      </c>
      <c r="B7">
        <f>SUM(B4:B5)</f>
        <v>1139.3000000000002</v>
      </c>
      <c r="C7">
        <f>SUM(C4:C5)</f>
        <v>991.4</v>
      </c>
      <c r="D7">
        <f>SUM(D4:D5)</f>
        <v>1394.5</v>
      </c>
      <c r="E7">
        <f t="shared" ref="E7:G7" si="3">SUM(E4:E5)</f>
        <v>831</v>
      </c>
      <c r="F7">
        <f t="shared" si="3"/>
        <v>1099</v>
      </c>
      <c r="G7">
        <f t="shared" si="3"/>
        <v>1064</v>
      </c>
      <c r="H7">
        <v>1228.5999999999999</v>
      </c>
      <c r="I7">
        <v>1372.9</v>
      </c>
      <c r="J7">
        <v>1409.5</v>
      </c>
      <c r="K7">
        <v>1143.5</v>
      </c>
      <c r="L7" s="17">
        <v>1088.2</v>
      </c>
    </row>
    <row r="10" spans="1:43">
      <c r="A10" s="15" t="s">
        <v>47</v>
      </c>
    </row>
    <row r="11" spans="1:43">
      <c r="A11" s="17" t="s">
        <v>76</v>
      </c>
      <c r="G11" s="22">
        <v>1</v>
      </c>
      <c r="L11" s="18">
        <v>0.72</v>
      </c>
    </row>
    <row r="12" spans="1:43">
      <c r="A12" s="17" t="s">
        <v>71</v>
      </c>
      <c r="B12">
        <v>2.9</v>
      </c>
      <c r="C12">
        <v>2.9</v>
      </c>
      <c r="D12">
        <v>2.9</v>
      </c>
      <c r="E12">
        <v>2.9</v>
      </c>
      <c r="F12">
        <v>2.9</v>
      </c>
      <c r="G12">
        <v>2.9</v>
      </c>
      <c r="H12" s="28">
        <v>2.8</v>
      </c>
      <c r="I12" s="28">
        <v>2.8</v>
      </c>
      <c r="J12" s="28">
        <v>2.8</v>
      </c>
      <c r="K12" s="28">
        <v>2.8</v>
      </c>
      <c r="L12" s="17">
        <v>2.7</v>
      </c>
      <c r="M12" s="28">
        <v>2.7</v>
      </c>
      <c r="N12" s="28">
        <v>2.7</v>
      </c>
      <c r="O12" s="28">
        <v>2.7</v>
      </c>
      <c r="P12" s="28">
        <v>2.7</v>
      </c>
      <c r="Q12" s="28">
        <v>2.7</v>
      </c>
      <c r="R12" s="28">
        <v>2.7</v>
      </c>
      <c r="S12" s="28">
        <v>2.7</v>
      </c>
      <c r="T12" s="28">
        <v>2.7</v>
      </c>
      <c r="U12" s="28">
        <v>2.7</v>
      </c>
      <c r="V12" s="28">
        <v>2.7</v>
      </c>
      <c r="W12" s="28">
        <v>2.6</v>
      </c>
      <c r="X12" s="28">
        <v>2.6</v>
      </c>
      <c r="Y12" s="28">
        <v>2.6</v>
      </c>
      <c r="Z12" s="28">
        <v>2.6</v>
      </c>
      <c r="AA12" s="28">
        <v>2.6</v>
      </c>
      <c r="AB12" s="28">
        <v>2.6</v>
      </c>
      <c r="AC12" s="28">
        <v>2.6</v>
      </c>
      <c r="AD12" s="28">
        <v>2.6</v>
      </c>
      <c r="AE12" s="28">
        <v>2.6</v>
      </c>
      <c r="AF12" s="28">
        <v>2.6</v>
      </c>
      <c r="AG12" s="28">
        <v>2.6</v>
      </c>
      <c r="AH12" s="28">
        <v>2.6</v>
      </c>
      <c r="AI12" s="28">
        <v>2.6</v>
      </c>
      <c r="AJ12" s="28">
        <v>2.6</v>
      </c>
      <c r="AK12" s="28">
        <v>2.6</v>
      </c>
      <c r="AL12" s="28">
        <v>2.6</v>
      </c>
      <c r="AM12" s="28">
        <v>2.6</v>
      </c>
      <c r="AN12" s="28">
        <v>2.6</v>
      </c>
      <c r="AO12" s="28">
        <v>2.6</v>
      </c>
      <c r="AP12" s="28">
        <v>2.6</v>
      </c>
    </row>
    <row r="13" spans="1:43" s="19" customFormat="1">
      <c r="A13" s="19" t="s">
        <v>70</v>
      </c>
      <c r="D13" s="20"/>
      <c r="G13" s="19">
        <v>15</v>
      </c>
      <c r="H13" s="30">
        <f>($L13-$G13)/6+G13</f>
        <v>15.366666666666667</v>
      </c>
      <c r="I13" s="30">
        <f t="shared" ref="I13:K13" si="4">($L13-$G13)/6+H13</f>
        <v>15.733333333333334</v>
      </c>
      <c r="J13" s="30">
        <f t="shared" si="4"/>
        <v>16.100000000000001</v>
      </c>
      <c r="K13" s="30">
        <f t="shared" si="4"/>
        <v>16.466666666666669</v>
      </c>
      <c r="L13" s="19">
        <v>17.2</v>
      </c>
      <c r="M13" s="30">
        <f>($AP13-$L13)/30+L13</f>
        <v>17.416666666666664</v>
      </c>
      <c r="N13" s="30">
        <f t="shared" ref="N13:AO13" si="5">($AP13-$L13)/30+M13</f>
        <v>17.633333333333329</v>
      </c>
      <c r="O13" s="30">
        <f t="shared" si="5"/>
        <v>17.849999999999994</v>
      </c>
      <c r="P13" s="30">
        <f t="shared" si="5"/>
        <v>18.066666666666659</v>
      </c>
      <c r="Q13" s="30">
        <f t="shared" si="5"/>
        <v>18.283333333333324</v>
      </c>
      <c r="R13" s="30">
        <f t="shared" si="5"/>
        <v>18.499999999999989</v>
      </c>
      <c r="S13" s="30">
        <f t="shared" si="5"/>
        <v>18.716666666666654</v>
      </c>
      <c r="T13" s="30">
        <f t="shared" si="5"/>
        <v>18.933333333333319</v>
      </c>
      <c r="U13" s="30">
        <f t="shared" si="5"/>
        <v>19.149999999999984</v>
      </c>
      <c r="V13" s="30">
        <f t="shared" si="5"/>
        <v>19.366666666666649</v>
      </c>
      <c r="W13" s="30">
        <f t="shared" si="5"/>
        <v>19.583333333333314</v>
      </c>
      <c r="X13" s="30">
        <f t="shared" si="5"/>
        <v>19.799999999999979</v>
      </c>
      <c r="Y13" s="30">
        <f t="shared" si="5"/>
        <v>20.016666666666644</v>
      </c>
      <c r="Z13" s="30">
        <f t="shared" si="5"/>
        <v>20.233333333333309</v>
      </c>
      <c r="AA13" s="30">
        <f t="shared" si="5"/>
        <v>20.449999999999974</v>
      </c>
      <c r="AB13" s="30">
        <f t="shared" si="5"/>
        <v>20.666666666666639</v>
      </c>
      <c r="AC13" s="30">
        <f t="shared" si="5"/>
        <v>20.883333333333304</v>
      </c>
      <c r="AD13" s="30">
        <f t="shared" si="5"/>
        <v>21.099999999999969</v>
      </c>
      <c r="AE13" s="30">
        <f t="shared" si="5"/>
        <v>21.316666666666634</v>
      </c>
      <c r="AF13" s="30">
        <f t="shared" si="5"/>
        <v>21.533333333333299</v>
      </c>
      <c r="AG13" s="30">
        <f t="shared" si="5"/>
        <v>21.749999999999964</v>
      </c>
      <c r="AH13" s="30">
        <f t="shared" si="5"/>
        <v>21.966666666666629</v>
      </c>
      <c r="AI13" s="30">
        <f t="shared" si="5"/>
        <v>22.183333333333294</v>
      </c>
      <c r="AJ13" s="30">
        <f t="shared" si="5"/>
        <v>22.399999999999959</v>
      </c>
      <c r="AK13" s="30">
        <f t="shared" si="5"/>
        <v>22.616666666666625</v>
      </c>
      <c r="AL13" s="30">
        <f t="shared" si="5"/>
        <v>22.83333333333329</v>
      </c>
      <c r="AM13" s="30">
        <f t="shared" si="5"/>
        <v>23.049999999999955</v>
      </c>
      <c r="AN13" s="30">
        <f t="shared" si="5"/>
        <v>23.26666666666662</v>
      </c>
      <c r="AO13" s="30">
        <f t="shared" si="5"/>
        <v>23.483333333333285</v>
      </c>
      <c r="AP13" s="19">
        <v>23.7</v>
      </c>
    </row>
    <row r="14" spans="1:43" s="19" customFormat="1">
      <c r="A14" t="s">
        <v>77</v>
      </c>
      <c r="D14" s="20"/>
      <c r="H14" s="30">
        <v>3.9548091592435286</v>
      </c>
      <c r="I14" s="30">
        <v>4.0643184290030216</v>
      </c>
      <c r="J14" s="30">
        <v>4.0217777183005685</v>
      </c>
      <c r="K14" s="30">
        <v>4.0522750892801866</v>
      </c>
      <c r="L14" s="19">
        <v>4.0849012231281634</v>
      </c>
      <c r="M14" s="30">
        <v>4.0994876081308105</v>
      </c>
      <c r="N14" s="30">
        <v>4.1061933534743211</v>
      </c>
      <c r="O14" s="30">
        <v>4.1682990232486326</v>
      </c>
      <c r="P14" s="30">
        <v>4.1929892543785092</v>
      </c>
      <c r="Q14" s="30">
        <v>4.2154149417557285</v>
      </c>
      <c r="R14" s="30">
        <v>4.2351376873956399</v>
      </c>
      <c r="S14" s="30">
        <v>4.2535638061942507</v>
      </c>
      <c r="T14" s="30">
        <v>4.2720488335879381</v>
      </c>
      <c r="U14" s="30">
        <v>4.2903754174778337</v>
      </c>
      <c r="V14" s="30">
        <v>4.3074554933242064</v>
      </c>
      <c r="W14" s="30">
        <v>4.3240486228515289</v>
      </c>
      <c r="X14" s="30">
        <v>4.3404806106184379</v>
      </c>
      <c r="Y14" s="30">
        <v>4.3578953214384155</v>
      </c>
      <c r="Z14" s="30">
        <v>4.3744954269835947</v>
      </c>
      <c r="AA14" s="30">
        <v>4.3890248218445187</v>
      </c>
      <c r="AB14" s="30">
        <v>4.4007157021930441</v>
      </c>
      <c r="AC14" s="30">
        <v>4.4100546209519305</v>
      </c>
      <c r="AD14" s="30">
        <v>4.4193872441658391</v>
      </c>
      <c r="AE14" s="30">
        <v>4.4273467199425083</v>
      </c>
      <c r="AF14" s="30">
        <v>4.4339854584791381</v>
      </c>
      <c r="AG14" s="30">
        <v>4.4384802019003979</v>
      </c>
      <c r="AH14" s="30">
        <v>4.4409369405851988</v>
      </c>
      <c r="AI14" s="30">
        <v>4.4421743550028241</v>
      </c>
      <c r="AJ14" s="30">
        <v>4.4419712104584121</v>
      </c>
      <c r="AK14" s="30">
        <v>4.4402703898569209</v>
      </c>
      <c r="AL14" s="30">
        <v>4.4368500037710232</v>
      </c>
      <c r="AM14" s="30">
        <v>4.4308835639313715</v>
      </c>
      <c r="AN14" s="30">
        <v>4.4236309852051452</v>
      </c>
      <c r="AO14" s="30">
        <v>4.4144306071441664</v>
      </c>
      <c r="AP14" s="19">
        <v>4.4024200000000002</v>
      </c>
    </row>
    <row r="15" spans="1:43">
      <c r="A15" t="s">
        <v>74</v>
      </c>
      <c r="D15" s="16"/>
      <c r="H15">
        <f>H14*H13</f>
        <v>60.772234080375561</v>
      </c>
      <c r="I15">
        <f t="shared" ref="I15:AP15" si="6">I14*I13</f>
        <v>63.94527661631421</v>
      </c>
      <c r="J15">
        <f t="shared" si="6"/>
        <v>64.750621264639165</v>
      </c>
      <c r="K15">
        <f t="shared" si="6"/>
        <v>66.727463136813753</v>
      </c>
      <c r="L15">
        <f t="shared" si="6"/>
        <v>70.26030103780441</v>
      </c>
      <c r="M15">
        <f t="shared" si="6"/>
        <v>71.399409174944935</v>
      </c>
      <c r="N15">
        <f t="shared" si="6"/>
        <v>72.405876132930516</v>
      </c>
      <c r="O15">
        <f t="shared" si="6"/>
        <v>74.404137564988062</v>
      </c>
      <c r="P15">
        <f t="shared" si="6"/>
        <v>75.753339195771701</v>
      </c>
      <c r="Q15">
        <f t="shared" si="6"/>
        <v>77.071836518433869</v>
      </c>
      <c r="R15">
        <f t="shared" si="6"/>
        <v>78.350047216819291</v>
      </c>
      <c r="S15">
        <f t="shared" si="6"/>
        <v>79.612535905935673</v>
      </c>
      <c r="T15">
        <f t="shared" si="6"/>
        <v>80.884124582598233</v>
      </c>
      <c r="U15">
        <f t="shared" si="6"/>
        <v>82.16068924470045</v>
      </c>
      <c r="V15">
        <f t="shared" si="6"/>
        <v>83.42105472071205</v>
      </c>
      <c r="W15">
        <f t="shared" si="6"/>
        <v>84.679285530842364</v>
      </c>
      <c r="X15">
        <f t="shared" si="6"/>
        <v>85.941516090244988</v>
      </c>
      <c r="Y15">
        <f t="shared" si="6"/>
        <v>87.230538017458855</v>
      </c>
      <c r="Z15">
        <f t="shared" si="6"/>
        <v>88.510624139301299</v>
      </c>
      <c r="AA15">
        <f t="shared" si="6"/>
        <v>89.755557606720302</v>
      </c>
      <c r="AB15">
        <f t="shared" si="6"/>
        <v>90.948124511989462</v>
      </c>
      <c r="AC15">
        <f t="shared" si="6"/>
        <v>92.096640667546026</v>
      </c>
      <c r="AD15">
        <f t="shared" si="6"/>
        <v>93.249070851899063</v>
      </c>
      <c r="AE15">
        <f t="shared" si="6"/>
        <v>94.376274246774329</v>
      </c>
      <c r="AF15">
        <f t="shared" si="6"/>
        <v>95.478486872583957</v>
      </c>
      <c r="AG15">
        <f t="shared" si="6"/>
        <v>96.536944391333492</v>
      </c>
      <c r="AH15">
        <f t="shared" si="6"/>
        <v>97.55258146152137</v>
      </c>
      <c r="AI15">
        <f t="shared" si="6"/>
        <v>98.542234441812482</v>
      </c>
      <c r="AJ15">
        <f t="shared" si="6"/>
        <v>99.500155114268253</v>
      </c>
      <c r="AK15">
        <f t="shared" si="6"/>
        <v>100.42411531726384</v>
      </c>
      <c r="AL15">
        <f t="shared" si="6"/>
        <v>101.30807508610484</v>
      </c>
      <c r="AM15">
        <f t="shared" si="6"/>
        <v>102.13186614861792</v>
      </c>
      <c r="AN15">
        <f t="shared" si="6"/>
        <v>102.92314758910616</v>
      </c>
      <c r="AO15">
        <f t="shared" si="6"/>
        <v>103.66554542443529</v>
      </c>
      <c r="AP15">
        <f t="shared" si="6"/>
        <v>104.337354</v>
      </c>
      <c r="AQ15" s="27"/>
    </row>
    <row r="16" spans="1:43">
      <c r="A16" t="s">
        <v>52</v>
      </c>
      <c r="D16" s="16"/>
      <c r="M16" s="3">
        <f t="shared" ref="M16:AP16" si="7">M15-L15</f>
        <v>1.1391081371405249</v>
      </c>
      <c r="N16">
        <f t="shared" si="7"/>
        <v>1.0064669579855803</v>
      </c>
      <c r="O16">
        <f t="shared" si="7"/>
        <v>1.9982614320575465</v>
      </c>
      <c r="P16">
        <f t="shared" si="7"/>
        <v>1.3492016307836394</v>
      </c>
      <c r="Q16">
        <f t="shared" si="7"/>
        <v>1.3184973226621679</v>
      </c>
      <c r="R16">
        <f t="shared" si="7"/>
        <v>1.278210698385422</v>
      </c>
      <c r="S16">
        <f t="shared" si="7"/>
        <v>1.2624886891163811</v>
      </c>
      <c r="T16">
        <f t="shared" si="7"/>
        <v>1.2715886766625601</v>
      </c>
      <c r="U16">
        <f t="shared" si="7"/>
        <v>1.2765646621022171</v>
      </c>
      <c r="V16">
        <f t="shared" si="7"/>
        <v>1.2603654760116001</v>
      </c>
      <c r="W16">
        <f t="shared" si="7"/>
        <v>1.2582308101303141</v>
      </c>
      <c r="X16">
        <f t="shared" si="7"/>
        <v>1.2622305594026244</v>
      </c>
      <c r="Y16">
        <f t="shared" si="7"/>
        <v>1.2890219272138665</v>
      </c>
      <c r="Z16">
        <f t="shared" si="7"/>
        <v>1.2800861218424444</v>
      </c>
      <c r="AA16">
        <f t="shared" si="7"/>
        <v>1.2449334674190027</v>
      </c>
      <c r="AB16">
        <f t="shared" si="7"/>
        <v>1.1925669052691603</v>
      </c>
      <c r="AC16">
        <f t="shared" si="7"/>
        <v>1.1485161555565639</v>
      </c>
      <c r="AD16">
        <f t="shared" si="7"/>
        <v>1.1524301843530367</v>
      </c>
      <c r="AE16">
        <f t="shared" si="7"/>
        <v>1.1272033948752664</v>
      </c>
      <c r="AF16">
        <f t="shared" si="7"/>
        <v>1.1022126258096279</v>
      </c>
      <c r="AG16">
        <f t="shared" si="7"/>
        <v>1.0584575187495346</v>
      </c>
      <c r="AH16">
        <f t="shared" si="7"/>
        <v>1.0156370701878785</v>
      </c>
      <c r="AI16">
        <f t="shared" si="7"/>
        <v>0.98965298029111182</v>
      </c>
      <c r="AJ16">
        <f t="shared" si="7"/>
        <v>0.95792067245577073</v>
      </c>
      <c r="AK16">
        <f t="shared" si="7"/>
        <v>0.92396020299558757</v>
      </c>
      <c r="AL16">
        <f t="shared" si="7"/>
        <v>0.88395976884099525</v>
      </c>
      <c r="AM16">
        <f t="shared" si="7"/>
        <v>0.82379106251308087</v>
      </c>
      <c r="AN16">
        <f t="shared" si="7"/>
        <v>0.79128144048824822</v>
      </c>
      <c r="AO16">
        <f t="shared" si="7"/>
        <v>0.74239783532912895</v>
      </c>
      <c r="AP16">
        <f t="shared" si="7"/>
        <v>0.67180857556471096</v>
      </c>
    </row>
    <row r="17" spans="1:43">
      <c r="A17" s="21" t="s">
        <v>54</v>
      </c>
      <c r="D17" s="16"/>
      <c r="M17" s="23">
        <f t="shared" ref="M17:AP17" si="8">M16/L15</f>
        <v>1.6212685119689624E-2</v>
      </c>
      <c r="N17" s="23">
        <f t="shared" si="8"/>
        <v>1.4096292527008246E-2</v>
      </c>
      <c r="O17" s="23">
        <f t="shared" si="8"/>
        <v>2.7598056107889953E-2</v>
      </c>
      <c r="P17" s="23">
        <f t="shared" si="8"/>
        <v>1.813342207757174E-2</v>
      </c>
      <c r="Q17" s="23">
        <f t="shared" si="8"/>
        <v>1.7405137999986171E-2</v>
      </c>
      <c r="R17" s="23">
        <f t="shared" si="8"/>
        <v>1.6584666411571785E-2</v>
      </c>
      <c r="S17" s="23">
        <f t="shared" si="8"/>
        <v>1.6113438778443574E-2</v>
      </c>
      <c r="T17" s="23">
        <f t="shared" si="8"/>
        <v>1.5972216714274446E-2</v>
      </c>
      <c r="U17" s="23">
        <f t="shared" si="8"/>
        <v>1.5782635575150465E-2</v>
      </c>
      <c r="V17" s="23">
        <f t="shared" si="8"/>
        <v>1.5340249547540116E-2</v>
      </c>
      <c r="W17" s="23">
        <f t="shared" si="8"/>
        <v>1.5082892614373964E-2</v>
      </c>
      <c r="X17" s="23">
        <f t="shared" si="8"/>
        <v>1.490601333596382E-2</v>
      </c>
      <c r="Y17" s="23">
        <f t="shared" si="8"/>
        <v>1.4998826944829523E-2</v>
      </c>
      <c r="Z17" s="23">
        <f t="shared" si="8"/>
        <v>1.4674747524613917E-2</v>
      </c>
      <c r="AA17" s="23">
        <f t="shared" si="8"/>
        <v>1.4065356328972217E-2</v>
      </c>
      <c r="AB17" s="23">
        <f t="shared" si="8"/>
        <v>1.3286830777594866E-2</v>
      </c>
      <c r="AC17" s="23">
        <f t="shared" si="8"/>
        <v>1.2628255521697515E-2</v>
      </c>
      <c r="AD17" s="23">
        <f t="shared" si="8"/>
        <v>1.2513270581856761E-2</v>
      </c>
      <c r="AE17" s="23">
        <f t="shared" si="8"/>
        <v>1.2088092509420542E-2</v>
      </c>
      <c r="AF17" s="23">
        <f t="shared" si="8"/>
        <v>1.167891649258765E-2</v>
      </c>
      <c r="AG17" s="23">
        <f t="shared" si="8"/>
        <v>1.108582208850928E-2</v>
      </c>
      <c r="AH17" s="23">
        <f t="shared" si="8"/>
        <v>1.0520708694391371E-2</v>
      </c>
      <c r="AI17" s="23">
        <f t="shared" si="8"/>
        <v>1.0144815908141503E-2</v>
      </c>
      <c r="AJ17" s="23">
        <f t="shared" si="8"/>
        <v>9.7209148735246786E-3</v>
      </c>
      <c r="AK17" s="23">
        <f t="shared" si="8"/>
        <v>9.2860177145903996E-3</v>
      </c>
      <c r="AL17" s="23">
        <f t="shared" si="8"/>
        <v>8.8022659303331127E-3</v>
      </c>
      <c r="AM17" s="23">
        <f t="shared" si="8"/>
        <v>8.1315439249330882E-3</v>
      </c>
      <c r="AN17" s="23">
        <f t="shared" si="8"/>
        <v>7.7476449841502879E-3</v>
      </c>
      <c r="AO17" s="23">
        <f t="shared" si="8"/>
        <v>7.2131279767400696E-3</v>
      </c>
      <c r="AP17" s="23">
        <f t="shared" si="8"/>
        <v>6.4805386670580053E-3</v>
      </c>
    </row>
    <row r="18" spans="1:43" s="19" customFormat="1">
      <c r="A18" s="19" t="s">
        <v>79</v>
      </c>
      <c r="D18" s="20"/>
      <c r="G18" s="19">
        <v>11.216666666666667</v>
      </c>
      <c r="H18" s="33">
        <f>($AP18-$G18)/35+G18</f>
        <v>11.324761904761905</v>
      </c>
      <c r="I18" s="33">
        <f>($AP18-$G18)/35+H18</f>
        <v>11.432857142857143</v>
      </c>
      <c r="J18" s="33">
        <f t="shared" ref="J18:AO18" si="9">($AP18-$G18)/35+I18</f>
        <v>11.540952380952382</v>
      </c>
      <c r="K18" s="33">
        <f t="shared" si="9"/>
        <v>11.64904761904762</v>
      </c>
      <c r="L18" s="33">
        <f t="shared" si="9"/>
        <v>11.757142857142858</v>
      </c>
      <c r="M18" s="33">
        <f t="shared" si="9"/>
        <v>11.865238095238096</v>
      </c>
      <c r="N18" s="33">
        <f t="shared" si="9"/>
        <v>11.973333333333334</v>
      </c>
      <c r="O18" s="33">
        <f t="shared" si="9"/>
        <v>12.081428571428573</v>
      </c>
      <c r="P18" s="33">
        <f t="shared" si="9"/>
        <v>12.189523809523811</v>
      </c>
      <c r="Q18" s="33">
        <f t="shared" si="9"/>
        <v>12.297619047619049</v>
      </c>
      <c r="R18" s="33">
        <f t="shared" si="9"/>
        <v>12.405714285714287</v>
      </c>
      <c r="S18" s="33">
        <f t="shared" si="9"/>
        <v>12.513809523809526</v>
      </c>
      <c r="T18" s="33">
        <f t="shared" si="9"/>
        <v>12.621904761904764</v>
      </c>
      <c r="U18" s="33">
        <f t="shared" si="9"/>
        <v>12.730000000000002</v>
      </c>
      <c r="V18" s="33">
        <f t="shared" si="9"/>
        <v>12.83809523809524</v>
      </c>
      <c r="W18" s="33">
        <f t="shared" si="9"/>
        <v>12.946190476190479</v>
      </c>
      <c r="X18" s="33">
        <f t="shared" si="9"/>
        <v>13.054285714285717</v>
      </c>
      <c r="Y18" s="33">
        <f t="shared" si="9"/>
        <v>13.162380952380955</v>
      </c>
      <c r="Z18" s="33">
        <f t="shared" si="9"/>
        <v>13.270476190476193</v>
      </c>
      <c r="AA18" s="33">
        <f t="shared" si="9"/>
        <v>13.378571428571432</v>
      </c>
      <c r="AB18" s="33">
        <f t="shared" si="9"/>
        <v>13.48666666666667</v>
      </c>
      <c r="AC18" s="33">
        <f t="shared" si="9"/>
        <v>13.594761904761908</v>
      </c>
      <c r="AD18" s="33">
        <f t="shared" si="9"/>
        <v>13.702857142857146</v>
      </c>
      <c r="AE18" s="33">
        <f t="shared" si="9"/>
        <v>13.810952380952385</v>
      </c>
      <c r="AF18" s="33">
        <f t="shared" si="9"/>
        <v>13.919047619047623</v>
      </c>
      <c r="AG18" s="33">
        <f t="shared" si="9"/>
        <v>14.027142857142861</v>
      </c>
      <c r="AH18" s="33">
        <f t="shared" si="9"/>
        <v>14.135238095238099</v>
      </c>
      <c r="AI18" s="33">
        <f t="shared" si="9"/>
        <v>14.243333333333338</v>
      </c>
      <c r="AJ18" s="33">
        <f t="shared" si="9"/>
        <v>14.351428571428576</v>
      </c>
      <c r="AK18" s="33">
        <f t="shared" si="9"/>
        <v>14.459523809523814</v>
      </c>
      <c r="AL18" s="33">
        <f t="shared" si="9"/>
        <v>14.567619047619052</v>
      </c>
      <c r="AM18" s="33">
        <f t="shared" si="9"/>
        <v>14.675714285714291</v>
      </c>
      <c r="AN18" s="33">
        <f t="shared" si="9"/>
        <v>14.783809523809529</v>
      </c>
      <c r="AO18" s="33">
        <f t="shared" si="9"/>
        <v>14.891904761904767</v>
      </c>
      <c r="AP18" s="19">
        <v>15</v>
      </c>
    </row>
    <row r="19" spans="1:43" s="19" customFormat="1">
      <c r="A19" s="19" t="s">
        <v>78</v>
      </c>
      <c r="D19" s="20"/>
      <c r="H19" s="19">
        <v>3.3817908407564721</v>
      </c>
      <c r="I19" s="19">
        <v>3.327381570996979</v>
      </c>
      <c r="J19" s="19">
        <v>3.4292222816994316</v>
      </c>
      <c r="K19" s="19">
        <v>3.4503249107198135</v>
      </c>
      <c r="L19" s="19">
        <v>3.4731987768718371</v>
      </c>
      <c r="M19" s="19">
        <v>3.4807123918691891</v>
      </c>
      <c r="N19" s="19">
        <v>3.5438066465256797</v>
      </c>
      <c r="O19" s="19">
        <v>3.5293009767513679</v>
      </c>
      <c r="P19" s="19">
        <v>3.5453107456214901</v>
      </c>
      <c r="Q19" s="19">
        <v>3.5593850582442714</v>
      </c>
      <c r="R19" s="19">
        <v>3.5711623126043603</v>
      </c>
      <c r="S19" s="19">
        <v>3.5818361938057497</v>
      </c>
      <c r="T19" s="19">
        <v>3.5925511664120617</v>
      </c>
      <c r="U19" s="19">
        <v>3.6031245825221663</v>
      </c>
      <c r="V19" s="19">
        <v>3.6126445066757937</v>
      </c>
      <c r="W19" s="19">
        <v>3.6217513771484713</v>
      </c>
      <c r="X19" s="19">
        <v>3.6307193893815621</v>
      </c>
      <c r="Y19" s="19">
        <v>3.6405046785615847</v>
      </c>
      <c r="Z19" s="19">
        <v>3.6496045730164064</v>
      </c>
      <c r="AA19" s="19">
        <v>3.6569751781554816</v>
      </c>
      <c r="AB19" s="19">
        <v>3.6619842978069554</v>
      </c>
      <c r="AC19" s="19">
        <v>3.6650453790480699</v>
      </c>
      <c r="AD19" s="19">
        <v>3.6681127558341617</v>
      </c>
      <c r="AE19" s="19">
        <v>3.670053280057493</v>
      </c>
      <c r="AF19" s="19">
        <v>3.6709145415208622</v>
      </c>
      <c r="AG19" s="19">
        <v>3.6700197980996019</v>
      </c>
      <c r="AH19" s="19">
        <v>3.6674630594148003</v>
      </c>
      <c r="AI19" s="19">
        <v>3.6639256449971751</v>
      </c>
      <c r="AJ19" s="19">
        <v>3.6592287895415883</v>
      </c>
      <c r="AK19" s="19">
        <v>3.653329610143079</v>
      </c>
      <c r="AL19" s="19">
        <v>3.6460499962289772</v>
      </c>
      <c r="AM19" s="19">
        <v>3.636716436068629</v>
      </c>
      <c r="AN19" s="19">
        <v>3.6263690147948555</v>
      </c>
      <c r="AO19" s="19">
        <v>3.6144693928558329</v>
      </c>
      <c r="AP19" s="19">
        <v>3.6019800000000002</v>
      </c>
    </row>
    <row r="20" spans="1:43">
      <c r="A20" t="s">
        <v>81</v>
      </c>
      <c r="D20" s="16"/>
      <c r="H20" s="34">
        <f>H19*H18</f>
        <v>38.297976083271628</v>
      </c>
      <c r="I20" s="34">
        <f t="shared" ref="I20:K20" si="10">I19*I18</f>
        <v>38.041478160984035</v>
      </c>
      <c r="J20" s="34">
        <f t="shared" si="10"/>
        <v>39.576491056794012</v>
      </c>
      <c r="K20" s="34">
        <f t="shared" si="10"/>
        <v>40.192999186161337</v>
      </c>
      <c r="L20" s="34">
        <f>L19*L18</f>
        <v>40.834894190936033</v>
      </c>
      <c r="M20" s="34">
        <f t="shared" ref="M20" si="11">M19*M18</f>
        <v>41.299481270573615</v>
      </c>
      <c r="N20" s="34">
        <f t="shared" ref="N20:O20" si="12">N19*N18</f>
        <v>42.431178247734145</v>
      </c>
      <c r="O20" s="34">
        <f t="shared" si="12"/>
        <v>42.638997657694745</v>
      </c>
      <c r="P20" s="34">
        <f t="shared" ref="P20" si="13">P19*P18</f>
        <v>43.215649745913765</v>
      </c>
      <c r="Q20" s="34">
        <f t="shared" ref="Q20" si="14">Q19*Q18</f>
        <v>43.771961490075391</v>
      </c>
      <c r="R20" s="34">
        <f t="shared" ref="R20:S20" si="15">R19*R18</f>
        <v>44.302819318080388</v>
      </c>
      <c r="S20" s="34">
        <f t="shared" si="15"/>
        <v>44.822415874772055</v>
      </c>
      <c r="T20" s="34">
        <f t="shared" ref="T20" si="16">T19*T18</f>
        <v>45.344838674722915</v>
      </c>
      <c r="U20" s="34">
        <f t="shared" ref="U20:V20" si="17">U19*U18</f>
        <v>45.867775935507183</v>
      </c>
      <c r="V20" s="34">
        <f t="shared" si="17"/>
        <v>46.379474238085436</v>
      </c>
      <c r="W20" s="34">
        <f t="shared" ref="W20" si="18">W19*W18</f>
        <v>46.887883185969287</v>
      </c>
      <c r="X20" s="34">
        <f t="shared" ref="X20" si="19">X19*X18</f>
        <v>47.396448257383888</v>
      </c>
      <c r="Y20" s="34">
        <f t="shared" ref="Y20:Z20" si="20">Y19*Y18</f>
        <v>47.917709438152755</v>
      </c>
      <c r="Z20" s="34">
        <f t="shared" si="20"/>
        <v>48.431990590867258</v>
      </c>
      <c r="AA20" s="34">
        <f t="shared" ref="AA20" si="21">AA19*AA18</f>
        <v>48.925103633465845</v>
      </c>
      <c r="AB20" s="34">
        <f t="shared" ref="AB20:AC20" si="22">AB19*AB18</f>
        <v>49.387961563089817</v>
      </c>
      <c r="AC20" s="34">
        <f t="shared" si="22"/>
        <v>49.825419298306372</v>
      </c>
      <c r="AD20" s="34">
        <f t="shared" ref="AD20" si="23">AD19*AD18</f>
        <v>50.263625077087553</v>
      </c>
      <c r="AE20" s="34">
        <f t="shared" ref="AE20" si="24">AE19*AE18</f>
        <v>50.686931086432139</v>
      </c>
      <c r="AF20" s="34">
        <f t="shared" ref="AF20:AG20" si="25">AF19*AF18</f>
        <v>51.095634308883255</v>
      </c>
      <c r="AG20" s="34">
        <f t="shared" si="25"/>
        <v>51.479891996485719</v>
      </c>
      <c r="AH20" s="34">
        <f t="shared" ref="AH20" si="26">AH19*AH18</f>
        <v>51.840463550318553</v>
      </c>
      <c r="AI20" s="34">
        <f t="shared" ref="AI20:AJ20" si="27">AI19*AI18</f>
        <v>52.186514270243116</v>
      </c>
      <c r="AJ20" s="34">
        <f t="shared" si="27"/>
        <v>52.515160599621154</v>
      </c>
      <c r="AK20" s="34">
        <f t="shared" ref="AK20" si="28">AK19*AK18</f>
        <v>52.825406481902206</v>
      </c>
      <c r="AL20" s="34">
        <f t="shared" ref="AL20" si="29">AL19*AL18</f>
        <v>53.114267373636622</v>
      </c>
      <c r="AM20" s="34">
        <f t="shared" ref="AM20:AN20" si="30">AM19*AM18</f>
        <v>53.371411353904342</v>
      </c>
      <c r="AN20" s="34">
        <f t="shared" si="30"/>
        <v>53.611548777771965</v>
      </c>
      <c r="AO20" s="34">
        <f t="shared" ref="AO20" si="31">AO19*AO18</f>
        <v>53.826333963228812</v>
      </c>
      <c r="AP20" s="34">
        <f t="shared" ref="AP20" si="32">AP19*AP18</f>
        <v>54.029700000000005</v>
      </c>
    </row>
    <row r="21" spans="1:43">
      <c r="A21" t="s">
        <v>53</v>
      </c>
      <c r="D21" s="16"/>
      <c r="M21">
        <f>M20-L20</f>
        <v>0.46458707963758172</v>
      </c>
      <c r="N21">
        <f t="shared" ref="N21:AP21" si="33">N20-M20</f>
        <v>1.1316969771605301</v>
      </c>
      <c r="O21">
        <f t="shared" si="33"/>
        <v>0.20781940996059944</v>
      </c>
      <c r="P21">
        <f t="shared" si="33"/>
        <v>0.5766520882190207</v>
      </c>
      <c r="Q21">
        <f t="shared" si="33"/>
        <v>0.55631174416162565</v>
      </c>
      <c r="R21">
        <f t="shared" si="33"/>
        <v>0.53085782800499715</v>
      </c>
      <c r="S21">
        <f t="shared" si="33"/>
        <v>0.51959655669166693</v>
      </c>
      <c r="T21">
        <f t="shared" si="33"/>
        <v>0.52242279995085994</v>
      </c>
      <c r="U21">
        <f t="shared" si="33"/>
        <v>0.52293726078426772</v>
      </c>
      <c r="V21">
        <f t="shared" si="33"/>
        <v>0.51169830257825311</v>
      </c>
      <c r="W21">
        <f t="shared" si="33"/>
        <v>0.50840894788385071</v>
      </c>
      <c r="X21">
        <f t="shared" si="33"/>
        <v>0.50856507141460128</v>
      </c>
      <c r="Y21">
        <f t="shared" si="33"/>
        <v>0.5212611807688674</v>
      </c>
      <c r="Z21">
        <f t="shared" si="33"/>
        <v>0.51428115271450281</v>
      </c>
      <c r="AA21">
        <f t="shared" si="33"/>
        <v>0.49311304259858701</v>
      </c>
      <c r="AB21">
        <f t="shared" si="33"/>
        <v>0.4628579296239721</v>
      </c>
      <c r="AC21">
        <f t="shared" si="33"/>
        <v>0.43745773521655451</v>
      </c>
      <c r="AD21">
        <f t="shared" si="33"/>
        <v>0.43820577878118172</v>
      </c>
      <c r="AE21">
        <f t="shared" si="33"/>
        <v>0.42330600934458573</v>
      </c>
      <c r="AF21">
        <f t="shared" si="33"/>
        <v>0.40870322245111623</v>
      </c>
      <c r="AG21">
        <f t="shared" si="33"/>
        <v>0.3842576876024637</v>
      </c>
      <c r="AH21">
        <f t="shared" si="33"/>
        <v>0.36057155383283401</v>
      </c>
      <c r="AI21">
        <f t="shared" si="33"/>
        <v>0.3460507199245626</v>
      </c>
      <c r="AJ21">
        <f t="shared" si="33"/>
        <v>0.32864632937803862</v>
      </c>
      <c r="AK21">
        <f t="shared" si="33"/>
        <v>0.31024588228105188</v>
      </c>
      <c r="AL21">
        <f t="shared" si="33"/>
        <v>0.28886089173441576</v>
      </c>
      <c r="AM21">
        <f t="shared" si="33"/>
        <v>0.25714398026772045</v>
      </c>
      <c r="AN21">
        <f t="shared" si="33"/>
        <v>0.2401374238676226</v>
      </c>
      <c r="AO21">
        <f t="shared" si="33"/>
        <v>0.21478518545684722</v>
      </c>
      <c r="AP21">
        <f t="shared" si="33"/>
        <v>0.20336603677119314</v>
      </c>
    </row>
    <row r="22" spans="1:43">
      <c r="A22" s="21" t="s">
        <v>55</v>
      </c>
      <c r="D22" s="16"/>
      <c r="M22" s="23">
        <f t="shared" ref="M22:AP22" si="34">M21/L20</f>
        <v>1.1377207871906384E-2</v>
      </c>
      <c r="N22" s="23">
        <f t="shared" si="34"/>
        <v>2.7402208026445069E-2</v>
      </c>
      <c r="O22" s="23">
        <f t="shared" si="34"/>
        <v>4.897799649758657E-3</v>
      </c>
      <c r="P22" s="23">
        <f t="shared" si="34"/>
        <v>1.3524053563556425E-2</v>
      </c>
      <c r="Q22" s="23">
        <f t="shared" si="34"/>
        <v>1.2872923291271987E-2</v>
      </c>
      <c r="R22" s="23">
        <f t="shared" si="34"/>
        <v>1.2127805333223664E-2</v>
      </c>
      <c r="S22" s="23">
        <f t="shared" si="34"/>
        <v>1.1728295505555214E-2</v>
      </c>
      <c r="T22" s="23">
        <f t="shared" si="34"/>
        <v>1.1655391387435265E-2</v>
      </c>
      <c r="U22" s="23">
        <f t="shared" si="34"/>
        <v>1.1532453881587509E-2</v>
      </c>
      <c r="V22" s="23">
        <f t="shared" si="34"/>
        <v>1.1155943189783853E-2</v>
      </c>
      <c r="W22" s="23">
        <f t="shared" si="34"/>
        <v>1.0961938578129903E-2</v>
      </c>
      <c r="X22" s="23">
        <f t="shared" si="34"/>
        <v>1.0846407149529499E-2</v>
      </c>
      <c r="Y22" s="23">
        <f t="shared" si="34"/>
        <v>1.0997895410605165E-2</v>
      </c>
      <c r="Z22" s="23">
        <f t="shared" si="34"/>
        <v>1.0732590492003462E-2</v>
      </c>
      <c r="AA22" s="23">
        <f t="shared" si="34"/>
        <v>1.018155637591267E-2</v>
      </c>
      <c r="AB22" s="23">
        <f t="shared" si="34"/>
        <v>9.4605406069567747E-3</v>
      </c>
      <c r="AC22" s="23">
        <f t="shared" si="34"/>
        <v>8.857578271533469E-3</v>
      </c>
      <c r="AD22" s="23">
        <f t="shared" si="34"/>
        <v>8.7948237054991905E-3</v>
      </c>
      <c r="AE22" s="23">
        <f t="shared" si="34"/>
        <v>8.4217166727504466E-3</v>
      </c>
      <c r="AF22" s="23">
        <f t="shared" si="34"/>
        <v>8.0632860126052842E-3</v>
      </c>
      <c r="AG22" s="23">
        <f t="shared" si="34"/>
        <v>7.5203624106034124E-3</v>
      </c>
      <c r="AH22" s="23">
        <f t="shared" si="34"/>
        <v>7.004124131757084E-3</v>
      </c>
      <c r="AI22" s="23">
        <f t="shared" si="34"/>
        <v>6.6753014194919592E-3</v>
      </c>
      <c r="AJ22" s="23">
        <f t="shared" si="34"/>
        <v>6.297533643963525E-3</v>
      </c>
      <c r="AK22" s="23">
        <f t="shared" si="34"/>
        <v>5.9077393792315658E-3</v>
      </c>
      <c r="AL22" s="23">
        <f t="shared" si="34"/>
        <v>5.468219006196923E-3</v>
      </c>
      <c r="AM22" s="23">
        <f t="shared" si="34"/>
        <v>4.8413353507979363E-3</v>
      </c>
      <c r="AN22" s="23">
        <f t="shared" si="34"/>
        <v>4.4993643183853247E-3</v>
      </c>
      <c r="AO22" s="23">
        <f t="shared" si="34"/>
        <v>4.0063230843631198E-3</v>
      </c>
      <c r="AP22" s="23">
        <f t="shared" si="34"/>
        <v>3.7781885147541651E-3</v>
      </c>
    </row>
    <row r="23" spans="1:43" s="19" customFormat="1">
      <c r="A23" s="19" t="s">
        <v>49</v>
      </c>
      <c r="L23" s="19">
        <f>[2]基础数据!$B$22</f>
        <v>13.620902906617193</v>
      </c>
    </row>
    <row r="24" spans="1:43">
      <c r="A24" t="s">
        <v>75</v>
      </c>
      <c r="L24" s="17">
        <v>47.899999999999977</v>
      </c>
      <c r="M24" s="31">
        <v>48.269999999999982</v>
      </c>
      <c r="N24" s="31">
        <v>48.639999999999986</v>
      </c>
      <c r="O24" s="31">
        <v>49.009999999999991</v>
      </c>
      <c r="P24" s="31">
        <v>49.379999999999995</v>
      </c>
      <c r="Q24" s="31">
        <v>49.75</v>
      </c>
      <c r="R24" s="31">
        <v>50.120000000000005</v>
      </c>
      <c r="S24" s="31">
        <v>50.490000000000009</v>
      </c>
      <c r="T24" s="31">
        <v>50.860000000000014</v>
      </c>
      <c r="U24" s="31">
        <v>51.230000000000018</v>
      </c>
      <c r="V24" s="31">
        <v>51.600000000000023</v>
      </c>
      <c r="W24" s="31">
        <v>51.970000000000027</v>
      </c>
      <c r="X24" s="31">
        <v>52.340000000000032</v>
      </c>
      <c r="Y24" s="31">
        <v>52.710000000000036</v>
      </c>
      <c r="Z24" s="31">
        <v>53.080000000000041</v>
      </c>
      <c r="AA24" s="31">
        <v>53.450000000000045</v>
      </c>
      <c r="AB24" s="31">
        <v>53.819999999999936</v>
      </c>
      <c r="AC24" s="31">
        <v>54.189999999999941</v>
      </c>
      <c r="AD24" s="31">
        <v>54.559999999999945</v>
      </c>
      <c r="AE24" s="31">
        <v>54.92999999999995</v>
      </c>
      <c r="AF24" s="31">
        <v>55.299999999999955</v>
      </c>
      <c r="AG24" s="31">
        <v>55.669999999999959</v>
      </c>
      <c r="AH24" s="31">
        <v>56.039999999999964</v>
      </c>
      <c r="AI24" s="31">
        <v>56.409999999999968</v>
      </c>
      <c r="AJ24" s="31">
        <v>56.779999999999973</v>
      </c>
      <c r="AK24" s="31">
        <v>57.149999999999977</v>
      </c>
      <c r="AL24" s="31">
        <v>57.519999999999982</v>
      </c>
      <c r="AM24" s="31">
        <v>57.889999999999986</v>
      </c>
      <c r="AN24" s="31">
        <v>58.259999999999991</v>
      </c>
      <c r="AO24" s="31">
        <v>58.629999999999995</v>
      </c>
      <c r="AP24" s="31">
        <v>59</v>
      </c>
    </row>
    <row r="25" spans="1:43">
      <c r="A25" t="s">
        <v>57</v>
      </c>
      <c r="M25">
        <f>M24-L24</f>
        <v>0.37000000000000455</v>
      </c>
      <c r="N25">
        <f t="shared" ref="N25:AP25" si="35">N24-M24</f>
        <v>0.37000000000000455</v>
      </c>
      <c r="O25">
        <f t="shared" si="35"/>
        <v>0.37000000000000455</v>
      </c>
      <c r="P25">
        <f t="shared" si="35"/>
        <v>0.37000000000000455</v>
      </c>
      <c r="Q25">
        <f t="shared" si="35"/>
        <v>0.37000000000000455</v>
      </c>
      <c r="R25">
        <f t="shared" si="35"/>
        <v>0.37000000000000455</v>
      </c>
      <c r="S25">
        <f t="shared" si="35"/>
        <v>0.37000000000000455</v>
      </c>
      <c r="T25">
        <f t="shared" si="35"/>
        <v>0.37000000000000455</v>
      </c>
      <c r="U25">
        <f t="shared" si="35"/>
        <v>0.37000000000000455</v>
      </c>
      <c r="V25">
        <f t="shared" si="35"/>
        <v>0.37000000000000455</v>
      </c>
      <c r="W25">
        <f t="shared" si="35"/>
        <v>0.37000000000000455</v>
      </c>
      <c r="X25">
        <f t="shared" si="35"/>
        <v>0.37000000000000455</v>
      </c>
      <c r="Y25">
        <f t="shared" si="35"/>
        <v>0.37000000000000455</v>
      </c>
      <c r="Z25">
        <f t="shared" si="35"/>
        <v>0.37000000000000455</v>
      </c>
      <c r="AA25">
        <f t="shared" si="35"/>
        <v>0.37000000000000455</v>
      </c>
      <c r="AB25">
        <f t="shared" si="35"/>
        <v>0.36999999999989086</v>
      </c>
      <c r="AC25">
        <f t="shared" si="35"/>
        <v>0.37000000000000455</v>
      </c>
      <c r="AD25">
        <f t="shared" si="35"/>
        <v>0.37000000000000455</v>
      </c>
      <c r="AE25">
        <f t="shared" si="35"/>
        <v>0.37000000000000455</v>
      </c>
      <c r="AF25">
        <f t="shared" si="35"/>
        <v>0.37000000000000455</v>
      </c>
      <c r="AG25">
        <f t="shared" si="35"/>
        <v>0.37000000000000455</v>
      </c>
      <c r="AH25">
        <f t="shared" si="35"/>
        <v>0.37000000000000455</v>
      </c>
      <c r="AI25">
        <f t="shared" si="35"/>
        <v>0.37000000000000455</v>
      </c>
      <c r="AJ25">
        <f t="shared" si="35"/>
        <v>0.37000000000000455</v>
      </c>
      <c r="AK25">
        <f t="shared" si="35"/>
        <v>0.37000000000000455</v>
      </c>
      <c r="AL25">
        <f t="shared" si="35"/>
        <v>0.37000000000000455</v>
      </c>
      <c r="AM25">
        <f t="shared" si="35"/>
        <v>0.37000000000000455</v>
      </c>
      <c r="AN25">
        <f t="shared" si="35"/>
        <v>0.37000000000000455</v>
      </c>
      <c r="AO25">
        <f t="shared" si="35"/>
        <v>0.37000000000000455</v>
      </c>
      <c r="AP25">
        <f t="shared" si="35"/>
        <v>0.37000000000000455</v>
      </c>
    </row>
    <row r="26" spans="1:43">
      <c r="A26" s="21" t="s">
        <v>56</v>
      </c>
      <c r="M26" s="7">
        <f>M25/M24</f>
        <v>7.6652164905739529E-3</v>
      </c>
      <c r="N26" s="7">
        <f t="shared" ref="N26:AP26" si="36">N25/N24</f>
        <v>7.6069078947369377E-3</v>
      </c>
      <c r="O26" s="7">
        <f t="shared" si="36"/>
        <v>7.5494796980209063E-3</v>
      </c>
      <c r="P26" s="7">
        <f t="shared" si="36"/>
        <v>7.4929121101661523E-3</v>
      </c>
      <c r="Q26" s="7">
        <f t="shared" si="36"/>
        <v>7.4371859296483329E-3</v>
      </c>
      <c r="R26" s="7">
        <f t="shared" si="36"/>
        <v>7.3822825219474163E-3</v>
      </c>
      <c r="S26" s="7">
        <f t="shared" si="36"/>
        <v>7.3281837987721225E-3</v>
      </c>
      <c r="T26" s="7">
        <f t="shared" si="36"/>
        <v>7.2748721981912004E-3</v>
      </c>
      <c r="U26" s="7">
        <f t="shared" si="36"/>
        <v>7.222330665625696E-3</v>
      </c>
      <c r="V26" s="7">
        <f t="shared" si="36"/>
        <v>7.1705426356589996E-3</v>
      </c>
      <c r="W26" s="7">
        <f t="shared" si="36"/>
        <v>7.1194920146239052E-3</v>
      </c>
      <c r="X26" s="7">
        <f t="shared" si="36"/>
        <v>7.0691631639282449E-3</v>
      </c>
      <c r="Y26" s="7">
        <f t="shared" si="36"/>
        <v>7.0195408840827977E-3</v>
      </c>
      <c r="Z26" s="7">
        <f t="shared" si="36"/>
        <v>6.970610399397217E-3</v>
      </c>
      <c r="AA26" s="7">
        <f t="shared" si="36"/>
        <v>6.9223573433115854E-3</v>
      </c>
      <c r="AB26" s="7">
        <f t="shared" si="36"/>
        <v>6.8747677443309419E-3</v>
      </c>
      <c r="AC26" s="7">
        <f t="shared" si="36"/>
        <v>6.8278280125485319E-3</v>
      </c>
      <c r="AD26" s="7">
        <f t="shared" si="36"/>
        <v>6.7815249266863073E-3</v>
      </c>
      <c r="AE26" s="7">
        <f t="shared" si="36"/>
        <v>6.7358456217004349E-3</v>
      </c>
      <c r="AF26" s="7">
        <f t="shared" si="36"/>
        <v>6.6907775768536137E-3</v>
      </c>
      <c r="AG26" s="7">
        <f t="shared" si="36"/>
        <v>6.6463086042752801E-3</v>
      </c>
      <c r="AH26" s="7">
        <f t="shared" si="36"/>
        <v>6.6024268379729616E-3</v>
      </c>
      <c r="AI26" s="7">
        <f t="shared" si="36"/>
        <v>6.5591207232760995E-3</v>
      </c>
      <c r="AJ26" s="7">
        <f t="shared" si="36"/>
        <v>6.5163790066925806E-3</v>
      </c>
      <c r="AK26" s="7">
        <f t="shared" si="36"/>
        <v>6.4741907261593118E-3</v>
      </c>
      <c r="AL26" s="7">
        <f t="shared" si="36"/>
        <v>6.4325452016690656E-3</v>
      </c>
      <c r="AM26" s="7">
        <f t="shared" si="36"/>
        <v>6.3914320262567735E-3</v>
      </c>
      <c r="AN26" s="7">
        <f t="shared" si="36"/>
        <v>6.3508410573292927E-3</v>
      </c>
      <c r="AO26" s="7">
        <f t="shared" si="36"/>
        <v>6.310762408323462E-3</v>
      </c>
      <c r="AP26" s="7">
        <f t="shared" si="36"/>
        <v>6.2711864406780433E-3</v>
      </c>
      <c r="AQ26" s="7"/>
    </row>
    <row r="27" spans="1:43"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3">
      <c r="A28" s="1" t="s">
        <v>20</v>
      </c>
    </row>
    <row r="29" spans="1:43">
      <c r="A29" t="s">
        <v>58</v>
      </c>
      <c r="B29" s="8">
        <f>AVERAGE(M17:AP17)</f>
        <v>1.3276513475113624E-2</v>
      </c>
      <c r="D29">
        <f>L15</f>
        <v>70.26030103780441</v>
      </c>
    </row>
    <row r="30" spans="1:43">
      <c r="A30" t="s">
        <v>59</v>
      </c>
      <c r="B30" s="8">
        <f>AVERAGE(M22:AP22)</f>
        <v>9.3863635411864949E-3</v>
      </c>
      <c r="D30">
        <f>L20</f>
        <v>40.834894190936033</v>
      </c>
    </row>
    <row r="31" spans="1:43">
      <c r="A31" t="s">
        <v>60</v>
      </c>
      <c r="B31" s="22">
        <f>AVERAGE(M26:AP26)</f>
        <v>6.9232338221146047E-3</v>
      </c>
      <c r="D31">
        <f>L24</f>
        <v>47.899999999999977</v>
      </c>
    </row>
    <row r="32" spans="1:43">
      <c r="A32" t="s">
        <v>61</v>
      </c>
      <c r="B32" s="25">
        <f>SUMPRODUCT(B29:B31,D29:D31)/SUM(D29:D31)</f>
        <v>1.0363369114674996E-2</v>
      </c>
    </row>
    <row r="34" spans="1:2">
      <c r="A34" s="10" t="s">
        <v>24</v>
      </c>
    </row>
    <row r="36" spans="1:2">
      <c r="A36" t="s">
        <v>25</v>
      </c>
    </row>
    <row r="37" spans="1:2">
      <c r="A37" t="s">
        <v>26</v>
      </c>
    </row>
    <row r="38" spans="1:2">
      <c r="A38" t="s">
        <v>27</v>
      </c>
    </row>
    <row r="40" spans="1:2">
      <c r="A40" s="26" t="s">
        <v>28</v>
      </c>
    </row>
    <row r="41" spans="1:2">
      <c r="A41" t="s">
        <v>58</v>
      </c>
      <c r="B41" s="8">
        <f>1-B29</f>
        <v>0.9867234865248864</v>
      </c>
    </row>
    <row r="42" spans="1:2">
      <c r="A42" t="s">
        <v>59</v>
      </c>
      <c r="B42" s="24">
        <f>1-B30</f>
        <v>0.99061363645881351</v>
      </c>
    </row>
    <row r="43" spans="1:2">
      <c r="A43" t="s">
        <v>60</v>
      </c>
      <c r="B43" s="22">
        <f>1-B31</f>
        <v>0.99307676617788543</v>
      </c>
    </row>
    <row r="45" spans="1:2">
      <c r="A45" s="26" t="s">
        <v>29</v>
      </c>
    </row>
    <row r="46" spans="1:2">
      <c r="A46" t="s">
        <v>3</v>
      </c>
      <c r="B46">
        <f>1/'Component Lifetimes'!B2</f>
        <v>5.7692307692307696E-2</v>
      </c>
    </row>
    <row r="47" spans="1:2">
      <c r="A47" t="s">
        <v>4</v>
      </c>
      <c r="B47">
        <f>1/'Component Lifetimes'!B3</f>
        <v>7.1428571428571425E-2</v>
      </c>
    </row>
    <row r="48" spans="1:2">
      <c r="A48" t="s">
        <v>6</v>
      </c>
      <c r="B48">
        <f>1/'Component Lifetimes'!B4</f>
        <v>1.9298245614035089E-2</v>
      </c>
    </row>
    <row r="49" spans="1:6">
      <c r="A49" t="s">
        <v>7</v>
      </c>
      <c r="B49">
        <f>1/'Component Lifetimes'!B5</f>
        <v>0.1095</v>
      </c>
    </row>
    <row r="50" spans="1:6">
      <c r="A50" t="s">
        <v>8</v>
      </c>
      <c r="B50">
        <f>1/'Component Lifetimes'!B6</f>
        <v>8.771929824561403E-2</v>
      </c>
    </row>
    <row r="52" spans="1:6">
      <c r="A52" s="26" t="s">
        <v>30</v>
      </c>
    </row>
    <row r="53" spans="1:6">
      <c r="B53" t="s">
        <v>58</v>
      </c>
      <c r="C53" t="s">
        <v>59</v>
      </c>
      <c r="D53" t="s">
        <v>60</v>
      </c>
    </row>
    <row r="54" spans="1:6">
      <c r="A54" t="s">
        <v>3</v>
      </c>
      <c r="B54" s="22">
        <f>B$41*B46+$B$29</f>
        <v>7.0202868466933993E-2</v>
      </c>
      <c r="C54" s="22">
        <f>B$42*B46+$B$30</f>
        <v>6.6537150259964206E-2</v>
      </c>
      <c r="D54" s="22">
        <f>B$43*B46+$B$31</f>
        <v>6.4216124178531078E-2</v>
      </c>
    </row>
    <row r="55" spans="1:6">
      <c r="A55" t="s">
        <v>4</v>
      </c>
      <c r="B55" s="22">
        <f t="shared" ref="B55:B58" si="37">B$41*B47+$B$29</f>
        <v>8.3756762512605498E-2</v>
      </c>
      <c r="C55" s="22">
        <f t="shared" ref="C55:C58" si="38">B$42*B47+$B$30</f>
        <v>8.0144480431101742E-2</v>
      </c>
      <c r="D55" s="22">
        <f t="shared" ref="D55:D58" si="39">B$43*B47+$B$31</f>
        <v>7.785728854910641E-2</v>
      </c>
    </row>
    <row r="56" spans="1:6">
      <c r="A56" t="s">
        <v>6</v>
      </c>
      <c r="B56" s="22">
        <f t="shared" si="37"/>
        <v>3.2318545671207927E-2</v>
      </c>
      <c r="C56" s="22">
        <f>B$42*B48+$B$30</f>
        <v>2.850346880618114E-2</v>
      </c>
      <c r="D56" s="22">
        <f t="shared" si="39"/>
        <v>2.6087873169407132E-2</v>
      </c>
    </row>
    <row r="57" spans="1:6">
      <c r="A57" t="s">
        <v>7</v>
      </c>
      <c r="B57" s="22">
        <f t="shared" si="37"/>
        <v>0.12132273524958868</v>
      </c>
      <c r="C57" s="22">
        <f t="shared" si="38"/>
        <v>0.11785855673342657</v>
      </c>
      <c r="D57" s="22">
        <f t="shared" si="39"/>
        <v>0.11566513971859306</v>
      </c>
    </row>
    <row r="58" spans="1:6">
      <c r="A58" t="s">
        <v>8</v>
      </c>
      <c r="B58" s="22">
        <f t="shared" si="37"/>
        <v>9.9831205275542248E-2</v>
      </c>
      <c r="C58" s="22">
        <f t="shared" si="38"/>
        <v>9.6282296563889425E-2</v>
      </c>
      <c r="D58" s="22">
        <f t="shared" si="39"/>
        <v>9.4035230855262442E-2</v>
      </c>
    </row>
    <row r="63" spans="1:6" ht="116">
      <c r="A63" t="s">
        <v>64</v>
      </c>
      <c r="B63" t="s">
        <v>65</v>
      </c>
      <c r="C63" s="15" t="s">
        <v>66</v>
      </c>
      <c r="D63" t="s">
        <v>67</v>
      </c>
      <c r="E63" t="s">
        <v>68</v>
      </c>
    </row>
    <row r="64" spans="1:6">
      <c r="A64" t="s">
        <v>69</v>
      </c>
      <c r="F64" t="s">
        <v>73</v>
      </c>
    </row>
    <row r="80" spans="2:2">
      <c r="B80" s="32" t="s">
        <v>80</v>
      </c>
    </row>
    <row r="81" spans="2:3" ht="15.5">
      <c r="B81" s="29" t="s">
        <v>72</v>
      </c>
    </row>
    <row r="87" spans="2:3">
      <c r="C87" s="31"/>
    </row>
    <row r="88" spans="2:3">
      <c r="C88" s="31"/>
    </row>
  </sheetData>
  <phoneticPr fontId="10" type="noConversion"/>
  <hyperlinks>
    <hyperlink ref="B80" r:id="rId1" xr:uid="{318086D1-1775-0B41-A6B6-4304B5F97DDB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tabSelected="1" workbookViewId="0">
      <selection activeCell="B2" sqref="B2:D7"/>
    </sheetView>
  </sheetViews>
  <sheetFormatPr defaultColWidth="9" defaultRowHeight="14.5"/>
  <cols>
    <col min="1" max="1" width="23.81640625" customWidth="1"/>
    <col min="2" max="2" width="17.6328125" customWidth="1"/>
    <col min="3" max="3" width="18.1796875" customWidth="1"/>
    <col min="4" max="4" width="14.81640625" customWidth="1"/>
  </cols>
  <sheetData>
    <row r="1" spans="1:4" ht="29">
      <c r="A1" s="14" t="s">
        <v>43</v>
      </c>
      <c r="B1" s="9" t="s">
        <v>21</v>
      </c>
      <c r="C1" s="9" t="s">
        <v>22</v>
      </c>
      <c r="D1" s="9" t="s">
        <v>23</v>
      </c>
    </row>
    <row r="2" spans="1:4">
      <c r="A2" t="s">
        <v>3</v>
      </c>
      <c r="B2" s="13">
        <f>'China Calculations'!B54</f>
        <v>7.0202868466933993E-2</v>
      </c>
      <c r="C2" s="4">
        <f>'China Calculations'!C54</f>
        <v>6.6537150259964206E-2</v>
      </c>
      <c r="D2" s="13">
        <f>'China Calculations'!D54</f>
        <v>6.4216124178531078E-2</v>
      </c>
    </row>
    <row r="3" spans="1:4">
      <c r="A3" t="s">
        <v>4</v>
      </c>
      <c r="B3" s="13">
        <f>'China Calculations'!B55</f>
        <v>8.3756762512605498E-2</v>
      </c>
      <c r="C3" s="4">
        <f>'China Calculations'!C55</f>
        <v>8.0144480431101742E-2</v>
      </c>
      <c r="D3" s="13">
        <f>'China Calculations'!D55</f>
        <v>7.785728854910641E-2</v>
      </c>
    </row>
    <row r="4" spans="1:4">
      <c r="A4" t="s">
        <v>5</v>
      </c>
      <c r="B4" s="5">
        <v>0</v>
      </c>
      <c r="C4" s="5">
        <v>0</v>
      </c>
      <c r="D4" s="5">
        <v>0</v>
      </c>
    </row>
    <row r="5" spans="1:4">
      <c r="A5" t="s">
        <v>6</v>
      </c>
      <c r="B5" s="13">
        <f>'China Calculations'!B56</f>
        <v>3.2318545671207927E-2</v>
      </c>
      <c r="C5" s="4">
        <f>'China Calculations'!C56</f>
        <v>2.850346880618114E-2</v>
      </c>
      <c r="D5" s="13">
        <f>'China Calculations'!D56</f>
        <v>2.6087873169407132E-2</v>
      </c>
    </row>
    <row r="6" spans="1:4">
      <c r="A6" t="s">
        <v>7</v>
      </c>
      <c r="B6" s="13">
        <f>'China Calculations'!B57</f>
        <v>0.12132273524958868</v>
      </c>
      <c r="C6" s="4">
        <f>'China Calculations'!C57</f>
        <v>0.11785855673342657</v>
      </c>
      <c r="D6" s="13">
        <f>'China Calculations'!D57</f>
        <v>0.11566513971859306</v>
      </c>
    </row>
    <row r="7" spans="1:4">
      <c r="A7" t="s">
        <v>8</v>
      </c>
      <c r="B7" s="13">
        <f>'China Calculations'!B58</f>
        <v>9.9831205275542248E-2</v>
      </c>
      <c r="C7" s="4">
        <f>'China Calculations'!C58</f>
        <v>9.6282296563889425E-2</v>
      </c>
      <c r="D7" s="13">
        <f>'China Calculations'!D58</f>
        <v>9.4035230855262442E-2</v>
      </c>
    </row>
    <row r="8" spans="1:4">
      <c r="D8" s="4"/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5D5DE895D8AE54A972C2171818FD093" ma:contentTypeVersion="20" ma:contentTypeDescription="新建文档。" ma:contentTypeScope="" ma:versionID="28899595fd88e08856972500d1871e57">
  <xsd:schema xmlns:xsd="http://www.w3.org/2001/XMLSchema" xmlns:xs="http://www.w3.org/2001/XMLSchema" xmlns:p="http://schemas.microsoft.com/office/2006/metadata/properties" xmlns:ns1="http://schemas.microsoft.com/sharepoint/v3" xmlns:ns2="01f24951-2a3e-4fd5-a813-71a74687f653" xmlns:ns3="80a27e12-bb1f-4e28-b766-51f62aa5c67e" targetNamespace="http://schemas.microsoft.com/office/2006/metadata/properties" ma:root="true" ma:fieldsID="1e6c166ac1e18aa4cf6b3132e6b49030" ns1:_="" ns2:_="" ns3:_="">
    <xsd:import namespace="http://schemas.microsoft.com/sharepoint/v3"/>
    <xsd:import namespace="01f24951-2a3e-4fd5-a813-71a74687f653"/>
    <xsd:import namespace="80a27e12-bb1f-4e28-b766-51f62aa5c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24951-2a3e-4fd5-a813-71a74687f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7e12-bb1f-4e28-b766-51f62aa5c6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fc8f95-dcd6-4d49-91dc-ca93cc16fb99}" ma:internalName="TaxCatchAll" ma:showField="CatchAllData" ma:web="80a27e12-bb1f-4e28-b766-51f62aa5c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1f24951-2a3e-4fd5-a813-71a74687f653">
      <Terms xmlns="http://schemas.microsoft.com/office/infopath/2007/PartnerControls"/>
    </lcf76f155ced4ddcb4097134ff3c332f>
    <TaxCatchAll xmlns="80a27e12-bb1f-4e28-b766-51f62aa5c6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75D372-681A-4E9E-8901-C411BAE21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24951-2a3e-4fd5-a813-71a74687f653"/>
    <ds:schemaRef ds:uri="80a27e12-bb1f-4e28-b766-51f62aa5c6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BF401-06C6-407D-B830-EB8100B5526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1f24951-2a3e-4fd5-a813-71a74687f653"/>
    <ds:schemaRef ds:uri="80a27e12-bb1f-4e28-b766-51f62aa5c67e"/>
  </ds:schemaRefs>
</ds:datastoreItem>
</file>

<file path=customXml/itemProps3.xml><?xml version="1.0" encoding="utf-8"?>
<ds:datastoreItem xmlns:ds="http://schemas.openxmlformats.org/officeDocument/2006/customXml" ds:itemID="{35A758CE-E65C-4D47-9536-08378DBB5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Component Lifetimes</vt:lpstr>
      <vt:lpstr>China Calculations</vt:lpstr>
      <vt:lpstr>SoCEUtiNTY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Jeffrey Rissman</dc:creator>
  <cp:lastModifiedBy>Daiyang Zhang</cp:lastModifiedBy>
  <dcterms:created xsi:type="dcterms:W3CDTF">2018-01-10T20:44:14Z</dcterms:created>
  <dcterms:modified xsi:type="dcterms:W3CDTF">2024-07-22T09:34:08Z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0x01010005D5DE895D8AE54A972C2171818FD093</vt:lpwstr>
  </property>
  <property fmtid="{D5CDD505-2E9C-101B-9397-08002B2CF9AE}" pid="3" name="Order">
    <vt:r8>25087100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